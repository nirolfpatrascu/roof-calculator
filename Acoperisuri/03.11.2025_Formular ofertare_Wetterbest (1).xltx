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/>
  <workbookPr filterPrivacy="1" codeName="ThisWorkbook" defaultThemeVersion="124226"/>
  <xr:revisionPtr revIDLastSave="0" documentId="8_{AC7EC540-C7E5-4964-93A1-5FCB77AA2564}" xr6:coauthVersionLast="47" xr6:coauthVersionMax="47" xr10:uidLastSave="{00000000-0000-0000-0000-000000000000}"/>
  <workbookProtection workbookAlgorithmName="SHA-512" workbookHashValue="GjxcKDCGseqswNIotTpVROAT8e6HPNBOMtdfEc1RyR6wKHG4tnb3yZ4Je00Kn2RellMOVUbc/K8L57eNzQDlOA==" workbookSaltValue="hHEdabcD5ZEzOhjH8qsKDA==" workbookSpinCount="100000" lockStructure="1"/>
  <bookViews>
    <workbookView xWindow="-108" yWindow="-108" windowWidth="23256" windowHeight="12456" xr2:uid="{00000000-000D-0000-FFFF-FFFF00000000}"/>
  </bookViews>
  <sheets>
    <sheet name="Formular" sheetId="1" r:id="rId1"/>
    <sheet name="SELNEW" sheetId="15" state="hidden" r:id="rId2"/>
    <sheet name="Select" sheetId="3" state="hidden" r:id="rId3"/>
    <sheet name="Info" sheetId="2" state="hidden" r:id="rId4"/>
    <sheet name="Lang" sheetId="12" state="hidden" r:id="rId5"/>
    <sheet name="In" sheetId="13" state="hidden" r:id="rId6"/>
    <sheet name="Disc Dep" sheetId="5" state="hidden" r:id="rId7"/>
    <sheet name="Adaos Distr" sheetId="7" r:id="rId8"/>
    <sheet name="Adaos RESELLER" sheetId="8" state="hidden" r:id="rId9"/>
    <sheet name="Print" sheetId="4" r:id="rId10"/>
    <sheet name="Oferta" sheetId="14" r:id="rId11"/>
  </sheets>
  <definedNames>
    <definedName name="_xlnm._FilterDatabase" localSheetId="10" hidden="1">Oferta!$P$9:$P$78</definedName>
    <definedName name="_xlnm._FilterDatabase" localSheetId="9" hidden="1">Print!$Q$23:$Q$611</definedName>
    <definedName name="_xlnm.Print_Area" localSheetId="9">Print!$A$1:$AB$611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4" i="13" l="1"/>
  <c r="D64" i="13" s="1"/>
  <c r="G64" i="13"/>
  <c r="H64" i="13" s="1"/>
  <c r="B64" i="13"/>
  <c r="C440" i="13"/>
  <c r="G440" i="13"/>
  <c r="H440" i="13" s="1"/>
  <c r="C451" i="13"/>
  <c r="G451" i="13"/>
  <c r="H451" i="13" s="1"/>
  <c r="C428" i="13"/>
  <c r="G428" i="13"/>
  <c r="H428" i="13"/>
  <c r="B428" i="13"/>
  <c r="C417" i="13"/>
  <c r="G417" i="13"/>
  <c r="H417" i="13" s="1"/>
  <c r="C406" i="13"/>
  <c r="G406" i="13"/>
  <c r="H406" i="13"/>
  <c r="B406" i="13"/>
  <c r="C394" i="13"/>
  <c r="G394" i="13"/>
  <c r="H394" i="13" s="1"/>
  <c r="G328" i="13"/>
  <c r="H328" i="13"/>
  <c r="B328" i="13"/>
  <c r="G312" i="13"/>
  <c r="H312" i="13" s="1"/>
  <c r="G296" i="13"/>
  <c r="H296" i="13"/>
  <c r="B296" i="13"/>
  <c r="G280" i="13"/>
  <c r="H280" i="13" s="1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68" i="3"/>
  <c r="B452" i="3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49" i="15"/>
  <c r="G128" i="13"/>
  <c r="H128" i="13"/>
  <c r="G129" i="13"/>
  <c r="H129" i="13" s="1"/>
  <c r="G130" i="13"/>
  <c r="H130" i="1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19" i="3"/>
  <c r="B952" i="13"/>
  <c r="B953" i="13"/>
  <c r="B954" i="13"/>
  <c r="B955" i="13"/>
  <c r="B956" i="13"/>
  <c r="B957" i="13"/>
  <c r="B958" i="13"/>
  <c r="B959" i="13"/>
  <c r="B960" i="13"/>
  <c r="B961" i="13"/>
  <c r="B951" i="13"/>
  <c r="G141" i="15"/>
  <c r="G142" i="15"/>
  <c r="G143" i="15"/>
  <c r="G144" i="15"/>
  <c r="G145" i="15"/>
  <c r="G146" i="15"/>
  <c r="G147" i="15"/>
  <c r="G148" i="15"/>
  <c r="G149" i="15"/>
  <c r="G150" i="15"/>
  <c r="G140" i="15"/>
  <c r="B131" i="15"/>
  <c r="A131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54" i="15"/>
  <c r="L152" i="15"/>
  <c r="K152" i="15"/>
  <c r="J152" i="15"/>
  <c r="I152" i="15"/>
  <c r="H152" i="15"/>
  <c r="G152" i="15"/>
  <c r="F152" i="15"/>
  <c r="E152" i="15"/>
  <c r="D152" i="15"/>
  <c r="C152" i="15"/>
  <c r="B152" i="15"/>
  <c r="B132" i="15"/>
  <c r="BD70" i="1" s="1"/>
  <c r="D138" i="15"/>
  <c r="C138" i="15"/>
  <c r="B138" i="15"/>
  <c r="B803" i="13"/>
  <c r="B804" i="13"/>
  <c r="B805" i="13"/>
  <c r="B806" i="13"/>
  <c r="B807" i="13"/>
  <c r="B808" i="13"/>
  <c r="B809" i="13"/>
  <c r="B810" i="13"/>
  <c r="B811" i="13"/>
  <c r="B812" i="13"/>
  <c r="B813" i="13"/>
  <c r="B814" i="13"/>
  <c r="B815" i="13"/>
  <c r="B816" i="13"/>
  <c r="B817" i="13"/>
  <c r="B818" i="13"/>
  <c r="B819" i="13"/>
  <c r="B820" i="13"/>
  <c r="B821" i="13"/>
  <c r="B822" i="13"/>
  <c r="B823" i="13"/>
  <c r="B824" i="13"/>
  <c r="B825" i="13"/>
  <c r="B802" i="13"/>
  <c r="B778" i="13"/>
  <c r="B779" i="13"/>
  <c r="B780" i="13"/>
  <c r="B781" i="13"/>
  <c r="B782" i="13"/>
  <c r="B783" i="13"/>
  <c r="B784" i="13"/>
  <c r="B785" i="13"/>
  <c r="B786" i="13"/>
  <c r="B787" i="13"/>
  <c r="B788" i="13"/>
  <c r="B789" i="13"/>
  <c r="B790" i="13"/>
  <c r="B791" i="13"/>
  <c r="B792" i="13"/>
  <c r="B793" i="13"/>
  <c r="B794" i="13"/>
  <c r="B795" i="13"/>
  <c r="B796" i="13"/>
  <c r="B797" i="13"/>
  <c r="B798" i="13"/>
  <c r="B799" i="13"/>
  <c r="B800" i="13"/>
  <c r="B777" i="13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10" i="15"/>
  <c r="A83" i="15"/>
  <c r="V13" i="1" s="1"/>
  <c r="A84" i="15"/>
  <c r="V14" i="1" s="1"/>
  <c r="A85" i="15"/>
  <c r="V15" i="1" s="1"/>
  <c r="A86" i="15"/>
  <c r="V16" i="1" s="1"/>
  <c r="A87" i="15"/>
  <c r="V17" i="1" s="1"/>
  <c r="A88" i="15"/>
  <c r="V18" i="1" s="1"/>
  <c r="A89" i="15"/>
  <c r="V19" i="1" s="1"/>
  <c r="A90" i="15"/>
  <c r="V20" i="1" s="1"/>
  <c r="A91" i="15"/>
  <c r="V21" i="1" s="1"/>
  <c r="A92" i="15"/>
  <c r="V22" i="1" s="1"/>
  <c r="A93" i="15"/>
  <c r="V23" i="1" s="1"/>
  <c r="A94" i="15"/>
  <c r="V24" i="1" s="1"/>
  <c r="A95" i="15"/>
  <c r="V25" i="1" s="1"/>
  <c r="A96" i="15"/>
  <c r="V26" i="1" s="1"/>
  <c r="A97" i="15"/>
  <c r="V27" i="1" s="1"/>
  <c r="A98" i="15"/>
  <c r="V28" i="1" s="1"/>
  <c r="A99" i="15"/>
  <c r="V29" i="1" s="1"/>
  <c r="A100" i="15"/>
  <c r="V30" i="1" s="1"/>
  <c r="A101" i="15"/>
  <c r="V31" i="1" s="1"/>
  <c r="A102" i="15"/>
  <c r="V32" i="1" s="1"/>
  <c r="A103" i="15"/>
  <c r="V33" i="1" s="1"/>
  <c r="A104" i="15"/>
  <c r="V34" i="1" s="1"/>
  <c r="A105" i="15"/>
  <c r="V35" i="1" s="1"/>
  <c r="A82" i="15"/>
  <c r="V12" i="1" s="1"/>
  <c r="I80" i="15"/>
  <c r="H80" i="15"/>
  <c r="G80" i="15"/>
  <c r="F80" i="15"/>
  <c r="E80" i="15"/>
  <c r="D80" i="15"/>
  <c r="C80" i="15"/>
  <c r="B80" i="15"/>
  <c r="C131" i="15" l="1"/>
  <c r="E64" i="13"/>
  <c r="D131" i="15"/>
  <c r="A67" i="15"/>
  <c r="K103" i="15"/>
  <c r="K99" i="15"/>
  <c r="K95" i="15"/>
  <c r="K91" i="15"/>
  <c r="K87" i="15"/>
  <c r="K83" i="15"/>
  <c r="K104" i="15"/>
  <c r="K100" i="15"/>
  <c r="K96" i="15"/>
  <c r="K92" i="15"/>
  <c r="K88" i="15"/>
  <c r="K84" i="15"/>
  <c r="K105" i="15"/>
  <c r="K101" i="15"/>
  <c r="K97" i="15"/>
  <c r="K93" i="15"/>
  <c r="K89" i="15"/>
  <c r="K85" i="15"/>
  <c r="K82" i="15"/>
  <c r="K102" i="15"/>
  <c r="K98" i="15"/>
  <c r="K94" i="15"/>
  <c r="K90" i="15"/>
  <c r="K86" i="15"/>
  <c r="F131" i="15" l="1"/>
  <c r="A425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E505" i="4"/>
  <c r="C578" i="3"/>
  <c r="B68" i="13"/>
  <c r="G68" i="13" s="1"/>
  <c r="H68" i="13" s="1"/>
  <c r="C68" i="13" l="1"/>
  <c r="D68" i="13" s="1"/>
  <c r="E68" i="13" s="1"/>
  <c r="A407" i="12" l="1"/>
  <c r="A119" i="4" s="1"/>
  <c r="A408" i="12"/>
  <c r="A409" i="12"/>
  <c r="A410" i="12"/>
  <c r="A411" i="12"/>
  <c r="A412" i="12"/>
  <c r="A485" i="4" s="1"/>
  <c r="A413" i="12"/>
  <c r="A528" i="4" s="1"/>
  <c r="A414" i="12"/>
  <c r="A415" i="12"/>
  <c r="A609" i="4" s="1"/>
  <c r="A416" i="12"/>
  <c r="A610" i="4" s="1"/>
  <c r="A417" i="12"/>
  <c r="N22" i="4" s="1"/>
  <c r="A418" i="12"/>
  <c r="B64" i="1" s="1"/>
  <c r="A419" i="12"/>
  <c r="AM64" i="1" s="1"/>
  <c r="A420" i="12"/>
  <c r="A184" i="2" s="1"/>
  <c r="A421" i="12"/>
  <c r="A185" i="2" s="1"/>
  <c r="A422" i="12"/>
  <c r="A186" i="2" s="1"/>
  <c r="A423" i="12"/>
  <c r="A187" i="2" s="1"/>
  <c r="A424" i="12"/>
  <c r="A188" i="2" s="1"/>
  <c r="A425" i="12"/>
  <c r="A189" i="2" s="1"/>
  <c r="A426" i="12"/>
  <c r="A190" i="2" s="1"/>
  <c r="A427" i="12"/>
  <c r="A191" i="2" s="1"/>
  <c r="A428" i="12"/>
  <c r="A192" i="2" s="1"/>
  <c r="A429" i="12"/>
  <c r="A193" i="2" s="1"/>
  <c r="A430" i="12"/>
  <c r="A194" i="2" s="1"/>
  <c r="A431" i="12"/>
  <c r="A195" i="2" s="1"/>
  <c r="A432" i="12"/>
  <c r="A196" i="2" s="1"/>
  <c r="A433" i="12"/>
  <c r="A197" i="2" s="1"/>
  <c r="A434" i="12"/>
  <c r="A198" i="2" s="1"/>
  <c r="A435" i="12"/>
  <c r="A199" i="2" s="1"/>
  <c r="A436" i="12"/>
  <c r="A200" i="2" s="1"/>
  <c r="A437" i="12"/>
  <c r="A201" i="2" s="1"/>
  <c r="A438" i="12"/>
  <c r="A202" i="2" s="1"/>
  <c r="A439" i="12"/>
  <c r="A203" i="2" s="1"/>
  <c r="A440" i="12"/>
  <c r="A204" i="2" s="1"/>
  <c r="A441" i="12"/>
  <c r="A205" i="2" s="1"/>
  <c r="A442" i="12"/>
  <c r="A206" i="2" s="1"/>
  <c r="A443" i="12"/>
  <c r="A207" i="2" s="1"/>
  <c r="A444" i="12"/>
  <c r="A208" i="2" s="1"/>
  <c r="A445" i="12"/>
  <c r="A209" i="2" s="1"/>
  <c r="A446" i="12"/>
  <c r="A210" i="2" s="1"/>
  <c r="A447" i="12"/>
  <c r="A211" i="2" s="1"/>
  <c r="A448" i="12"/>
  <c r="A212" i="2" s="1"/>
  <c r="A449" i="12"/>
  <c r="A213" i="2" s="1"/>
  <c r="A450" i="12"/>
  <c r="A214" i="2" s="1"/>
  <c r="A451" i="12"/>
  <c r="A215" i="2" s="1"/>
  <c r="A452" i="12"/>
  <c r="A216" i="2" s="1"/>
  <c r="A453" i="12"/>
  <c r="A217" i="2" s="1"/>
  <c r="A454" i="12"/>
  <c r="A218" i="2" s="1"/>
  <c r="A455" i="12"/>
  <c r="A219" i="2" s="1"/>
  <c r="A456" i="12"/>
  <c r="A220" i="2" s="1"/>
  <c r="A457" i="12"/>
  <c r="A221" i="2" s="1"/>
  <c r="A458" i="12"/>
  <c r="A222" i="2" s="1"/>
  <c r="A459" i="12"/>
  <c r="A223" i="2" s="1"/>
  <c r="A460" i="12"/>
  <c r="A224" i="2" s="1"/>
  <c r="A461" i="12"/>
  <c r="A225" i="2" s="1"/>
  <c r="A462" i="12"/>
  <c r="A226" i="2" s="1"/>
  <c r="A463" i="12"/>
  <c r="A227" i="2" s="1"/>
  <c r="A464" i="12"/>
  <c r="A228" i="2" s="1"/>
  <c r="A465" i="12"/>
  <c r="A229" i="2" s="1"/>
  <c r="A466" i="12"/>
  <c r="A230" i="2" s="1"/>
  <c r="A467" i="12"/>
  <c r="A231" i="2" s="1"/>
  <c r="A468" i="12"/>
  <c r="A232" i="2" s="1"/>
  <c r="A469" i="12"/>
  <c r="A233" i="2" s="1"/>
  <c r="A470" i="12"/>
  <c r="A234" i="2" s="1"/>
  <c r="A471" i="12"/>
  <c r="A235" i="2" s="1"/>
  <c r="AF58" i="1" s="1"/>
  <c r="A472" i="12"/>
  <c r="A236" i="2" s="1"/>
  <c r="AF59" i="1" s="1"/>
  <c r="A473" i="12"/>
  <c r="A474" i="12"/>
  <c r="V49" i="1" s="1"/>
  <c r="A475" i="12"/>
  <c r="V50" i="1" s="1"/>
  <c r="A476" i="12"/>
  <c r="V51" i="1" s="1"/>
  <c r="A477" i="12"/>
  <c r="V52" i="1" s="1"/>
  <c r="A478" i="12"/>
  <c r="V53" i="1" s="1"/>
  <c r="A479" i="12"/>
  <c r="V54" i="1" s="1"/>
  <c r="A480" i="12"/>
  <c r="V55" i="1" s="1"/>
  <c r="A481" i="12"/>
  <c r="V56" i="1" s="1"/>
  <c r="A482" i="12"/>
  <c r="V57" i="1" s="1"/>
  <c r="A483" i="12"/>
  <c r="V58" i="1" s="1"/>
  <c r="A484" i="12"/>
  <c r="V59" i="1" s="1"/>
  <c r="A485" i="12"/>
  <c r="V60" i="1" s="1"/>
  <c r="A486" i="12"/>
  <c r="V61" i="1" s="1"/>
  <c r="A487" i="12"/>
  <c r="V62" i="1" s="1"/>
  <c r="A488" i="12"/>
  <c r="AV35" i="1" s="1"/>
  <c r="A489" i="12"/>
  <c r="AV36" i="1" s="1"/>
  <c r="A490" i="12"/>
  <c r="AV37" i="1" s="1"/>
  <c r="A491" i="12"/>
  <c r="AV38" i="1" s="1"/>
  <c r="A492" i="12"/>
  <c r="AV39" i="1" s="1"/>
  <c r="A493" i="12"/>
  <c r="AV40" i="1" s="1"/>
  <c r="A494" i="12"/>
  <c r="AV41" i="1" s="1"/>
  <c r="A495" i="12"/>
  <c r="AV42" i="1" s="1"/>
  <c r="A496" i="12"/>
  <c r="AV43" i="1" s="1"/>
  <c r="A497" i="12"/>
  <c r="AV44" i="1" s="1"/>
  <c r="A498" i="12"/>
  <c r="AV45" i="1" s="1"/>
  <c r="A499" i="12"/>
  <c r="AV46" i="1" s="1"/>
  <c r="A500" i="12"/>
  <c r="AV47" i="1" s="1"/>
  <c r="A501" i="12"/>
  <c r="AV48" i="1" s="1"/>
  <c r="A502" i="12"/>
  <c r="AV49" i="1" s="1"/>
  <c r="A503" i="12"/>
  <c r="AV50" i="1" s="1"/>
  <c r="A504" i="12"/>
  <c r="AV51" i="1" s="1"/>
  <c r="A505" i="12"/>
  <c r="AV52" i="1" s="1"/>
  <c r="A506" i="12"/>
  <c r="AV53" i="1" s="1"/>
  <c r="A507" i="12"/>
  <c r="AV54" i="1" s="1"/>
  <c r="A508" i="12"/>
  <c r="AV55" i="1" s="1"/>
  <c r="A509" i="12"/>
  <c r="AV56" i="1" s="1"/>
  <c r="A510" i="12"/>
  <c r="AV57" i="1" s="1"/>
  <c r="A511" i="12"/>
  <c r="AV58" i="1" s="1"/>
  <c r="A512" i="12"/>
  <c r="AV59" i="1" s="1"/>
  <c r="AV60" i="1" s="1"/>
  <c r="AV61" i="1" s="1"/>
  <c r="AV62" i="1" s="1"/>
  <c r="A513" i="12"/>
  <c r="A514" i="12"/>
  <c r="A515" i="12"/>
  <c r="A516" i="12"/>
  <c r="A517" i="12"/>
  <c r="A518" i="12"/>
  <c r="A519" i="12"/>
  <c r="A520" i="12"/>
  <c r="A521" i="12"/>
  <c r="A522" i="12"/>
  <c r="A523" i="12"/>
  <c r="A524" i="12"/>
  <c r="A525" i="12"/>
  <c r="A526" i="12"/>
  <c r="A527" i="12"/>
  <c r="A528" i="12"/>
  <c r="A529" i="12"/>
  <c r="A530" i="12"/>
  <c r="A531" i="12"/>
  <c r="A532" i="12"/>
  <c r="A533" i="12"/>
  <c r="A534" i="12"/>
  <c r="A535" i="12"/>
  <c r="A536" i="12"/>
  <c r="A537" i="12"/>
  <c r="A538" i="12"/>
  <c r="A539" i="12"/>
  <c r="A540" i="12"/>
  <c r="A541" i="12"/>
  <c r="A542" i="12"/>
  <c r="A543" i="12"/>
  <c r="A544" i="12"/>
  <c r="A545" i="12"/>
  <c r="A546" i="12"/>
  <c r="A547" i="12"/>
  <c r="A548" i="12"/>
  <c r="A549" i="12"/>
  <c r="A550" i="12"/>
  <c r="A551" i="12"/>
  <c r="A552" i="12"/>
  <c r="A406" i="12"/>
  <c r="A404" i="12"/>
  <c r="A405" i="12"/>
  <c r="A22" i="4" s="1"/>
  <c r="A403" i="12"/>
  <c r="B109" i="13"/>
  <c r="B593" i="13"/>
  <c r="B357" i="3"/>
  <c r="B592" i="13"/>
  <c r="BN28" i="1" l="1"/>
  <c r="A545" i="4"/>
  <c r="BH42" i="1"/>
  <c r="BN6" i="1"/>
  <c r="L394" i="2" l="1"/>
  <c r="L383" i="2"/>
  <c r="L384" i="2"/>
  <c r="L385" i="2"/>
  <c r="L386" i="2"/>
  <c r="L387" i="2"/>
  <c r="L388" i="2"/>
  <c r="L389" i="2"/>
  <c r="L390" i="2"/>
  <c r="L391" i="2"/>
  <c r="L392" i="2"/>
  <c r="L393" i="2"/>
  <c r="L382" i="2"/>
  <c r="O315" i="2"/>
  <c r="O316" i="2"/>
  <c r="O317" i="2"/>
  <c r="O318" i="2"/>
  <c r="O319" i="2"/>
  <c r="O320" i="2"/>
  <c r="O321" i="2"/>
  <c r="O322" i="2"/>
  <c r="O323" i="2"/>
  <c r="O324" i="2"/>
  <c r="O314" i="2"/>
  <c r="G458" i="13"/>
  <c r="H458" i="13" s="1"/>
  <c r="C458" i="13"/>
  <c r="G447" i="13"/>
  <c r="H447" i="13" s="1"/>
  <c r="C447" i="13"/>
  <c r="G436" i="13"/>
  <c r="H436" i="13" s="1"/>
  <c r="C436" i="13"/>
  <c r="B424" i="13"/>
  <c r="C424" i="13" s="1"/>
  <c r="G413" i="13"/>
  <c r="H413" i="13" s="1"/>
  <c r="C413" i="13"/>
  <c r="Q198" i="4"/>
  <c r="Q199" i="4"/>
  <c r="A198" i="4"/>
  <c r="A199" i="4"/>
  <c r="P207" i="2"/>
  <c r="Q207" i="2"/>
  <c r="R207" i="2"/>
  <c r="S207" i="2"/>
  <c r="T207" i="2"/>
  <c r="U207" i="2"/>
  <c r="V207" i="2"/>
  <c r="P185" i="2"/>
  <c r="Q185" i="2"/>
  <c r="R185" i="2"/>
  <c r="S185" i="2"/>
  <c r="T185" i="2"/>
  <c r="U185" i="2"/>
  <c r="V185" i="2"/>
  <c r="P186" i="2"/>
  <c r="Q186" i="2"/>
  <c r="R186" i="2"/>
  <c r="S186" i="2"/>
  <c r="T186" i="2"/>
  <c r="U186" i="2"/>
  <c r="V186" i="2"/>
  <c r="P187" i="2"/>
  <c r="Q187" i="2"/>
  <c r="R187" i="2"/>
  <c r="S187" i="2"/>
  <c r="T187" i="2"/>
  <c r="U187" i="2"/>
  <c r="V187" i="2"/>
  <c r="P188" i="2"/>
  <c r="Q188" i="2"/>
  <c r="R188" i="2"/>
  <c r="S188" i="2"/>
  <c r="T188" i="2"/>
  <c r="U188" i="2"/>
  <c r="V188" i="2"/>
  <c r="P189" i="2"/>
  <c r="Q189" i="2"/>
  <c r="R189" i="2"/>
  <c r="S189" i="2"/>
  <c r="T189" i="2"/>
  <c r="U189" i="2"/>
  <c r="V189" i="2"/>
  <c r="P190" i="2"/>
  <c r="Q190" i="2"/>
  <c r="R190" i="2"/>
  <c r="S190" i="2"/>
  <c r="T190" i="2"/>
  <c r="U190" i="2"/>
  <c r="V190" i="2"/>
  <c r="P191" i="2"/>
  <c r="Q191" i="2"/>
  <c r="R191" i="2"/>
  <c r="S191" i="2"/>
  <c r="T191" i="2"/>
  <c r="U191" i="2"/>
  <c r="V191" i="2"/>
  <c r="P192" i="2"/>
  <c r="Q192" i="2"/>
  <c r="R192" i="2"/>
  <c r="S192" i="2"/>
  <c r="T192" i="2"/>
  <c r="U192" i="2"/>
  <c r="V192" i="2"/>
  <c r="P193" i="2"/>
  <c r="Q193" i="2"/>
  <c r="R193" i="2"/>
  <c r="S193" i="2"/>
  <c r="T193" i="2"/>
  <c r="U193" i="2"/>
  <c r="V193" i="2"/>
  <c r="P194" i="2"/>
  <c r="Q194" i="2"/>
  <c r="R194" i="2"/>
  <c r="S194" i="2"/>
  <c r="T194" i="2"/>
  <c r="U194" i="2"/>
  <c r="V194" i="2"/>
  <c r="P195" i="2"/>
  <c r="Q195" i="2"/>
  <c r="R195" i="2"/>
  <c r="S195" i="2"/>
  <c r="T195" i="2"/>
  <c r="U195" i="2"/>
  <c r="V195" i="2"/>
  <c r="P196" i="2"/>
  <c r="Q196" i="2"/>
  <c r="R196" i="2"/>
  <c r="S196" i="2"/>
  <c r="T196" i="2"/>
  <c r="U196" i="2"/>
  <c r="V196" i="2"/>
  <c r="P197" i="2"/>
  <c r="Q197" i="2"/>
  <c r="R197" i="2"/>
  <c r="S197" i="2"/>
  <c r="T197" i="2"/>
  <c r="U197" i="2"/>
  <c r="V197" i="2"/>
  <c r="P198" i="2"/>
  <c r="Q198" i="2"/>
  <c r="R198" i="2"/>
  <c r="S198" i="2"/>
  <c r="T198" i="2"/>
  <c r="U198" i="2"/>
  <c r="V198" i="2"/>
  <c r="P199" i="2"/>
  <c r="Q199" i="2"/>
  <c r="R199" i="2"/>
  <c r="S199" i="2"/>
  <c r="T199" i="2"/>
  <c r="U199" i="2"/>
  <c r="V199" i="2"/>
  <c r="P200" i="2"/>
  <c r="Q200" i="2"/>
  <c r="R200" i="2"/>
  <c r="S200" i="2"/>
  <c r="T200" i="2"/>
  <c r="U200" i="2"/>
  <c r="V200" i="2"/>
  <c r="P201" i="2"/>
  <c r="Q201" i="2"/>
  <c r="R201" i="2"/>
  <c r="S201" i="2"/>
  <c r="T201" i="2"/>
  <c r="U201" i="2"/>
  <c r="V201" i="2"/>
  <c r="P202" i="2"/>
  <c r="Q202" i="2"/>
  <c r="R202" i="2"/>
  <c r="S202" i="2"/>
  <c r="T202" i="2"/>
  <c r="U202" i="2"/>
  <c r="V202" i="2"/>
  <c r="P203" i="2"/>
  <c r="Q203" i="2"/>
  <c r="R203" i="2"/>
  <c r="S203" i="2"/>
  <c r="T203" i="2"/>
  <c r="U203" i="2"/>
  <c r="V203" i="2"/>
  <c r="P204" i="2"/>
  <c r="Q204" i="2"/>
  <c r="R204" i="2"/>
  <c r="S204" i="2"/>
  <c r="T204" i="2"/>
  <c r="U204" i="2"/>
  <c r="V204" i="2"/>
  <c r="P205" i="2"/>
  <c r="Q205" i="2"/>
  <c r="R205" i="2"/>
  <c r="S205" i="2"/>
  <c r="T205" i="2"/>
  <c r="U205" i="2"/>
  <c r="V205" i="2"/>
  <c r="P206" i="2"/>
  <c r="Q206" i="2"/>
  <c r="R206" i="2"/>
  <c r="S206" i="2"/>
  <c r="T206" i="2"/>
  <c r="U206" i="2"/>
  <c r="V206" i="2"/>
  <c r="Q184" i="2"/>
  <c r="R184" i="2"/>
  <c r="S184" i="2"/>
  <c r="T184" i="2"/>
  <c r="U184" i="2"/>
  <c r="V184" i="2"/>
  <c r="P184" i="2"/>
  <c r="D95" i="2"/>
  <c r="F95" i="2"/>
  <c r="G95" i="2"/>
  <c r="H95" i="2"/>
  <c r="I95" i="2"/>
  <c r="J95" i="2"/>
  <c r="K95" i="2"/>
  <c r="D96" i="2"/>
  <c r="F96" i="2"/>
  <c r="G96" i="2"/>
  <c r="H96" i="2"/>
  <c r="I96" i="2"/>
  <c r="J96" i="2"/>
  <c r="K96" i="2"/>
  <c r="D97" i="2"/>
  <c r="F97" i="2"/>
  <c r="G97" i="2"/>
  <c r="H97" i="2"/>
  <c r="I97" i="2"/>
  <c r="J97" i="2"/>
  <c r="K97" i="2"/>
  <c r="D98" i="2"/>
  <c r="F98" i="2"/>
  <c r="G98" i="2"/>
  <c r="H98" i="2"/>
  <c r="I98" i="2"/>
  <c r="J98" i="2"/>
  <c r="K98" i="2"/>
  <c r="D99" i="2"/>
  <c r="F99" i="2"/>
  <c r="G99" i="2"/>
  <c r="H99" i="2"/>
  <c r="I99" i="2"/>
  <c r="J99" i="2"/>
  <c r="K99" i="2"/>
  <c r="D100" i="2"/>
  <c r="F100" i="2"/>
  <c r="G100" i="2"/>
  <c r="H100" i="2"/>
  <c r="I100" i="2"/>
  <c r="J100" i="2"/>
  <c r="K100" i="2"/>
  <c r="D101" i="2"/>
  <c r="F101" i="2"/>
  <c r="G101" i="2"/>
  <c r="H101" i="2"/>
  <c r="I101" i="2"/>
  <c r="J101" i="2"/>
  <c r="K101" i="2"/>
  <c r="D102" i="2"/>
  <c r="F102" i="2"/>
  <c r="G102" i="2"/>
  <c r="H102" i="2"/>
  <c r="I102" i="2"/>
  <c r="J102" i="2"/>
  <c r="K102" i="2"/>
  <c r="D103" i="2"/>
  <c r="F103" i="2"/>
  <c r="G103" i="2"/>
  <c r="H103" i="2"/>
  <c r="I103" i="2"/>
  <c r="J103" i="2"/>
  <c r="K103" i="2"/>
  <c r="D104" i="2"/>
  <c r="F104" i="2"/>
  <c r="G104" i="2"/>
  <c r="H104" i="2"/>
  <c r="I104" i="2"/>
  <c r="J104" i="2"/>
  <c r="K104" i="2"/>
  <c r="D105" i="2"/>
  <c r="F105" i="2"/>
  <c r="G105" i="2"/>
  <c r="H105" i="2"/>
  <c r="I105" i="2"/>
  <c r="J105" i="2"/>
  <c r="K105" i="2"/>
  <c r="D106" i="2"/>
  <c r="F106" i="2"/>
  <c r="G106" i="2"/>
  <c r="H106" i="2"/>
  <c r="I106" i="2"/>
  <c r="J106" i="2"/>
  <c r="K106" i="2"/>
  <c r="D107" i="2"/>
  <c r="F107" i="2"/>
  <c r="G107" i="2"/>
  <c r="H107" i="2"/>
  <c r="I107" i="2"/>
  <c r="J107" i="2"/>
  <c r="K107" i="2"/>
  <c r="D108" i="2"/>
  <c r="F108" i="2"/>
  <c r="G108" i="2"/>
  <c r="H108" i="2"/>
  <c r="I108" i="2"/>
  <c r="J108" i="2"/>
  <c r="K108" i="2"/>
  <c r="D109" i="2"/>
  <c r="F109" i="2"/>
  <c r="G109" i="2"/>
  <c r="H109" i="2"/>
  <c r="I109" i="2"/>
  <c r="J109" i="2"/>
  <c r="K109" i="2"/>
  <c r="D110" i="2"/>
  <c r="F110" i="2"/>
  <c r="G110" i="2"/>
  <c r="H110" i="2"/>
  <c r="I110" i="2"/>
  <c r="J110" i="2"/>
  <c r="K110" i="2"/>
  <c r="D111" i="2"/>
  <c r="F111" i="2"/>
  <c r="G111" i="2"/>
  <c r="H111" i="2"/>
  <c r="I111" i="2"/>
  <c r="J111" i="2"/>
  <c r="K111" i="2"/>
  <c r="D112" i="2"/>
  <c r="D113" i="2"/>
  <c r="D114" i="2"/>
  <c r="D115" i="2"/>
  <c r="E115" i="2"/>
  <c r="F115" i="2"/>
  <c r="G115" i="2"/>
  <c r="H115" i="2"/>
  <c r="I115" i="2"/>
  <c r="J115" i="2"/>
  <c r="K115" i="2"/>
  <c r="F94" i="2"/>
  <c r="G94" i="2"/>
  <c r="H94" i="2"/>
  <c r="I94" i="2"/>
  <c r="J94" i="2"/>
  <c r="K94" i="2"/>
  <c r="D94" i="2"/>
  <c r="G596" i="13"/>
  <c r="H596" i="13" s="1"/>
  <c r="G597" i="13"/>
  <c r="H597" i="13" s="1"/>
  <c r="G598" i="13"/>
  <c r="H598" i="13"/>
  <c r="G599" i="13"/>
  <c r="H599" i="13" s="1"/>
  <c r="G600" i="13"/>
  <c r="H600" i="13" s="1"/>
  <c r="G601" i="13"/>
  <c r="H601" i="13" s="1"/>
  <c r="G602" i="13"/>
  <c r="H602" i="13"/>
  <c r="G603" i="13"/>
  <c r="H603" i="13" s="1"/>
  <c r="G604" i="13"/>
  <c r="H604" i="13" s="1"/>
  <c r="G605" i="13"/>
  <c r="H605" i="13"/>
  <c r="G606" i="13"/>
  <c r="H606" i="13"/>
  <c r="G607" i="13"/>
  <c r="H607" i="13"/>
  <c r="G608" i="13"/>
  <c r="H608" i="13" s="1"/>
  <c r="G609" i="13"/>
  <c r="H609" i="13"/>
  <c r="G610" i="13"/>
  <c r="H610" i="13"/>
  <c r="G611" i="13"/>
  <c r="H611" i="13" s="1"/>
  <c r="G612" i="13"/>
  <c r="H612" i="13"/>
  <c r="G613" i="13"/>
  <c r="H613" i="13" s="1"/>
  <c r="G614" i="13"/>
  <c r="H614" i="13" s="1"/>
  <c r="G615" i="13"/>
  <c r="H615" i="13" s="1"/>
  <c r="G616" i="13"/>
  <c r="H616" i="13"/>
  <c r="G617" i="13"/>
  <c r="H617" i="13" s="1"/>
  <c r="G618" i="13"/>
  <c r="H618" i="13"/>
  <c r="G619" i="13"/>
  <c r="H619" i="13" s="1"/>
  <c r="G620" i="13"/>
  <c r="H620" i="13"/>
  <c r="G621" i="13"/>
  <c r="H621" i="13" s="1"/>
  <c r="G622" i="13"/>
  <c r="H622" i="13"/>
  <c r="G623" i="13"/>
  <c r="H623" i="13" s="1"/>
  <c r="G624" i="13"/>
  <c r="H624" i="13"/>
  <c r="G625" i="13"/>
  <c r="H625" i="13" s="1"/>
  <c r="G626" i="13"/>
  <c r="H626" i="13"/>
  <c r="G627" i="13"/>
  <c r="H627" i="13" s="1"/>
  <c r="G628" i="13"/>
  <c r="H628" i="13"/>
  <c r="G629" i="13"/>
  <c r="H629" i="13" s="1"/>
  <c r="G630" i="13"/>
  <c r="H630" i="13" s="1"/>
  <c r="G631" i="13"/>
  <c r="H631" i="13" s="1"/>
  <c r="G632" i="13"/>
  <c r="H632" i="13" s="1"/>
  <c r="G633" i="13"/>
  <c r="H633" i="13" s="1"/>
  <c r="G634" i="13"/>
  <c r="H634" i="13" s="1"/>
  <c r="G635" i="13"/>
  <c r="H635" i="13" s="1"/>
  <c r="G636" i="13"/>
  <c r="H636" i="13" s="1"/>
  <c r="G637" i="13"/>
  <c r="H637" i="13"/>
  <c r="G638" i="13"/>
  <c r="H638" i="13"/>
  <c r="G639" i="13"/>
  <c r="H639" i="13"/>
  <c r="G640" i="13"/>
  <c r="H640" i="13" s="1"/>
  <c r="G641" i="13"/>
  <c r="H641" i="13"/>
  <c r="G642" i="13"/>
  <c r="H642" i="13"/>
  <c r="G643" i="13"/>
  <c r="H643" i="13"/>
  <c r="G644" i="13"/>
  <c r="H644" i="13" s="1"/>
  <c r="G645" i="13"/>
  <c r="H645" i="13"/>
  <c r="G646" i="13"/>
  <c r="H646" i="13"/>
  <c r="G647" i="13"/>
  <c r="H647" i="13"/>
  <c r="G648" i="13"/>
  <c r="H648" i="13" s="1"/>
  <c r="G649" i="13"/>
  <c r="H649" i="13"/>
  <c r="G650" i="13"/>
  <c r="H650" i="13"/>
  <c r="G651" i="13"/>
  <c r="H651" i="13" s="1"/>
  <c r="G652" i="13"/>
  <c r="H652" i="13" s="1"/>
  <c r="G653" i="13"/>
  <c r="H653" i="13" s="1"/>
  <c r="G654" i="13"/>
  <c r="H654" i="13" s="1"/>
  <c r="G655" i="13"/>
  <c r="H655" i="13" s="1"/>
  <c r="G656" i="13"/>
  <c r="H656" i="13" s="1"/>
  <c r="G657" i="13"/>
  <c r="H657" i="13" s="1"/>
  <c r="G658" i="13"/>
  <c r="H658" i="13" s="1"/>
  <c r="G659" i="13"/>
  <c r="H659" i="13"/>
  <c r="G660" i="13"/>
  <c r="H660" i="13" s="1"/>
  <c r="G661" i="13"/>
  <c r="H661" i="13" s="1"/>
  <c r="G662" i="13"/>
  <c r="H662" i="13" s="1"/>
  <c r="G663" i="13"/>
  <c r="H663" i="13"/>
  <c r="G664" i="13"/>
  <c r="H664" i="13" s="1"/>
  <c r="G665" i="13"/>
  <c r="H665" i="13"/>
  <c r="G666" i="13"/>
  <c r="H666" i="13" s="1"/>
  <c r="G667" i="13"/>
  <c r="H667" i="13"/>
  <c r="G668" i="13"/>
  <c r="H668" i="13" s="1"/>
  <c r="G669" i="13"/>
  <c r="H669" i="13"/>
  <c r="G670" i="13"/>
  <c r="H670" i="13" s="1"/>
  <c r="G671" i="13"/>
  <c r="H671" i="13"/>
  <c r="G672" i="13"/>
  <c r="H672" i="13" s="1"/>
  <c r="G673" i="13"/>
  <c r="H673" i="13"/>
  <c r="G674" i="13"/>
  <c r="H674" i="13" s="1"/>
  <c r="G675" i="13"/>
  <c r="H675" i="13"/>
  <c r="G676" i="13"/>
  <c r="H676" i="13" s="1"/>
  <c r="G677" i="13"/>
  <c r="H677" i="13"/>
  <c r="G678" i="13"/>
  <c r="H678" i="13" s="1"/>
  <c r="G679" i="13"/>
  <c r="H679" i="13"/>
  <c r="G680" i="13"/>
  <c r="H680" i="13" s="1"/>
  <c r="G681" i="13"/>
  <c r="H681" i="13"/>
  <c r="G682" i="13"/>
  <c r="H682" i="13" s="1"/>
  <c r="G683" i="13"/>
  <c r="H683" i="13"/>
  <c r="G684" i="13"/>
  <c r="H684" i="13" s="1"/>
  <c r="G685" i="13"/>
  <c r="H685" i="13"/>
  <c r="G686" i="13"/>
  <c r="H686" i="13" s="1"/>
  <c r="G687" i="13"/>
  <c r="H687" i="13"/>
  <c r="G688" i="13"/>
  <c r="H688" i="13" s="1"/>
  <c r="G689" i="13"/>
  <c r="H689" i="13"/>
  <c r="G690" i="13"/>
  <c r="H690" i="13" s="1"/>
  <c r="G691" i="13"/>
  <c r="H691" i="13"/>
  <c r="G692" i="13"/>
  <c r="H692" i="13" s="1"/>
  <c r="G693" i="13"/>
  <c r="H693" i="13"/>
  <c r="G694" i="13"/>
  <c r="H694" i="13" s="1"/>
  <c r="G695" i="13"/>
  <c r="H695" i="13" s="1"/>
  <c r="G696" i="13"/>
  <c r="H696" i="13" s="1"/>
  <c r="G697" i="13"/>
  <c r="H697" i="13" s="1"/>
  <c r="G698" i="13"/>
  <c r="H698" i="13" s="1"/>
  <c r="G699" i="13"/>
  <c r="H699" i="13" s="1"/>
  <c r="G700" i="13"/>
  <c r="H700" i="13" s="1"/>
  <c r="G701" i="13"/>
  <c r="H701" i="13" s="1"/>
  <c r="G702" i="13"/>
  <c r="H702" i="13"/>
  <c r="G703" i="13"/>
  <c r="H703" i="13" s="1"/>
  <c r="G704" i="13"/>
  <c r="H704" i="13" s="1"/>
  <c r="G705" i="13"/>
  <c r="H705" i="13"/>
  <c r="G706" i="13"/>
  <c r="H706" i="13"/>
  <c r="G707" i="13"/>
  <c r="H707" i="13" s="1"/>
  <c r="G708" i="13"/>
  <c r="H708" i="13"/>
  <c r="G709" i="13"/>
  <c r="H709" i="13"/>
  <c r="G710" i="13"/>
  <c r="H710" i="13"/>
  <c r="G711" i="13"/>
  <c r="H711" i="13" s="1"/>
  <c r="G712" i="13"/>
  <c r="H712" i="13"/>
  <c r="G713" i="13"/>
  <c r="H713" i="13"/>
  <c r="G714" i="13"/>
  <c r="H714" i="13"/>
  <c r="G715" i="13"/>
  <c r="H715" i="13" s="1"/>
  <c r="G716" i="13"/>
  <c r="H716" i="13"/>
  <c r="G717" i="13"/>
  <c r="H717" i="13" s="1"/>
  <c r="G718" i="13"/>
  <c r="H718" i="13" s="1"/>
  <c r="G719" i="13"/>
  <c r="H719" i="13" s="1"/>
  <c r="G720" i="13"/>
  <c r="H720" i="13" s="1"/>
  <c r="G721" i="13"/>
  <c r="H721" i="13" s="1"/>
  <c r="G722" i="13"/>
  <c r="H722" i="13" s="1"/>
  <c r="G723" i="13"/>
  <c r="H723" i="13" s="1"/>
  <c r="G724" i="13"/>
  <c r="H724" i="13"/>
  <c r="G725" i="13"/>
  <c r="H725" i="13" s="1"/>
  <c r="G594" i="13"/>
  <c r="H594" i="13" s="1"/>
  <c r="G595" i="13"/>
  <c r="H595" i="13" s="1"/>
  <c r="H579" i="13"/>
  <c r="H580" i="13"/>
  <c r="H581" i="13"/>
  <c r="H582" i="13"/>
  <c r="H583" i="13"/>
  <c r="H584" i="13"/>
  <c r="H585" i="13"/>
  <c r="H586" i="13"/>
  <c r="H587" i="13"/>
  <c r="H588" i="13"/>
  <c r="H578" i="13"/>
  <c r="G535" i="13"/>
  <c r="H535" i="13"/>
  <c r="G536" i="13"/>
  <c r="H536" i="13" s="1"/>
  <c r="G537" i="13"/>
  <c r="H537" i="13"/>
  <c r="G538" i="13"/>
  <c r="H538" i="13" s="1"/>
  <c r="G539" i="13"/>
  <c r="H539" i="13" s="1"/>
  <c r="G540" i="13"/>
  <c r="H540" i="13" s="1"/>
  <c r="G541" i="13"/>
  <c r="H541" i="13" s="1"/>
  <c r="G542" i="13"/>
  <c r="H542" i="13" s="1"/>
  <c r="G543" i="13"/>
  <c r="H543" i="13" s="1"/>
  <c r="G544" i="13"/>
  <c r="H544" i="13" s="1"/>
  <c r="G545" i="13"/>
  <c r="H545" i="13"/>
  <c r="G546" i="13"/>
  <c r="H546" i="13" s="1"/>
  <c r="G547" i="13"/>
  <c r="H547" i="13" s="1"/>
  <c r="G548" i="13"/>
  <c r="H548" i="13" s="1"/>
  <c r="G549" i="13"/>
  <c r="H549" i="13" s="1"/>
  <c r="G550" i="13"/>
  <c r="H550" i="13" s="1"/>
  <c r="G551" i="13"/>
  <c r="H551" i="13"/>
  <c r="G552" i="13"/>
  <c r="H552" i="13" s="1"/>
  <c r="G553" i="13"/>
  <c r="H553" i="13"/>
  <c r="G554" i="13"/>
  <c r="H554" i="13" s="1"/>
  <c r="G555" i="13"/>
  <c r="H555" i="13"/>
  <c r="G556" i="13"/>
  <c r="H556" i="13" s="1"/>
  <c r="G557" i="13"/>
  <c r="H557" i="13" s="1"/>
  <c r="G558" i="13"/>
  <c r="H558" i="13" s="1"/>
  <c r="G559" i="13"/>
  <c r="H559" i="13" s="1"/>
  <c r="G560" i="13"/>
  <c r="H560" i="13" s="1"/>
  <c r="G561" i="13"/>
  <c r="H561" i="13"/>
  <c r="G562" i="13"/>
  <c r="H562" i="13" s="1"/>
  <c r="G563" i="13"/>
  <c r="H563" i="13"/>
  <c r="G564" i="13"/>
  <c r="H564" i="13" s="1"/>
  <c r="G565" i="13"/>
  <c r="H565" i="13" s="1"/>
  <c r="G566" i="13"/>
  <c r="H566" i="13" s="1"/>
  <c r="G567" i="13"/>
  <c r="H567" i="13"/>
  <c r="G568" i="13"/>
  <c r="H568" i="13" s="1"/>
  <c r="G569" i="13"/>
  <c r="H569" i="13"/>
  <c r="G570" i="13"/>
  <c r="H570" i="13" s="1"/>
  <c r="G571" i="13"/>
  <c r="H571" i="13"/>
  <c r="G572" i="13"/>
  <c r="H572" i="13" s="1"/>
  <c r="G573" i="13"/>
  <c r="H573" i="13" s="1"/>
  <c r="G574" i="13"/>
  <c r="H574" i="13" s="1"/>
  <c r="G575" i="13"/>
  <c r="H575" i="13" s="1"/>
  <c r="G576" i="13"/>
  <c r="H576" i="13" s="1"/>
  <c r="G577" i="13"/>
  <c r="H577" i="13" s="1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H589" i="13" s="1"/>
  <c r="G590" i="13"/>
  <c r="H590" i="13" s="1"/>
  <c r="G591" i="13"/>
  <c r="H591" i="13" s="1"/>
  <c r="G517" i="13"/>
  <c r="H517" i="13" s="1"/>
  <c r="G518" i="13"/>
  <c r="H518" i="13" s="1"/>
  <c r="G519" i="13"/>
  <c r="H519" i="13" s="1"/>
  <c r="G520" i="13"/>
  <c r="H520" i="13" s="1"/>
  <c r="G521" i="13"/>
  <c r="H521" i="13" s="1"/>
  <c r="G522" i="13"/>
  <c r="H522" i="13" s="1"/>
  <c r="G523" i="13"/>
  <c r="H523" i="13" s="1"/>
  <c r="G524" i="13"/>
  <c r="H524" i="13" s="1"/>
  <c r="G525" i="13"/>
  <c r="H525" i="13" s="1"/>
  <c r="G526" i="13"/>
  <c r="H526" i="13" s="1"/>
  <c r="G527" i="13"/>
  <c r="H527" i="13" s="1"/>
  <c r="G528" i="13"/>
  <c r="H528" i="13" s="1"/>
  <c r="G529" i="13"/>
  <c r="H529" i="13" s="1"/>
  <c r="G530" i="13"/>
  <c r="H530" i="13" s="1"/>
  <c r="G531" i="13"/>
  <c r="H531" i="13" s="1"/>
  <c r="G532" i="13"/>
  <c r="H532" i="13" s="1"/>
  <c r="G533" i="13"/>
  <c r="H533" i="13" s="1"/>
  <c r="G534" i="13"/>
  <c r="H534" i="13" s="1"/>
  <c r="G487" i="13"/>
  <c r="H487" i="13" s="1"/>
  <c r="G488" i="13"/>
  <c r="H488" i="13" s="1"/>
  <c r="G489" i="13"/>
  <c r="H489" i="13" s="1"/>
  <c r="G490" i="13"/>
  <c r="H490" i="13" s="1"/>
  <c r="G491" i="13"/>
  <c r="H491" i="13" s="1"/>
  <c r="G492" i="13"/>
  <c r="H492" i="13" s="1"/>
  <c r="G493" i="13"/>
  <c r="H493" i="13" s="1"/>
  <c r="G494" i="13"/>
  <c r="H494" i="13" s="1"/>
  <c r="G495" i="13"/>
  <c r="H495" i="13" s="1"/>
  <c r="G496" i="13"/>
  <c r="H496" i="13" s="1"/>
  <c r="G497" i="13"/>
  <c r="H497" i="13" s="1"/>
  <c r="G498" i="13"/>
  <c r="H498" i="13" s="1"/>
  <c r="G499" i="13"/>
  <c r="H499" i="13" s="1"/>
  <c r="G500" i="13"/>
  <c r="H500" i="13" s="1"/>
  <c r="G501" i="13"/>
  <c r="H501" i="13" s="1"/>
  <c r="G502" i="13"/>
  <c r="H502" i="13" s="1"/>
  <c r="G503" i="13"/>
  <c r="H503" i="13" s="1"/>
  <c r="G504" i="13"/>
  <c r="H504" i="13" s="1"/>
  <c r="G505" i="13"/>
  <c r="H505" i="13" s="1"/>
  <c r="G506" i="13"/>
  <c r="H506" i="13" s="1"/>
  <c r="G507" i="13"/>
  <c r="H507" i="13" s="1"/>
  <c r="G508" i="13"/>
  <c r="H508" i="13" s="1"/>
  <c r="G509" i="13"/>
  <c r="H509" i="13" s="1"/>
  <c r="G510" i="13"/>
  <c r="H510" i="13" s="1"/>
  <c r="G511" i="13"/>
  <c r="H511" i="13" s="1"/>
  <c r="G512" i="13"/>
  <c r="H512" i="13" s="1"/>
  <c r="G513" i="13"/>
  <c r="H513" i="13" s="1"/>
  <c r="G514" i="13"/>
  <c r="H514" i="13" s="1"/>
  <c r="G515" i="13"/>
  <c r="H515" i="13" s="1"/>
  <c r="G516" i="13"/>
  <c r="H516" i="13" s="1"/>
  <c r="H480" i="13"/>
  <c r="G467" i="13"/>
  <c r="H467" i="13" s="1"/>
  <c r="G468" i="13"/>
  <c r="H468" i="13" s="1"/>
  <c r="G469" i="13"/>
  <c r="H469" i="13" s="1"/>
  <c r="G470" i="13"/>
  <c r="H470" i="13" s="1"/>
  <c r="G471" i="13"/>
  <c r="H471" i="13" s="1"/>
  <c r="G472" i="13"/>
  <c r="H472" i="13" s="1"/>
  <c r="G473" i="13"/>
  <c r="H473" i="13" s="1"/>
  <c r="G474" i="13"/>
  <c r="H474" i="13" s="1"/>
  <c r="G475" i="13"/>
  <c r="H475" i="13" s="1"/>
  <c r="G476" i="13"/>
  <c r="H476" i="13"/>
  <c r="G477" i="13"/>
  <c r="H477" i="13" s="1"/>
  <c r="G478" i="13"/>
  <c r="H478" i="13" s="1"/>
  <c r="G479" i="13"/>
  <c r="H479" i="13" s="1"/>
  <c r="G480" i="13"/>
  <c r="G481" i="13"/>
  <c r="H481" i="13" s="1"/>
  <c r="G482" i="13"/>
  <c r="H482" i="13" s="1"/>
  <c r="G483" i="13"/>
  <c r="H483" i="13" s="1"/>
  <c r="G484" i="13"/>
  <c r="H484" i="13" s="1"/>
  <c r="G485" i="13"/>
  <c r="H485" i="13" s="1"/>
  <c r="G486" i="13"/>
  <c r="H486" i="13"/>
  <c r="H463" i="13"/>
  <c r="H453" i="13"/>
  <c r="H442" i="13"/>
  <c r="H430" i="13"/>
  <c r="H419" i="13"/>
  <c r="H408" i="13"/>
  <c r="H396" i="13"/>
  <c r="G387" i="13"/>
  <c r="H387" i="13" s="1"/>
  <c r="G388" i="13"/>
  <c r="H388" i="13" s="1"/>
  <c r="G389" i="13"/>
  <c r="H389" i="13" s="1"/>
  <c r="G390" i="13"/>
  <c r="H390" i="13" s="1"/>
  <c r="G391" i="13"/>
  <c r="H391" i="13" s="1"/>
  <c r="G392" i="13"/>
  <c r="H392" i="13" s="1"/>
  <c r="G393" i="13"/>
  <c r="H393" i="13" s="1"/>
  <c r="G395" i="13"/>
  <c r="H395" i="13" s="1"/>
  <c r="G396" i="13"/>
  <c r="G397" i="13"/>
  <c r="H397" i="13" s="1"/>
  <c r="G398" i="13"/>
  <c r="H398" i="13"/>
  <c r="G399" i="13"/>
  <c r="H399" i="13" s="1"/>
  <c r="G400" i="13"/>
  <c r="H400" i="13" s="1"/>
  <c r="G401" i="13"/>
  <c r="H401" i="13" s="1"/>
  <c r="G402" i="13"/>
  <c r="H402" i="13"/>
  <c r="G403" i="13"/>
  <c r="H403" i="13" s="1"/>
  <c r="G404" i="13"/>
  <c r="H404" i="13" s="1"/>
  <c r="G405" i="13"/>
  <c r="H405" i="13" s="1"/>
  <c r="G407" i="13"/>
  <c r="H407" i="13" s="1"/>
  <c r="G408" i="13"/>
  <c r="G409" i="13"/>
  <c r="H409" i="13" s="1"/>
  <c r="G410" i="13"/>
  <c r="H410" i="13" s="1"/>
  <c r="G411" i="13"/>
  <c r="H411" i="13" s="1"/>
  <c r="G412" i="13"/>
  <c r="H412" i="13" s="1"/>
  <c r="G414" i="13"/>
  <c r="H414" i="13" s="1"/>
  <c r="G415" i="13"/>
  <c r="H415" i="13" s="1"/>
  <c r="G416" i="13"/>
  <c r="H416" i="13"/>
  <c r="G418" i="13"/>
  <c r="H418" i="13" s="1"/>
  <c r="G419" i="13"/>
  <c r="G420" i="13"/>
  <c r="H420" i="13" s="1"/>
  <c r="G421" i="13"/>
  <c r="H421" i="13" s="1"/>
  <c r="G422" i="13"/>
  <c r="H422" i="13" s="1"/>
  <c r="G423" i="13"/>
  <c r="H423" i="13" s="1"/>
  <c r="G425" i="13"/>
  <c r="H425" i="13" s="1"/>
  <c r="G426" i="13"/>
  <c r="H426" i="13" s="1"/>
  <c r="G427" i="13"/>
  <c r="H427" i="13" s="1"/>
  <c r="G429" i="13"/>
  <c r="H429" i="13"/>
  <c r="G430" i="13"/>
  <c r="G431" i="13"/>
  <c r="H431" i="13" s="1"/>
  <c r="G432" i="13"/>
  <c r="H432" i="13" s="1"/>
  <c r="G433" i="13"/>
  <c r="H433" i="13" s="1"/>
  <c r="G434" i="13"/>
  <c r="H434" i="13" s="1"/>
  <c r="G435" i="13"/>
  <c r="H435" i="13" s="1"/>
  <c r="G437" i="13"/>
  <c r="H437" i="13" s="1"/>
  <c r="G438" i="13"/>
  <c r="H438" i="13" s="1"/>
  <c r="G439" i="13"/>
  <c r="H439" i="13" s="1"/>
  <c r="G441" i="13"/>
  <c r="H441" i="13" s="1"/>
  <c r="G442" i="13"/>
  <c r="G443" i="13"/>
  <c r="H443" i="13" s="1"/>
  <c r="G444" i="13"/>
  <c r="H444" i="13" s="1"/>
  <c r="G445" i="13"/>
  <c r="H445" i="13" s="1"/>
  <c r="G446" i="13"/>
  <c r="H446" i="13" s="1"/>
  <c r="G448" i="13"/>
  <c r="H448" i="13" s="1"/>
  <c r="G449" i="13"/>
  <c r="H449" i="13" s="1"/>
  <c r="G450" i="13"/>
  <c r="H450" i="13" s="1"/>
  <c r="G452" i="13"/>
  <c r="H452" i="13" s="1"/>
  <c r="G453" i="13"/>
  <c r="G454" i="13"/>
  <c r="H454" i="13" s="1"/>
  <c r="G455" i="13"/>
  <c r="H455" i="13" s="1"/>
  <c r="G456" i="13"/>
  <c r="H456" i="13" s="1"/>
  <c r="G457" i="13"/>
  <c r="H457" i="13" s="1"/>
  <c r="G459" i="13"/>
  <c r="H459" i="13" s="1"/>
  <c r="G460" i="13"/>
  <c r="H460" i="13" s="1"/>
  <c r="G461" i="13"/>
  <c r="H461" i="13" s="1"/>
  <c r="G462" i="13"/>
  <c r="H462" i="13" s="1"/>
  <c r="G463" i="13"/>
  <c r="G464" i="13"/>
  <c r="H464" i="13" s="1"/>
  <c r="G465" i="13"/>
  <c r="H465" i="13" s="1"/>
  <c r="G466" i="13"/>
  <c r="H466" i="13" s="1"/>
  <c r="H386" i="13"/>
  <c r="G385" i="13"/>
  <c r="H385" i="13"/>
  <c r="G386" i="13"/>
  <c r="H384" i="13"/>
  <c r="H376" i="13"/>
  <c r="H366" i="13"/>
  <c r="H354" i="13"/>
  <c r="H342" i="13"/>
  <c r="H330" i="13"/>
  <c r="H314" i="13"/>
  <c r="H298" i="13"/>
  <c r="H282" i="13"/>
  <c r="H266" i="13"/>
  <c r="H251" i="13"/>
  <c r="H236" i="13"/>
  <c r="G241" i="13"/>
  <c r="H241" i="13" s="1"/>
  <c r="G242" i="13"/>
  <c r="H242" i="13" s="1"/>
  <c r="G243" i="13"/>
  <c r="H243" i="13" s="1"/>
  <c r="G244" i="13"/>
  <c r="H244" i="13" s="1"/>
  <c r="G245" i="13"/>
  <c r="H245" i="13" s="1"/>
  <c r="G246" i="13"/>
  <c r="H246" i="13" s="1"/>
  <c r="G247" i="13"/>
  <c r="H247" i="13" s="1"/>
  <c r="G248" i="13"/>
  <c r="H248" i="13"/>
  <c r="G249" i="13"/>
  <c r="H249" i="13" s="1"/>
  <c r="G250" i="13"/>
  <c r="H250" i="13" s="1"/>
  <c r="G251" i="13"/>
  <c r="G252" i="13"/>
  <c r="H252" i="13" s="1"/>
  <c r="G253" i="13"/>
  <c r="H253" i="13" s="1"/>
  <c r="G254" i="13"/>
  <c r="H254" i="13" s="1"/>
  <c r="G255" i="13"/>
  <c r="H255" i="13" s="1"/>
  <c r="G256" i="13"/>
  <c r="H256" i="13" s="1"/>
  <c r="G257" i="13"/>
  <c r="H257" i="13" s="1"/>
  <c r="G258" i="13"/>
  <c r="H258" i="13" s="1"/>
  <c r="G259" i="13"/>
  <c r="H259" i="13" s="1"/>
  <c r="G260" i="13"/>
  <c r="H260" i="13" s="1"/>
  <c r="G261" i="13"/>
  <c r="H261" i="13" s="1"/>
  <c r="G262" i="13"/>
  <c r="H262" i="13" s="1"/>
  <c r="G263" i="13"/>
  <c r="H263" i="13" s="1"/>
  <c r="G264" i="13"/>
  <c r="H264" i="13" s="1"/>
  <c r="G265" i="13"/>
  <c r="H265" i="13" s="1"/>
  <c r="G266" i="13"/>
  <c r="G267" i="13"/>
  <c r="H267" i="13"/>
  <c r="G268" i="13"/>
  <c r="H268" i="13"/>
  <c r="G269" i="13"/>
  <c r="H269" i="13" s="1"/>
  <c r="G270" i="13"/>
  <c r="H270" i="13" s="1"/>
  <c r="G271" i="13"/>
  <c r="H271" i="13"/>
  <c r="G272" i="13"/>
  <c r="H272" i="13"/>
  <c r="G273" i="13"/>
  <c r="H273" i="13" s="1"/>
  <c r="G274" i="13"/>
  <c r="H274" i="13" s="1"/>
  <c r="G275" i="13"/>
  <c r="H275" i="13"/>
  <c r="G276" i="13"/>
  <c r="H276" i="13"/>
  <c r="G277" i="13"/>
  <c r="H277" i="13" s="1"/>
  <c r="G278" i="13"/>
  <c r="H278" i="13"/>
  <c r="G279" i="13"/>
  <c r="H279" i="13"/>
  <c r="G281" i="13"/>
  <c r="H281" i="13"/>
  <c r="G282" i="13"/>
  <c r="G283" i="13"/>
  <c r="H283" i="13" s="1"/>
  <c r="G284" i="13"/>
  <c r="H284" i="13" s="1"/>
  <c r="G285" i="13"/>
  <c r="H285" i="13" s="1"/>
  <c r="G286" i="13"/>
  <c r="H286" i="13" s="1"/>
  <c r="G287" i="13"/>
  <c r="H287" i="13" s="1"/>
  <c r="G288" i="13"/>
  <c r="H288" i="13" s="1"/>
  <c r="G289" i="13"/>
  <c r="H289" i="13" s="1"/>
  <c r="G290" i="13"/>
  <c r="H290" i="13" s="1"/>
  <c r="G291" i="13"/>
  <c r="H291" i="13" s="1"/>
  <c r="G292" i="13"/>
  <c r="H292" i="13" s="1"/>
  <c r="G293" i="13"/>
  <c r="H293" i="13" s="1"/>
  <c r="G294" i="13"/>
  <c r="H294" i="13" s="1"/>
  <c r="G295" i="13"/>
  <c r="H295" i="13" s="1"/>
  <c r="G297" i="13"/>
  <c r="H297" i="13" s="1"/>
  <c r="G298" i="13"/>
  <c r="G299" i="13"/>
  <c r="H299" i="13" s="1"/>
  <c r="G300" i="13"/>
  <c r="H300" i="13"/>
  <c r="G301" i="13"/>
  <c r="H301" i="13" s="1"/>
  <c r="G302" i="13"/>
  <c r="H302" i="13"/>
  <c r="G303" i="13"/>
  <c r="H303" i="13" s="1"/>
  <c r="G304" i="13"/>
  <c r="H304" i="13"/>
  <c r="G305" i="13"/>
  <c r="H305" i="13" s="1"/>
  <c r="G306" i="13"/>
  <c r="H306" i="13"/>
  <c r="G307" i="13"/>
  <c r="H307" i="13" s="1"/>
  <c r="G308" i="13"/>
  <c r="H308" i="13"/>
  <c r="G309" i="13"/>
  <c r="H309" i="13" s="1"/>
  <c r="G310" i="13"/>
  <c r="H310" i="13"/>
  <c r="G311" i="13"/>
  <c r="H311" i="13" s="1"/>
  <c r="G313" i="13"/>
  <c r="H313" i="13"/>
  <c r="G314" i="13"/>
  <c r="G315" i="13"/>
  <c r="H315" i="13" s="1"/>
  <c r="G316" i="13"/>
  <c r="H316" i="13" s="1"/>
  <c r="G317" i="13"/>
  <c r="H317" i="13" s="1"/>
  <c r="G318" i="13"/>
  <c r="H318" i="13" s="1"/>
  <c r="G319" i="13"/>
  <c r="H319" i="13" s="1"/>
  <c r="G320" i="13"/>
  <c r="H320" i="13" s="1"/>
  <c r="G321" i="13"/>
  <c r="H321" i="13" s="1"/>
  <c r="G322" i="13"/>
  <c r="H322" i="13" s="1"/>
  <c r="G323" i="13"/>
  <c r="H323" i="13" s="1"/>
  <c r="G324" i="13"/>
  <c r="H324" i="13" s="1"/>
  <c r="G325" i="13"/>
  <c r="H325" i="13" s="1"/>
  <c r="G326" i="13"/>
  <c r="H326" i="13" s="1"/>
  <c r="G327" i="13"/>
  <c r="H327" i="13" s="1"/>
  <c r="G329" i="13"/>
  <c r="H329" i="13" s="1"/>
  <c r="G330" i="13"/>
  <c r="G331" i="13"/>
  <c r="H331" i="13"/>
  <c r="G332" i="13"/>
  <c r="H332" i="13"/>
  <c r="G333" i="13"/>
  <c r="H333" i="13" s="1"/>
  <c r="G334" i="13"/>
  <c r="H334" i="13"/>
  <c r="G335" i="13"/>
  <c r="H335" i="13"/>
  <c r="G336" i="13"/>
  <c r="H336" i="13"/>
  <c r="G337" i="13"/>
  <c r="H337" i="13" s="1"/>
  <c r="G338" i="13"/>
  <c r="H338" i="13"/>
  <c r="G339" i="13"/>
  <c r="H339" i="13"/>
  <c r="G340" i="13"/>
  <c r="H340" i="13"/>
  <c r="G341" i="13"/>
  <c r="H341" i="13" s="1"/>
  <c r="G342" i="13"/>
  <c r="G343" i="13"/>
  <c r="H343" i="13" s="1"/>
  <c r="G344" i="13"/>
  <c r="H344" i="13" s="1"/>
  <c r="G345" i="13"/>
  <c r="H345" i="13" s="1"/>
  <c r="G346" i="13"/>
  <c r="H346" i="13" s="1"/>
  <c r="G347" i="13"/>
  <c r="H347" i="13" s="1"/>
  <c r="G348" i="13"/>
  <c r="H348" i="13" s="1"/>
  <c r="G349" i="13"/>
  <c r="H349" i="13" s="1"/>
  <c r="G350" i="13"/>
  <c r="H350" i="13" s="1"/>
  <c r="G351" i="13"/>
  <c r="H351" i="13" s="1"/>
  <c r="G352" i="13"/>
  <c r="H352" i="13" s="1"/>
  <c r="G353" i="13"/>
  <c r="H353" i="13" s="1"/>
  <c r="G354" i="13"/>
  <c r="G355" i="13"/>
  <c r="H355" i="13"/>
  <c r="G356" i="13"/>
  <c r="H356" i="13"/>
  <c r="G357" i="13"/>
  <c r="H357" i="13" s="1"/>
  <c r="G358" i="13"/>
  <c r="H358" i="13" s="1"/>
  <c r="G359" i="13"/>
  <c r="H359" i="13"/>
  <c r="G360" i="13"/>
  <c r="H360" i="13"/>
  <c r="G361" i="13"/>
  <c r="H361" i="13" s="1"/>
  <c r="G362" i="13"/>
  <c r="H362" i="13" s="1"/>
  <c r="G363" i="13"/>
  <c r="H363" i="13"/>
  <c r="G364" i="13"/>
  <c r="H364" i="13"/>
  <c r="G365" i="13"/>
  <c r="H365" i="13" s="1"/>
  <c r="G366" i="13"/>
  <c r="G367" i="13"/>
  <c r="H367" i="13" s="1"/>
  <c r="G368" i="13"/>
  <c r="H368" i="13" s="1"/>
  <c r="G369" i="13"/>
  <c r="H369" i="13" s="1"/>
  <c r="G370" i="13"/>
  <c r="H370" i="13" s="1"/>
  <c r="G371" i="13"/>
  <c r="H371" i="13" s="1"/>
  <c r="G372" i="13"/>
  <c r="H372" i="13" s="1"/>
  <c r="G373" i="13"/>
  <c r="H373" i="13" s="1"/>
  <c r="G374" i="13"/>
  <c r="H374" i="13" s="1"/>
  <c r="G375" i="13"/>
  <c r="H375" i="13" s="1"/>
  <c r="G376" i="13"/>
  <c r="G377" i="13"/>
  <c r="H377" i="13" s="1"/>
  <c r="G378" i="13"/>
  <c r="H378" i="13" s="1"/>
  <c r="G379" i="13"/>
  <c r="H379" i="13" s="1"/>
  <c r="G380" i="13"/>
  <c r="H380" i="13"/>
  <c r="G381" i="13"/>
  <c r="H381" i="13" s="1"/>
  <c r="G382" i="13"/>
  <c r="H382" i="13" s="1"/>
  <c r="G383" i="13"/>
  <c r="H383" i="13"/>
  <c r="G384" i="13"/>
  <c r="G229" i="13"/>
  <c r="H229" i="13" s="1"/>
  <c r="G230" i="13"/>
  <c r="H230" i="13" s="1"/>
  <c r="G231" i="13"/>
  <c r="H231" i="13" s="1"/>
  <c r="G232" i="13"/>
  <c r="H232" i="13" s="1"/>
  <c r="G233" i="13"/>
  <c r="H233" i="13" s="1"/>
  <c r="G234" i="13"/>
  <c r="H234" i="13" s="1"/>
  <c r="G235" i="13"/>
  <c r="H235" i="13" s="1"/>
  <c r="G236" i="13"/>
  <c r="G237" i="13"/>
  <c r="H237" i="13"/>
  <c r="G238" i="13"/>
  <c r="H238" i="13"/>
  <c r="G239" i="13"/>
  <c r="H239" i="13" s="1"/>
  <c r="G240" i="13"/>
  <c r="H240" i="13" s="1"/>
  <c r="G228" i="13"/>
  <c r="H228" i="13" s="1"/>
  <c r="B207" i="13"/>
  <c r="B185" i="13"/>
  <c r="B188" i="13"/>
  <c r="B210" i="13" s="1"/>
  <c r="B189" i="13"/>
  <c r="B211" i="13" s="1"/>
  <c r="B190" i="13"/>
  <c r="B212" i="13" s="1"/>
  <c r="B191" i="13"/>
  <c r="B213" i="13" s="1"/>
  <c r="B192" i="13"/>
  <c r="B214" i="13" s="1"/>
  <c r="B194" i="13"/>
  <c r="B216" i="13" s="1"/>
  <c r="B195" i="13"/>
  <c r="B217" i="13" s="1"/>
  <c r="B197" i="13"/>
  <c r="B219" i="13" s="1"/>
  <c r="B198" i="13"/>
  <c r="B220" i="13" s="1"/>
  <c r="B199" i="13"/>
  <c r="B221" i="13" s="1"/>
  <c r="B200" i="13"/>
  <c r="B222" i="13" s="1"/>
  <c r="B201" i="13"/>
  <c r="B223" i="13" s="1"/>
  <c r="B203" i="13"/>
  <c r="B225" i="13" s="1"/>
  <c r="B204" i="13"/>
  <c r="B226" i="13" s="1"/>
  <c r="B184" i="13"/>
  <c r="B206" i="13" s="1"/>
  <c r="B133" i="13"/>
  <c r="B134" i="13"/>
  <c r="B160" i="13" s="1"/>
  <c r="B186" i="13" s="1"/>
  <c r="B208" i="13" s="1"/>
  <c r="B135" i="13"/>
  <c r="B161" i="13" s="1"/>
  <c r="B187" i="13" s="1"/>
  <c r="B209" i="13" s="1"/>
  <c r="B136" i="13"/>
  <c r="B137" i="13"/>
  <c r="B138" i="13"/>
  <c r="B139" i="13"/>
  <c r="B140" i="13"/>
  <c r="B141" i="13"/>
  <c r="B167" i="13" s="1"/>
  <c r="B193" i="13" s="1"/>
  <c r="B215" i="13" s="1"/>
  <c r="B142" i="13"/>
  <c r="B143" i="13"/>
  <c r="B144" i="13"/>
  <c r="B170" i="13" s="1"/>
  <c r="B196" i="13" s="1"/>
  <c r="B218" i="13" s="1"/>
  <c r="B145" i="13"/>
  <c r="B146" i="13"/>
  <c r="B147" i="13"/>
  <c r="B148" i="13"/>
  <c r="B149" i="13"/>
  <c r="B150" i="13"/>
  <c r="B176" i="13" s="1"/>
  <c r="B202" i="13" s="1"/>
  <c r="B224" i="13" s="1"/>
  <c r="B151" i="13"/>
  <c r="B152" i="13"/>
  <c r="B153" i="13"/>
  <c r="B179" i="13" s="1"/>
  <c r="B132" i="13"/>
  <c r="H114" i="13"/>
  <c r="H115" i="13"/>
  <c r="H113" i="13"/>
  <c r="H105" i="13"/>
  <c r="G105" i="13"/>
  <c r="G106" i="13"/>
  <c r="H106" i="13" s="1"/>
  <c r="G107" i="13"/>
  <c r="H107" i="13" s="1"/>
  <c r="G108" i="13"/>
  <c r="H108" i="13" s="1"/>
  <c r="G109" i="13"/>
  <c r="H109" i="13" s="1"/>
  <c r="G110" i="13"/>
  <c r="H110" i="13" s="1"/>
  <c r="G111" i="13"/>
  <c r="H111" i="13" s="1"/>
  <c r="G112" i="13"/>
  <c r="H112" i="13" s="1"/>
  <c r="G113" i="13"/>
  <c r="G114" i="13"/>
  <c r="G115" i="13"/>
  <c r="G116" i="13"/>
  <c r="H116" i="13" s="1"/>
  <c r="G117" i="13"/>
  <c r="H117" i="13" s="1"/>
  <c r="G118" i="13"/>
  <c r="H118" i="13" s="1"/>
  <c r="G119" i="13"/>
  <c r="H119" i="13" s="1"/>
  <c r="G120" i="13"/>
  <c r="H120" i="13" s="1"/>
  <c r="G121" i="13"/>
  <c r="H121" i="13" s="1"/>
  <c r="G122" i="13"/>
  <c r="H122" i="13" s="1"/>
  <c r="G123" i="13"/>
  <c r="H123" i="13" s="1"/>
  <c r="G124" i="13"/>
  <c r="H124" i="13" s="1"/>
  <c r="G125" i="13"/>
  <c r="H125" i="13" s="1"/>
  <c r="G126" i="13"/>
  <c r="H126" i="13" s="1"/>
  <c r="G127" i="13"/>
  <c r="H127" i="13" s="1"/>
  <c r="G89" i="13"/>
  <c r="H89" i="13" s="1"/>
  <c r="G90" i="13"/>
  <c r="H90" i="13" s="1"/>
  <c r="G91" i="13"/>
  <c r="H91" i="13" s="1"/>
  <c r="G92" i="13"/>
  <c r="H92" i="13" s="1"/>
  <c r="G93" i="13"/>
  <c r="H93" i="13" s="1"/>
  <c r="G94" i="13"/>
  <c r="H94" i="13" s="1"/>
  <c r="G95" i="13"/>
  <c r="H95" i="13" s="1"/>
  <c r="G96" i="13"/>
  <c r="H96" i="13" s="1"/>
  <c r="G97" i="13"/>
  <c r="H97" i="13" s="1"/>
  <c r="G98" i="13"/>
  <c r="H98" i="13" s="1"/>
  <c r="G99" i="13"/>
  <c r="H99" i="13" s="1"/>
  <c r="G100" i="13"/>
  <c r="H100" i="13" s="1"/>
  <c r="G101" i="13"/>
  <c r="H101" i="13" s="1"/>
  <c r="G102" i="13"/>
  <c r="H102" i="13" s="1"/>
  <c r="G103" i="13"/>
  <c r="H103" i="13" s="1"/>
  <c r="G104" i="13"/>
  <c r="H104" i="13" s="1"/>
  <c r="H86" i="13"/>
  <c r="H81" i="13"/>
  <c r="H76" i="13"/>
  <c r="H71" i="13"/>
  <c r="G62" i="13"/>
  <c r="H62" i="13" s="1"/>
  <c r="G63" i="13"/>
  <c r="H63" i="13" s="1"/>
  <c r="G65" i="13"/>
  <c r="H65" i="13" s="1"/>
  <c r="G66" i="13"/>
  <c r="H66" i="13" s="1"/>
  <c r="G67" i="13"/>
  <c r="H67" i="13" s="1"/>
  <c r="G69" i="13"/>
  <c r="H69" i="13" s="1"/>
  <c r="G70" i="13"/>
  <c r="H70" i="13" s="1"/>
  <c r="G71" i="13"/>
  <c r="G72" i="13"/>
  <c r="H72" i="13" s="1"/>
  <c r="G73" i="13"/>
  <c r="H73" i="13" s="1"/>
  <c r="G74" i="13"/>
  <c r="H74" i="13" s="1"/>
  <c r="G75" i="13"/>
  <c r="H75" i="13" s="1"/>
  <c r="G76" i="13"/>
  <c r="G77" i="13"/>
  <c r="H77" i="13" s="1"/>
  <c r="G78" i="13"/>
  <c r="H78" i="13" s="1"/>
  <c r="G79" i="13"/>
  <c r="H79" i="13" s="1"/>
  <c r="G80" i="13"/>
  <c r="H80" i="13" s="1"/>
  <c r="G81" i="13"/>
  <c r="G82" i="13"/>
  <c r="H82" i="13" s="1"/>
  <c r="G83" i="13"/>
  <c r="H83" i="13" s="1"/>
  <c r="G84" i="13"/>
  <c r="H84" i="13" s="1"/>
  <c r="G85" i="13"/>
  <c r="H85" i="13" s="1"/>
  <c r="G86" i="13"/>
  <c r="G87" i="13"/>
  <c r="H87" i="13" s="1"/>
  <c r="G88" i="13"/>
  <c r="H88" i="13" s="1"/>
  <c r="G61" i="13"/>
  <c r="H61" i="13" s="1"/>
  <c r="A349" i="3" l="1"/>
  <c r="AF13" i="1"/>
  <c r="AF12" i="1"/>
  <c r="AF11" i="1"/>
  <c r="AA610" i="4" l="1"/>
  <c r="Y610" i="4"/>
  <c r="AB610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07" i="4"/>
  <c r="AC86" i="1"/>
  <c r="AC87" i="1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61" i="3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1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284" i="4"/>
  <c r="K283" i="4"/>
  <c r="K280" i="4"/>
  <c r="K281" i="4"/>
  <c r="K282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54" i="4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491" i="3"/>
  <c r="B459" i="3" l="1"/>
  <c r="I265" i="2" l="1"/>
  <c r="E357" i="3"/>
  <c r="E351" i="3"/>
  <c r="F351" i="3" s="1"/>
  <c r="F348" i="3"/>
  <c r="E348" i="3"/>
  <c r="C331" i="3"/>
  <c r="D331" i="3" l="1"/>
  <c r="E67" i="1" s="1"/>
  <c r="A406" i="2"/>
  <c r="A405" i="2"/>
  <c r="A404" i="2"/>
  <c r="BN52" i="1" l="1"/>
  <c r="BN56" i="1" s="1"/>
  <c r="BN60" i="1" s="1"/>
  <c r="BN64" i="1" s="1"/>
  <c r="AO406" i="2"/>
  <c r="BN50" i="1"/>
  <c r="BN54" i="1" s="1"/>
  <c r="BN55" i="1" s="1"/>
  <c r="AO405" i="2"/>
  <c r="BN49" i="1"/>
  <c r="BN53" i="1" s="1"/>
  <c r="BN57" i="1" s="1"/>
  <c r="BN61" i="1" s="1"/>
  <c r="AO404" i="2"/>
  <c r="A551" i="4"/>
  <c r="BN58" i="1" l="1"/>
  <c r="BN62" i="1" s="1"/>
  <c r="BN63" i="1" s="1"/>
  <c r="BN51" i="1"/>
  <c r="BN59" i="1" l="1"/>
  <c r="AF27" i="1"/>
  <c r="AF26" i="1"/>
  <c r="AF25" i="1"/>
  <c r="F2" i="3" l="1"/>
  <c r="C463" i="13" l="1"/>
  <c r="C462" i="13"/>
  <c r="C461" i="13"/>
  <c r="C460" i="13"/>
  <c r="C459" i="13"/>
  <c r="C457" i="13"/>
  <c r="C456" i="13"/>
  <c r="C455" i="13"/>
  <c r="C454" i="13"/>
  <c r="C443" i="13"/>
  <c r="C442" i="13"/>
  <c r="C441" i="13"/>
  <c r="C439" i="13"/>
  <c r="C438" i="13"/>
  <c r="C437" i="13"/>
  <c r="C435" i="13"/>
  <c r="C434" i="13"/>
  <c r="C433" i="13"/>
  <c r="C432" i="13"/>
  <c r="C431" i="13"/>
  <c r="C420" i="13"/>
  <c r="C419" i="13"/>
  <c r="C418" i="13"/>
  <c r="C416" i="13"/>
  <c r="C415" i="13"/>
  <c r="C414" i="13"/>
  <c r="C412" i="13"/>
  <c r="C411" i="13"/>
  <c r="C410" i="13"/>
  <c r="C409" i="13"/>
  <c r="C399" i="13"/>
  <c r="C397" i="13"/>
  <c r="C396" i="13"/>
  <c r="C395" i="13"/>
  <c r="C393" i="13"/>
  <c r="C392" i="13"/>
  <c r="C391" i="13"/>
  <c r="C390" i="13"/>
  <c r="C389" i="13"/>
  <c r="C388" i="13"/>
  <c r="C387" i="13"/>
  <c r="C386" i="13"/>
  <c r="J21" i="8"/>
  <c r="J22" i="8"/>
  <c r="J23" i="8"/>
  <c r="J24" i="8"/>
  <c r="J25" i="8"/>
  <c r="J26" i="8"/>
  <c r="J27" i="8"/>
  <c r="J28" i="8"/>
  <c r="J29" i="8"/>
  <c r="H21" i="8"/>
  <c r="J21" i="7"/>
  <c r="J22" i="7"/>
  <c r="J23" i="7"/>
  <c r="J24" i="7"/>
  <c r="J25" i="7"/>
  <c r="J26" i="7"/>
  <c r="J27" i="7"/>
  <c r="J28" i="7"/>
  <c r="J29" i="7"/>
  <c r="J21" i="5"/>
  <c r="J22" i="5"/>
  <c r="J23" i="5"/>
  <c r="J24" i="5"/>
  <c r="C2" i="13" s="1"/>
  <c r="J25" i="5"/>
  <c r="J26" i="5"/>
  <c r="C3" i="13" s="1"/>
  <c r="D3" i="13" s="1"/>
  <c r="J27" i="5"/>
  <c r="C4" i="13" s="1"/>
  <c r="J28" i="5"/>
  <c r="C5" i="13" s="1"/>
  <c r="J29" i="5"/>
  <c r="C6" i="13" s="1"/>
  <c r="I3" i="5"/>
  <c r="J3" i="5"/>
  <c r="I4" i="5"/>
  <c r="J4" i="5"/>
  <c r="I5" i="5"/>
  <c r="J5" i="5"/>
  <c r="I6" i="5"/>
  <c r="J6" i="5"/>
  <c r="I7" i="5"/>
  <c r="J7" i="5"/>
  <c r="I8" i="5"/>
  <c r="J8" i="5"/>
  <c r="J9" i="5"/>
  <c r="C23" i="13" s="1"/>
  <c r="J10" i="5"/>
  <c r="C24" i="13" s="1"/>
  <c r="J11" i="5"/>
  <c r="C25" i="13" s="1"/>
  <c r="I12" i="5"/>
  <c r="J12" i="5"/>
  <c r="I13" i="5"/>
  <c r="J13" i="5"/>
  <c r="J14" i="5"/>
  <c r="C7" i="13" s="1"/>
  <c r="J15" i="5"/>
  <c r="C41" i="13" s="1"/>
  <c r="I16" i="5"/>
  <c r="J16" i="5"/>
  <c r="J17" i="5"/>
  <c r="C9" i="13" s="1"/>
  <c r="J18" i="5"/>
  <c r="C10" i="13" s="1"/>
  <c r="J19" i="5"/>
  <c r="C11" i="13" s="1"/>
  <c r="J20" i="5"/>
  <c r="C12" i="13" s="1"/>
  <c r="I30" i="5"/>
  <c r="J30" i="5"/>
  <c r="I31" i="5"/>
  <c r="J31" i="5"/>
  <c r="I32" i="5"/>
  <c r="J32" i="5"/>
  <c r="J33" i="5"/>
  <c r="C13" i="13" s="1"/>
  <c r="I34" i="5"/>
  <c r="J34" i="5"/>
  <c r="J35" i="5"/>
  <c r="C14" i="13" s="1"/>
  <c r="J36" i="5"/>
  <c r="C15" i="13" s="1"/>
  <c r="J37" i="5"/>
  <c r="C56" i="13" s="1"/>
  <c r="J38" i="5"/>
  <c r="C17" i="13" s="1"/>
  <c r="I39" i="5"/>
  <c r="J39" i="5"/>
  <c r="I40" i="5"/>
  <c r="J40" i="5"/>
  <c r="I41" i="5"/>
  <c r="J41" i="5"/>
  <c r="J42" i="5"/>
  <c r="C18" i="13" s="1"/>
  <c r="I43" i="5"/>
  <c r="J43" i="5"/>
  <c r="J44" i="5"/>
  <c r="C19" i="13" s="1"/>
  <c r="J45" i="5"/>
  <c r="C20" i="13" s="1"/>
  <c r="J46" i="5"/>
  <c r="C21" i="13" s="1"/>
  <c r="J47" i="5"/>
  <c r="C22" i="13" s="1"/>
  <c r="J48" i="5"/>
  <c r="C26" i="13" s="1"/>
  <c r="J49" i="5"/>
  <c r="C27" i="13" s="1"/>
  <c r="J50" i="5"/>
  <c r="C28" i="13" s="1"/>
  <c r="J51" i="5"/>
  <c r="C45" i="13" s="1"/>
  <c r="J52" i="5"/>
  <c r="C30" i="13" s="1"/>
  <c r="J53" i="5"/>
  <c r="C31" i="13" s="1"/>
  <c r="J54" i="5"/>
  <c r="C50" i="13" s="1"/>
  <c r="J55" i="5"/>
  <c r="C47" i="13" s="1"/>
  <c r="J56" i="5"/>
  <c r="C52" i="13" s="1"/>
  <c r="J57" i="5"/>
  <c r="M112" i="5"/>
  <c r="M5" i="5" s="1"/>
  <c r="C827" i="13" l="1"/>
  <c r="C835" i="13"/>
  <c r="C843" i="13"/>
  <c r="C859" i="13"/>
  <c r="C875" i="13"/>
  <c r="C891" i="13"/>
  <c r="C907" i="13"/>
  <c r="C923" i="13"/>
  <c r="C764" i="13"/>
  <c r="C780" i="13"/>
  <c r="C796" i="13"/>
  <c r="C812" i="13"/>
  <c r="C904" i="13"/>
  <c r="C801" i="13"/>
  <c r="C802" i="13"/>
  <c r="C828" i="13"/>
  <c r="C836" i="13"/>
  <c r="C844" i="13"/>
  <c r="C852" i="13"/>
  <c r="C860" i="13"/>
  <c r="C868" i="13"/>
  <c r="C876" i="13"/>
  <c r="C884" i="13"/>
  <c r="C892" i="13"/>
  <c r="C900" i="13"/>
  <c r="C908" i="13"/>
  <c r="C916" i="13"/>
  <c r="C924" i="13"/>
  <c r="C757" i="13"/>
  <c r="C765" i="13"/>
  <c r="C773" i="13"/>
  <c r="C781" i="13"/>
  <c r="C789" i="13"/>
  <c r="C797" i="13"/>
  <c r="C805" i="13"/>
  <c r="C813" i="13"/>
  <c r="C821" i="13"/>
  <c r="C806" i="13"/>
  <c r="C822" i="13"/>
  <c r="C920" i="13"/>
  <c r="C769" i="13"/>
  <c r="C825" i="13"/>
  <c r="C810" i="13"/>
  <c r="C829" i="13"/>
  <c r="C837" i="13"/>
  <c r="C845" i="13"/>
  <c r="C853" i="13"/>
  <c r="C861" i="13"/>
  <c r="C869" i="13"/>
  <c r="C877" i="13"/>
  <c r="C885" i="13"/>
  <c r="C893" i="13"/>
  <c r="C901" i="13"/>
  <c r="C909" i="13"/>
  <c r="C917" i="13"/>
  <c r="C925" i="13"/>
  <c r="C758" i="13"/>
  <c r="C766" i="13"/>
  <c r="C774" i="13"/>
  <c r="C782" i="13"/>
  <c r="C790" i="13"/>
  <c r="C798" i="13"/>
  <c r="C814" i="13"/>
  <c r="C809" i="13"/>
  <c r="C830" i="13"/>
  <c r="C838" i="13"/>
  <c r="C846" i="13"/>
  <c r="C854" i="13"/>
  <c r="C862" i="13"/>
  <c r="C870" i="13"/>
  <c r="C878" i="13"/>
  <c r="C886" i="13"/>
  <c r="C894" i="13"/>
  <c r="C902" i="13"/>
  <c r="C910" i="13"/>
  <c r="C918" i="13"/>
  <c r="C751" i="13"/>
  <c r="C759" i="13"/>
  <c r="C767" i="13"/>
  <c r="C775" i="13"/>
  <c r="C783" i="13"/>
  <c r="C791" i="13"/>
  <c r="C799" i="13"/>
  <c r="C807" i="13"/>
  <c r="C815" i="13"/>
  <c r="C823" i="13"/>
  <c r="C832" i="13"/>
  <c r="C848" i="13"/>
  <c r="C856" i="13"/>
  <c r="C864" i="13"/>
  <c r="C880" i="13"/>
  <c r="C888" i="13"/>
  <c r="C753" i="13"/>
  <c r="C777" i="13"/>
  <c r="C817" i="13"/>
  <c r="C818" i="13"/>
  <c r="C831" i="13"/>
  <c r="C839" i="13"/>
  <c r="C847" i="13"/>
  <c r="C855" i="13"/>
  <c r="C863" i="13"/>
  <c r="C871" i="13"/>
  <c r="C879" i="13"/>
  <c r="C887" i="13"/>
  <c r="C895" i="13"/>
  <c r="C903" i="13"/>
  <c r="C911" i="13"/>
  <c r="C919" i="13"/>
  <c r="C752" i="13"/>
  <c r="C760" i="13"/>
  <c r="C768" i="13"/>
  <c r="C776" i="13"/>
  <c r="C784" i="13"/>
  <c r="C792" i="13"/>
  <c r="C800" i="13"/>
  <c r="C808" i="13"/>
  <c r="C816" i="13"/>
  <c r="C824" i="13"/>
  <c r="C840" i="13"/>
  <c r="C872" i="13"/>
  <c r="C896" i="13"/>
  <c r="C761" i="13"/>
  <c r="C785" i="13"/>
  <c r="C778" i="13"/>
  <c r="C833" i="13"/>
  <c r="C841" i="13"/>
  <c r="C849" i="13"/>
  <c r="C857" i="13"/>
  <c r="C865" i="13"/>
  <c r="C873" i="13"/>
  <c r="C881" i="13"/>
  <c r="C889" i="13"/>
  <c r="C897" i="13"/>
  <c r="C905" i="13"/>
  <c r="C913" i="13"/>
  <c r="C921" i="13"/>
  <c r="C754" i="13"/>
  <c r="C762" i="13"/>
  <c r="C770" i="13"/>
  <c r="C794" i="13"/>
  <c r="C826" i="13"/>
  <c r="C834" i="13"/>
  <c r="C842" i="13"/>
  <c r="C850" i="13"/>
  <c r="C858" i="13"/>
  <c r="C866" i="13"/>
  <c r="C874" i="13"/>
  <c r="C882" i="13"/>
  <c r="C890" i="13"/>
  <c r="C898" i="13"/>
  <c r="C906" i="13"/>
  <c r="C914" i="13"/>
  <c r="C922" i="13"/>
  <c r="C755" i="13"/>
  <c r="C763" i="13"/>
  <c r="C771" i="13"/>
  <c r="C779" i="13"/>
  <c r="C787" i="13"/>
  <c r="C795" i="13"/>
  <c r="C803" i="13"/>
  <c r="C811" i="13"/>
  <c r="C819" i="13"/>
  <c r="C851" i="13"/>
  <c r="C867" i="13"/>
  <c r="C883" i="13"/>
  <c r="C899" i="13"/>
  <c r="C915" i="13"/>
  <c r="C756" i="13"/>
  <c r="C772" i="13"/>
  <c r="C788" i="13"/>
  <c r="C804" i="13"/>
  <c r="C820" i="13"/>
  <c r="C912" i="13"/>
  <c r="C793" i="13"/>
  <c r="C786" i="13"/>
  <c r="C730" i="13"/>
  <c r="C734" i="13"/>
  <c r="C740" i="13"/>
  <c r="C745" i="13"/>
  <c r="C749" i="13"/>
  <c r="C735" i="13"/>
  <c r="C742" i="13"/>
  <c r="C737" i="13"/>
  <c r="C729" i="13"/>
  <c r="C733" i="13"/>
  <c r="C738" i="13"/>
  <c r="C744" i="13"/>
  <c r="C748" i="13"/>
  <c r="C731" i="13"/>
  <c r="C746" i="13"/>
  <c r="C739" i="13"/>
  <c r="C728" i="13"/>
  <c r="C732" i="13"/>
  <c r="C736" i="13"/>
  <c r="C743" i="13"/>
  <c r="C747" i="13"/>
  <c r="C727" i="13"/>
  <c r="C741" i="13"/>
  <c r="C750" i="13"/>
  <c r="D5" i="13"/>
  <c r="E5" i="13" s="1"/>
  <c r="D6" i="13"/>
  <c r="E6" i="13" s="1"/>
  <c r="E3" i="13"/>
  <c r="D4" i="13"/>
  <c r="E4" i="13" s="1"/>
  <c r="C8" i="13"/>
  <c r="C49" i="13"/>
  <c r="C42" i="13"/>
  <c r="C29" i="13"/>
  <c r="C34" i="13"/>
  <c r="C40" i="13"/>
  <c r="C43" i="13"/>
  <c r="C48" i="13"/>
  <c r="C54" i="13"/>
  <c r="C16" i="13"/>
  <c r="C32" i="13"/>
  <c r="C57" i="13"/>
  <c r="C33" i="13"/>
  <c r="C51" i="13"/>
  <c r="C35" i="13"/>
  <c r="C44" i="13"/>
  <c r="C46" i="13"/>
  <c r="C36" i="13"/>
  <c r="C53" i="13"/>
  <c r="C37" i="13"/>
  <c r="C38" i="13"/>
  <c r="C55" i="13"/>
  <c r="C39" i="13"/>
  <c r="D2" i="13"/>
  <c r="E2" i="13" s="1"/>
  <c r="N112" i="5"/>
  <c r="N5" i="5" s="1"/>
  <c r="A37" i="15" l="1"/>
  <c r="A38" i="15"/>
  <c r="A39" i="15"/>
  <c r="A40" i="15"/>
  <c r="A41" i="15"/>
  <c r="A42" i="15"/>
  <c r="A43" i="15"/>
  <c r="A44" i="15"/>
  <c r="A36" i="15"/>
  <c r="C2" i="15"/>
  <c r="D2" i="15" s="1"/>
  <c r="G30" i="1" s="1"/>
  <c r="B32" i="15"/>
  <c r="L88" i="15" l="1"/>
  <c r="R127" i="4" s="1"/>
  <c r="L84" i="15"/>
  <c r="R123" i="4" s="1"/>
  <c r="L87" i="15"/>
  <c r="R126" i="4" s="1"/>
  <c r="L85" i="15"/>
  <c r="R124" i="4" s="1"/>
  <c r="L90" i="15"/>
  <c r="R129" i="4" s="1"/>
  <c r="C3" i="15"/>
  <c r="C4" i="15" s="1"/>
  <c r="D30" i="1"/>
  <c r="A18" i="15"/>
  <c r="B16" i="1" s="1"/>
  <c r="A19" i="15"/>
  <c r="B17" i="1" s="1"/>
  <c r="A20" i="15"/>
  <c r="B18" i="1" s="1"/>
  <c r="A21" i="15"/>
  <c r="B19" i="1" s="1"/>
  <c r="A22" i="15"/>
  <c r="B20" i="1" s="1"/>
  <c r="A23" i="15"/>
  <c r="B21" i="1" s="1"/>
  <c r="A24" i="15"/>
  <c r="B22" i="1" s="1"/>
  <c r="A25" i="15"/>
  <c r="B23" i="1" s="1"/>
  <c r="A26" i="15"/>
  <c r="B24" i="1" s="1"/>
  <c r="A27" i="15"/>
  <c r="B25" i="1" s="1"/>
  <c r="A28" i="15"/>
  <c r="B26" i="1" s="1"/>
  <c r="A29" i="15"/>
  <c r="B27" i="1" s="1"/>
  <c r="A30" i="15"/>
  <c r="B28" i="1" s="1"/>
  <c r="A31" i="15"/>
  <c r="B29" i="1" s="1"/>
  <c r="A32" i="15"/>
  <c r="B30" i="1" s="1"/>
  <c r="A17" i="15"/>
  <c r="B15" i="1" s="1"/>
  <c r="D31" i="15"/>
  <c r="V31" i="15"/>
  <c r="V30" i="15" s="1"/>
  <c r="V29" i="15" s="1"/>
  <c r="V28" i="15" s="1"/>
  <c r="V27" i="15" s="1"/>
  <c r="V26" i="15" s="1"/>
  <c r="V25" i="15" s="1"/>
  <c r="V24" i="15" s="1"/>
  <c r="V23" i="15" s="1"/>
  <c r="V22" i="15" s="1"/>
  <c r="V21" i="15" s="1"/>
  <c r="V20" i="15" s="1"/>
  <c r="V19" i="15" s="1"/>
  <c r="V18" i="15" s="1"/>
  <c r="V17" i="15" s="1"/>
  <c r="T31" i="15"/>
  <c r="T30" i="15" s="1"/>
  <c r="T29" i="15" s="1"/>
  <c r="T28" i="15" s="1"/>
  <c r="T27" i="15" s="1"/>
  <c r="T26" i="15" s="1"/>
  <c r="T25" i="15" s="1"/>
  <c r="T24" i="15" s="1"/>
  <c r="T23" i="15" s="1"/>
  <c r="T22" i="15" s="1"/>
  <c r="T21" i="15" s="1"/>
  <c r="T20" i="15" s="1"/>
  <c r="T19" i="15" s="1"/>
  <c r="T18" i="15" s="1"/>
  <c r="T17" i="15" s="1"/>
  <c r="R31" i="15"/>
  <c r="R30" i="15" s="1"/>
  <c r="R29" i="15" s="1"/>
  <c r="R28" i="15" s="1"/>
  <c r="R27" i="15" s="1"/>
  <c r="R26" i="15" s="1"/>
  <c r="R25" i="15" s="1"/>
  <c r="R24" i="15" s="1"/>
  <c r="R23" i="15" s="1"/>
  <c r="R22" i="15" s="1"/>
  <c r="R21" i="15" s="1"/>
  <c r="R20" i="15" s="1"/>
  <c r="R19" i="15" s="1"/>
  <c r="R18" i="15" s="1"/>
  <c r="R17" i="15" s="1"/>
  <c r="P31" i="15"/>
  <c r="P30" i="15" s="1"/>
  <c r="P29" i="15" s="1"/>
  <c r="P28" i="15" s="1"/>
  <c r="P27" i="15" s="1"/>
  <c r="P26" i="15" s="1"/>
  <c r="P25" i="15" s="1"/>
  <c r="P24" i="15" s="1"/>
  <c r="P23" i="15" s="1"/>
  <c r="P22" i="15" s="1"/>
  <c r="N31" i="15"/>
  <c r="N30" i="15" s="1"/>
  <c r="N29" i="15" s="1"/>
  <c r="N28" i="15" s="1"/>
  <c r="N27" i="15" s="1"/>
  <c r="N26" i="15" s="1"/>
  <c r="N25" i="15" s="1"/>
  <c r="N24" i="15" s="1"/>
  <c r="N23" i="15" s="1"/>
  <c r="N22" i="15" s="1"/>
  <c r="N21" i="15" s="1"/>
  <c r="N20" i="15" s="1"/>
  <c r="N19" i="15" s="1"/>
  <c r="N18" i="15" s="1"/>
  <c r="N17" i="15" s="1"/>
  <c r="L31" i="15"/>
  <c r="L30" i="15" s="1"/>
  <c r="L29" i="15" s="1"/>
  <c r="L28" i="15" s="1"/>
  <c r="L27" i="15" s="1"/>
  <c r="L26" i="15" s="1"/>
  <c r="L25" i="15" s="1"/>
  <c r="L24" i="15" s="1"/>
  <c r="L23" i="15" s="1"/>
  <c r="L22" i="15" s="1"/>
  <c r="L21" i="15" s="1"/>
  <c r="L20" i="15" s="1"/>
  <c r="L19" i="15" s="1"/>
  <c r="L18" i="15" s="1"/>
  <c r="L17" i="15" s="1"/>
  <c r="J31" i="15"/>
  <c r="J30" i="15" s="1"/>
  <c r="J29" i="15" s="1"/>
  <c r="J28" i="15" s="1"/>
  <c r="J27" i="15" s="1"/>
  <c r="J26" i="15" s="1"/>
  <c r="J25" i="15" s="1"/>
  <c r="J24" i="15" s="1"/>
  <c r="J23" i="15" s="1"/>
  <c r="J22" i="15" s="1"/>
  <c r="J21" i="15" s="1"/>
  <c r="J20" i="15" s="1"/>
  <c r="J19" i="15" s="1"/>
  <c r="J18" i="15" s="1"/>
  <c r="J17" i="15" s="1"/>
  <c r="H31" i="15"/>
  <c r="F31" i="15"/>
  <c r="F30" i="15" s="1"/>
  <c r="F29" i="15" s="1"/>
  <c r="F28" i="15" s="1"/>
  <c r="F27" i="15" s="1"/>
  <c r="F26" i="15" s="1"/>
  <c r="F25" i="15" s="1"/>
  <c r="F24" i="15" s="1"/>
  <c r="F23" i="15" s="1"/>
  <c r="F22" i="15" s="1"/>
  <c r="F21" i="15" s="1"/>
  <c r="F20" i="15" s="1"/>
  <c r="F19" i="15" s="1"/>
  <c r="F18" i="15" s="1"/>
  <c r="F17" i="15" s="1"/>
  <c r="W16" i="15"/>
  <c r="U16" i="15"/>
  <c r="S16" i="15"/>
  <c r="Q16" i="15"/>
  <c r="O16" i="15"/>
  <c r="M16" i="15"/>
  <c r="K16" i="15"/>
  <c r="I16" i="15"/>
  <c r="G16" i="15"/>
  <c r="E16" i="15"/>
  <c r="C16" i="15"/>
  <c r="F223" i="2"/>
  <c r="F224" i="2" s="1"/>
  <c r="F225" i="2" s="1"/>
  <c r="H30" i="15" l="1"/>
  <c r="X31" i="15"/>
  <c r="B31" i="15"/>
  <c r="D29" i="1" s="1"/>
  <c r="D30" i="15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94" i="2"/>
  <c r="H29" i="15" l="1"/>
  <c r="X30" i="15"/>
  <c r="A26" i="4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D29" i="15"/>
  <c r="B30" i="15"/>
  <c r="D28" i="1" s="1"/>
  <c r="C69" i="14"/>
  <c r="Q399" i="4"/>
  <c r="Q400" i="4"/>
  <c r="Q391" i="4"/>
  <c r="Q392" i="4"/>
  <c r="Q393" i="4"/>
  <c r="Q394" i="4"/>
  <c r="Q395" i="4"/>
  <c r="Q396" i="4"/>
  <c r="Q397" i="4"/>
  <c r="Q398" i="4"/>
  <c r="K391" i="4"/>
  <c r="K392" i="4"/>
  <c r="K393" i="4"/>
  <c r="K394" i="4"/>
  <c r="K395" i="4"/>
  <c r="K396" i="4"/>
  <c r="K397" i="4"/>
  <c r="K398" i="4"/>
  <c r="Q342" i="4"/>
  <c r="Q343" i="4"/>
  <c r="Q312" i="4"/>
  <c r="Q313" i="4"/>
  <c r="Q282" i="4"/>
  <c r="Q283" i="4"/>
  <c r="AB611" i="4"/>
  <c r="H28" i="15" l="1"/>
  <c r="X29" i="15"/>
  <c r="D28" i="15"/>
  <c r="B29" i="15"/>
  <c r="D27" i="1" s="1"/>
  <c r="H27" i="15" l="1"/>
  <c r="X28" i="15"/>
  <c r="D27" i="15"/>
  <c r="B28" i="15"/>
  <c r="D26" i="1" s="1"/>
  <c r="C91" i="13"/>
  <c r="D91" i="13" s="1"/>
  <c r="E91" i="13" s="1"/>
  <c r="C92" i="13"/>
  <c r="D92" i="13" s="1"/>
  <c r="E92" i="13" s="1"/>
  <c r="C93" i="13"/>
  <c r="D93" i="13" s="1"/>
  <c r="E93" i="13" s="1"/>
  <c r="C94" i="13"/>
  <c r="D94" i="13" s="1"/>
  <c r="E94" i="13" s="1"/>
  <c r="C95" i="13"/>
  <c r="D95" i="13" s="1"/>
  <c r="E95" i="13" s="1"/>
  <c r="C96" i="13"/>
  <c r="D96" i="13" s="1"/>
  <c r="E96" i="13" s="1"/>
  <c r="C97" i="13"/>
  <c r="D97" i="13" s="1"/>
  <c r="E97" i="13" s="1"/>
  <c r="C98" i="13"/>
  <c r="D98" i="13" s="1"/>
  <c r="E98" i="13" s="1"/>
  <c r="C99" i="13"/>
  <c r="D99" i="13" s="1"/>
  <c r="E99" i="13" s="1"/>
  <c r="C100" i="13"/>
  <c r="D100" i="13" s="1"/>
  <c r="E100" i="13" s="1"/>
  <c r="C101" i="13"/>
  <c r="D101" i="13" s="1"/>
  <c r="E101" i="13" s="1"/>
  <c r="C102" i="13"/>
  <c r="D102" i="13" s="1"/>
  <c r="E102" i="13" s="1"/>
  <c r="C103" i="13"/>
  <c r="D103" i="13" s="1"/>
  <c r="E103" i="13" s="1"/>
  <c r="C104" i="13"/>
  <c r="D104" i="13" s="1"/>
  <c r="E104" i="13" s="1"/>
  <c r="C90" i="13"/>
  <c r="D90" i="13" s="1"/>
  <c r="E90" i="13" s="1"/>
  <c r="B355" i="2"/>
  <c r="B354" i="2"/>
  <c r="B353" i="2"/>
  <c r="B352" i="2"/>
  <c r="Q212" i="4"/>
  <c r="AA212" i="4" s="1"/>
  <c r="Q211" i="4"/>
  <c r="AU19" i="1"/>
  <c r="A211" i="4" s="1"/>
  <c r="AU20" i="1"/>
  <c r="A212" i="4" s="1"/>
  <c r="H26" i="15" l="1"/>
  <c r="X27" i="15"/>
  <c r="D26" i="15"/>
  <c r="B27" i="15"/>
  <c r="D25" i="1" s="1"/>
  <c r="A249" i="4"/>
  <c r="A250" i="4"/>
  <c r="A251" i="4"/>
  <c r="A248" i="4"/>
  <c r="H25" i="15" l="1"/>
  <c r="X26" i="15"/>
  <c r="D25" i="15"/>
  <c r="B26" i="15"/>
  <c r="D24" i="1" s="1"/>
  <c r="H24" i="15" l="1"/>
  <c r="X25" i="15"/>
  <c r="D24" i="15"/>
  <c r="B25" i="15"/>
  <c r="D23" i="1" s="1"/>
  <c r="AZ70" i="1"/>
  <c r="H23" i="15" l="1"/>
  <c r="X24" i="15"/>
  <c r="D23" i="15"/>
  <c r="B24" i="15"/>
  <c r="D22" i="1" s="1"/>
  <c r="I597" i="4"/>
  <c r="I598" i="4"/>
  <c r="I599" i="4"/>
  <c r="I600" i="4"/>
  <c r="I601" i="4"/>
  <c r="I602" i="4"/>
  <c r="I603" i="4"/>
  <c r="I604" i="4"/>
  <c r="I605" i="4"/>
  <c r="I606" i="4"/>
  <c r="I607" i="4"/>
  <c r="I608" i="4"/>
  <c r="I594" i="4"/>
  <c r="I595" i="4"/>
  <c r="I596" i="4"/>
  <c r="I593" i="4"/>
  <c r="G209" i="4"/>
  <c r="H22" i="15" l="1"/>
  <c r="X23" i="15"/>
  <c r="D22" i="15"/>
  <c r="B23" i="15"/>
  <c r="D21" i="1" s="1"/>
  <c r="G480" i="4"/>
  <c r="G479" i="4"/>
  <c r="K201" i="4"/>
  <c r="K200" i="4"/>
  <c r="Q200" i="4"/>
  <c r="Q201" i="4"/>
  <c r="AV8" i="1"/>
  <c r="A200" i="4" s="1"/>
  <c r="AV9" i="1"/>
  <c r="A201" i="4" s="1"/>
  <c r="AU8" i="1"/>
  <c r="AU9" i="1"/>
  <c r="C426" i="2"/>
  <c r="H21" i="15" l="1"/>
  <c r="X22" i="15"/>
  <c r="D21" i="15"/>
  <c r="B22" i="15"/>
  <c r="D20" i="1" s="1"/>
  <c r="B411" i="2"/>
  <c r="B416" i="2" s="1"/>
  <c r="Q608" i="4"/>
  <c r="V608" i="4" s="1"/>
  <c r="A608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593" i="4"/>
  <c r="H20" i="15" l="1"/>
  <c r="X21" i="15"/>
  <c r="D20" i="15"/>
  <c r="B21" i="15"/>
  <c r="D19" i="1" s="1"/>
  <c r="B425" i="2"/>
  <c r="B421" i="2"/>
  <c r="B417" i="2"/>
  <c r="B413" i="2"/>
  <c r="B412" i="2"/>
  <c r="B422" i="2"/>
  <c r="B418" i="2"/>
  <c r="B414" i="2"/>
  <c r="B423" i="2"/>
  <c r="B419" i="2"/>
  <c r="B415" i="2"/>
  <c r="B424" i="2"/>
  <c r="B420" i="2"/>
  <c r="H19" i="15" l="1"/>
  <c r="X20" i="15"/>
  <c r="D19" i="15"/>
  <c r="B20" i="15"/>
  <c r="D18" i="1" s="1"/>
  <c r="H18" i="15" l="1"/>
  <c r="X19" i="15"/>
  <c r="D18" i="15"/>
  <c r="B19" i="15"/>
  <c r="D17" i="1" s="1"/>
  <c r="H17" i="15" l="1"/>
  <c r="X17" i="15" s="1"/>
  <c r="X18" i="15"/>
  <c r="D17" i="15"/>
  <c r="B17" i="15" s="1"/>
  <c r="D15" i="1" s="1"/>
  <c r="B18" i="15"/>
  <c r="D16" i="1" s="1"/>
  <c r="E416" i="3"/>
  <c r="F416" i="3" s="1"/>
  <c r="B443" i="3"/>
  <c r="B444" i="3"/>
  <c r="B445" i="3"/>
  <c r="B447" i="3"/>
  <c r="B448" i="3"/>
  <c r="B449" i="3"/>
  <c r="B450" i="3"/>
  <c r="B451" i="3"/>
  <c r="B453" i="3"/>
  <c r="B454" i="3"/>
  <c r="B455" i="3"/>
  <c r="B456" i="3"/>
  <c r="B457" i="3"/>
  <c r="B458" i="3"/>
  <c r="B460" i="3"/>
  <c r="B461" i="3"/>
  <c r="B442" i="3"/>
  <c r="U440" i="3"/>
  <c r="T440" i="3"/>
  <c r="S440" i="3"/>
  <c r="C445" i="13"/>
  <c r="C446" i="13"/>
  <c r="C448" i="13"/>
  <c r="C449" i="13"/>
  <c r="C450" i="13"/>
  <c r="C452" i="13"/>
  <c r="C453" i="13"/>
  <c r="C444" i="13"/>
  <c r="C422" i="13"/>
  <c r="C423" i="13"/>
  <c r="C425" i="13"/>
  <c r="C426" i="13"/>
  <c r="C427" i="13"/>
  <c r="C429" i="13"/>
  <c r="C430" i="13"/>
  <c r="C421" i="13"/>
  <c r="C400" i="13"/>
  <c r="C401" i="13"/>
  <c r="C402" i="13"/>
  <c r="C403" i="13"/>
  <c r="C404" i="13"/>
  <c r="C405" i="13"/>
  <c r="C407" i="13"/>
  <c r="C408" i="13"/>
  <c r="C398" i="13"/>
  <c r="Q594" i="4"/>
  <c r="V594" i="4" s="1"/>
  <c r="Q595" i="4"/>
  <c r="V595" i="4" s="1"/>
  <c r="Q596" i="4"/>
  <c r="V596" i="4" s="1"/>
  <c r="Q597" i="4"/>
  <c r="V597" i="4" s="1"/>
  <c r="Q598" i="4"/>
  <c r="V598" i="4" s="1"/>
  <c r="Q599" i="4"/>
  <c r="V599" i="4" s="1"/>
  <c r="Q600" i="4"/>
  <c r="V600" i="4" s="1"/>
  <c r="Q601" i="4"/>
  <c r="V601" i="4" s="1"/>
  <c r="Q602" i="4"/>
  <c r="V602" i="4" s="1"/>
  <c r="Q603" i="4"/>
  <c r="V603" i="4" s="1"/>
  <c r="Q604" i="4"/>
  <c r="V604" i="4" s="1"/>
  <c r="Q605" i="4"/>
  <c r="V605" i="4" s="1"/>
  <c r="Q606" i="4"/>
  <c r="V606" i="4" s="1"/>
  <c r="Q607" i="4"/>
  <c r="V607" i="4" s="1"/>
  <c r="Q593" i="4"/>
  <c r="V593" i="4" s="1"/>
  <c r="Q446" i="3" l="1"/>
  <c r="R446" i="3" s="1"/>
  <c r="S446" i="3" s="1"/>
  <c r="R440" i="3"/>
  <c r="Q440" i="3"/>
  <c r="P440" i="3"/>
  <c r="O440" i="3"/>
  <c r="T446" i="3" l="1"/>
  <c r="U446" i="3" s="1"/>
  <c r="A507" i="4" l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05" i="4"/>
  <c r="A506" i="4" s="1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47" i="4"/>
  <c r="A151" i="4"/>
  <c r="A152" i="4"/>
  <c r="I182" i="4"/>
  <c r="F182" i="4"/>
  <c r="AF38" i="1"/>
  <c r="A178" i="4" s="1"/>
  <c r="AF39" i="1"/>
  <c r="A179" i="4" s="1"/>
  <c r="AF57" i="1"/>
  <c r="A197" i="4" s="1"/>
  <c r="AF55" i="1"/>
  <c r="A195" i="4" s="1"/>
  <c r="AF56" i="1"/>
  <c r="A196" i="4" s="1"/>
  <c r="AF40" i="1"/>
  <c r="A180" i="4" s="1"/>
  <c r="AF41" i="1"/>
  <c r="A181" i="4" s="1"/>
  <c r="AF42" i="1"/>
  <c r="AF43" i="1"/>
  <c r="AF44" i="1"/>
  <c r="A184" i="4" s="1"/>
  <c r="AF45" i="1"/>
  <c r="A185" i="4" s="1"/>
  <c r="AF46" i="1"/>
  <c r="A186" i="4" s="1"/>
  <c r="AF47" i="1"/>
  <c r="A187" i="4" s="1"/>
  <c r="AF48" i="1"/>
  <c r="A188" i="4" s="1"/>
  <c r="AF49" i="1"/>
  <c r="A189" i="4" s="1"/>
  <c r="AF50" i="1"/>
  <c r="A190" i="4" s="1"/>
  <c r="AF51" i="1"/>
  <c r="A191" i="4" s="1"/>
  <c r="AF52" i="1"/>
  <c r="A192" i="4" s="1"/>
  <c r="AF53" i="1"/>
  <c r="A193" i="4" s="1"/>
  <c r="AF54" i="1"/>
  <c r="A194" i="4" s="1"/>
  <c r="AF8" i="1"/>
  <c r="A148" i="4" s="1"/>
  <c r="AF9" i="1"/>
  <c r="A149" i="4" s="1"/>
  <c r="AF10" i="1"/>
  <c r="A150" i="4" s="1"/>
  <c r="A153" i="4"/>
  <c r="AF14" i="1"/>
  <c r="A154" i="4" s="1"/>
  <c r="AF15" i="1"/>
  <c r="A155" i="4" s="1"/>
  <c r="AF16" i="1"/>
  <c r="A156" i="4" s="1"/>
  <c r="AF17" i="1"/>
  <c r="A157" i="4" s="1"/>
  <c r="AF18" i="1"/>
  <c r="A158" i="4" s="1"/>
  <c r="AF19" i="1"/>
  <c r="A159" i="4" s="1"/>
  <c r="AF20" i="1"/>
  <c r="A160" i="4" s="1"/>
  <c r="AF21" i="1"/>
  <c r="A161" i="4" s="1"/>
  <c r="AF22" i="1"/>
  <c r="A162" i="4" s="1"/>
  <c r="AF23" i="1"/>
  <c r="A163" i="4" s="1"/>
  <c r="AF24" i="1"/>
  <c r="A164" i="4" s="1"/>
  <c r="A165" i="4"/>
  <c r="A166" i="4"/>
  <c r="A167" i="4"/>
  <c r="AF28" i="1"/>
  <c r="A168" i="4" s="1"/>
  <c r="AF29" i="1"/>
  <c r="A169" i="4" s="1"/>
  <c r="AF30" i="1"/>
  <c r="A170" i="4" s="1"/>
  <c r="AF31" i="1"/>
  <c r="A171" i="4" s="1"/>
  <c r="AF32" i="1"/>
  <c r="A172" i="4" s="1"/>
  <c r="AF33" i="1"/>
  <c r="A173" i="4" s="1"/>
  <c r="AF34" i="1"/>
  <c r="A174" i="4" s="1"/>
  <c r="AF35" i="1"/>
  <c r="A175" i="4" s="1"/>
  <c r="AF36" i="1"/>
  <c r="A176" i="4" s="1"/>
  <c r="AF37" i="1"/>
  <c r="A177" i="4" s="1"/>
  <c r="AF7" i="1"/>
  <c r="A147" i="4" s="1"/>
  <c r="B216" i="3"/>
  <c r="B217" i="3"/>
  <c r="B218" i="3"/>
  <c r="B219" i="3"/>
  <c r="B220" i="3"/>
  <c r="B221" i="3"/>
  <c r="B222" i="3"/>
  <c r="B223" i="3"/>
  <c r="F13" i="3" s="1"/>
  <c r="B224" i="3"/>
  <c r="B225" i="3"/>
  <c r="B226" i="3"/>
  <c r="B227" i="3"/>
  <c r="B228" i="3"/>
  <c r="B229" i="3"/>
  <c r="B230" i="3"/>
  <c r="B231" i="3"/>
  <c r="B215" i="3"/>
  <c r="B214" i="3"/>
  <c r="W200" i="3"/>
  <c r="W201" i="3"/>
  <c r="W203" i="3"/>
  <c r="W199" i="3"/>
  <c r="B106" i="3" l="1"/>
  <c r="B105" i="3"/>
  <c r="A164" i="2" l="1"/>
  <c r="Q365" i="4"/>
  <c r="Q366" i="4"/>
  <c r="A365" i="4"/>
  <c r="A366" i="4"/>
  <c r="AA366" i="4" l="1"/>
  <c r="AA365" i="4"/>
  <c r="K370" i="4" l="1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69" i="4"/>
  <c r="D509" i="3" l="1"/>
  <c r="B503" i="3"/>
  <c r="AP71" i="1"/>
  <c r="B462" i="3"/>
  <c r="H446" i="3"/>
  <c r="I446" i="3" l="1"/>
  <c r="J446" i="3" s="1"/>
  <c r="K446" i="3" s="1"/>
  <c r="L446" i="3" s="1"/>
  <c r="M446" i="3" s="1"/>
  <c r="N446" i="3" s="1"/>
  <c r="B446" i="3"/>
  <c r="C416" i="3" s="1"/>
  <c r="A367" i="4" s="1"/>
  <c r="C32" i="14" s="1"/>
  <c r="A31" i="12"/>
  <c r="A32" i="12"/>
  <c r="A72" i="2" s="1"/>
  <c r="L12" i="1" s="1"/>
  <c r="A33" i="12"/>
  <c r="A73" i="2" s="1"/>
  <c r="A34" i="12"/>
  <c r="A74" i="2" s="1"/>
  <c r="A35" i="12"/>
  <c r="A75" i="2" s="1"/>
  <c r="A36" i="12"/>
  <c r="A76" i="2" s="1"/>
  <c r="A37" i="12"/>
  <c r="A77" i="2" s="1"/>
  <c r="A38" i="12"/>
  <c r="A78" i="2" s="1"/>
  <c r="A39" i="12"/>
  <c r="A79" i="2" s="1"/>
  <c r="A40" i="12"/>
  <c r="A80" i="2" s="1"/>
  <c r="A41" i="12"/>
  <c r="A81" i="2" s="1"/>
  <c r="A42" i="12"/>
  <c r="A82" i="2" s="1"/>
  <c r="A43" i="12"/>
  <c r="A83" i="2" s="1"/>
  <c r="A44" i="12"/>
  <c r="A84" i="2" s="1"/>
  <c r="A45" i="12"/>
  <c r="A85" i="2" s="1"/>
  <c r="A46" i="12"/>
  <c r="A86" i="2" s="1"/>
  <c r="A47" i="12"/>
  <c r="A87" i="2" s="1"/>
  <c r="A48" i="12"/>
  <c r="A88" i="2" s="1"/>
  <c r="A49" i="12"/>
  <c r="A89" i="2" s="1"/>
  <c r="A50" i="12"/>
  <c r="A90" i="2" s="1"/>
  <c r="A82" i="4" s="1"/>
  <c r="A51" i="12"/>
  <c r="A91" i="2" s="1"/>
  <c r="A83" i="4" s="1"/>
  <c r="A52" i="12"/>
  <c r="A92" i="2" s="1"/>
  <c r="A53" i="12"/>
  <c r="A54" i="12"/>
  <c r="A55" i="12"/>
  <c r="A384" i="12"/>
  <c r="A288" i="2" s="1"/>
  <c r="AC67" i="1" s="1"/>
  <c r="A385" i="12"/>
  <c r="A289" i="2" s="1"/>
  <c r="A386" i="12"/>
  <c r="A290" i="2" s="1"/>
  <c r="A387" i="12"/>
  <c r="A291" i="2" s="1"/>
  <c r="A388" i="12"/>
  <c r="A292" i="2" s="1"/>
  <c r="A389" i="12"/>
  <c r="A293" i="2" s="1"/>
  <c r="A390" i="12"/>
  <c r="A294" i="2" s="1"/>
  <c r="A391" i="12"/>
  <c r="A295" i="2" s="1"/>
  <c r="A392" i="12"/>
  <c r="A296" i="2" s="1"/>
  <c r="A393" i="12"/>
  <c r="A297" i="2" s="1"/>
  <c r="A394" i="12"/>
  <c r="A298" i="2" s="1"/>
  <c r="A395" i="12"/>
  <c r="A299" i="2" s="1"/>
  <c r="A396" i="12"/>
  <c r="A300" i="2" s="1"/>
  <c r="A397" i="12"/>
  <c r="A301" i="2" s="1"/>
  <c r="AC80" i="1" s="1"/>
  <c r="A398" i="12"/>
  <c r="A302" i="2" s="1"/>
  <c r="AC81" i="1" s="1"/>
  <c r="A399" i="12"/>
  <c r="A303" i="2" s="1"/>
  <c r="AC82" i="1" s="1"/>
  <c r="A400" i="12"/>
  <c r="A304" i="2" s="1"/>
  <c r="AC83" i="1" s="1"/>
  <c r="A401" i="12"/>
  <c r="A305" i="2" s="1"/>
  <c r="AC84" i="1" s="1"/>
  <c r="A402" i="12"/>
  <c r="A306" i="2" s="1"/>
  <c r="AC85" i="1" s="1"/>
  <c r="AC79" i="1" l="1"/>
  <c r="A358" i="4" s="1"/>
  <c r="A364" i="4"/>
  <c r="A361" i="4"/>
  <c r="AC78" i="1"/>
  <c r="A357" i="4" s="1"/>
  <c r="AC74" i="1"/>
  <c r="A353" i="4" s="1"/>
  <c r="AC70" i="1"/>
  <c r="A349" i="4" s="1"/>
  <c r="A362" i="4"/>
  <c r="AC71" i="1"/>
  <c r="A350" i="4" s="1"/>
  <c r="A363" i="4"/>
  <c r="A359" i="4"/>
  <c r="AC76" i="1"/>
  <c r="A355" i="4" s="1"/>
  <c r="AC72" i="1"/>
  <c r="A351" i="4" s="1"/>
  <c r="AC68" i="1"/>
  <c r="A347" i="4" s="1"/>
  <c r="AC75" i="1"/>
  <c r="A354" i="4" s="1"/>
  <c r="A360" i="4"/>
  <c r="AC77" i="1"/>
  <c r="A356" i="4" s="1"/>
  <c r="AC73" i="1"/>
  <c r="A352" i="4" s="1"/>
  <c r="AC69" i="1"/>
  <c r="A348" i="4" s="1"/>
  <c r="L27" i="1"/>
  <c r="A79" i="4" s="1"/>
  <c r="L23" i="1"/>
  <c r="A75" i="4" s="1"/>
  <c r="L19" i="1"/>
  <c r="A71" i="4" s="1"/>
  <c r="L15" i="1"/>
  <c r="A67" i="4" s="1"/>
  <c r="L28" i="1"/>
  <c r="A80" i="4" s="1"/>
  <c r="L24" i="1"/>
  <c r="A76" i="4" s="1"/>
  <c r="L20" i="1"/>
  <c r="A72" i="4" s="1"/>
  <c r="L16" i="1"/>
  <c r="A68" i="4" s="1"/>
  <c r="L29" i="1"/>
  <c r="A81" i="4" s="1"/>
  <c r="L25" i="1"/>
  <c r="A77" i="4" s="1"/>
  <c r="L21" i="1"/>
  <c r="A73" i="4" s="1"/>
  <c r="L17" i="1"/>
  <c r="A69" i="4" s="1"/>
  <c r="L13" i="1"/>
  <c r="A65" i="4" s="1"/>
  <c r="L26" i="1"/>
  <c r="A78" i="4" s="1"/>
  <c r="L22" i="1"/>
  <c r="A74" i="4" s="1"/>
  <c r="L18" i="1"/>
  <c r="A70" i="4" s="1"/>
  <c r="L14" i="1"/>
  <c r="A66" i="4" s="1"/>
  <c r="A169" i="12"/>
  <c r="A170" i="12"/>
  <c r="A171" i="12"/>
  <c r="A172" i="12"/>
  <c r="A173" i="12"/>
  <c r="A174" i="12"/>
  <c r="A175" i="12"/>
  <c r="A176" i="12"/>
  <c r="A177" i="12"/>
  <c r="A178" i="12"/>
  <c r="F587" i="4" l="1"/>
  <c r="I588" i="4" s="1"/>
  <c r="I589" i="4" s="1"/>
  <c r="F582" i="4"/>
  <c r="I583" i="4" s="1"/>
  <c r="I584" i="4" s="1"/>
  <c r="F577" i="4"/>
  <c r="I578" i="4" s="1"/>
  <c r="I579" i="4" s="1"/>
  <c r="F572" i="4"/>
  <c r="I573" i="4" s="1"/>
  <c r="I574" i="4" s="1"/>
  <c r="F567" i="4"/>
  <c r="I568" i="4" s="1"/>
  <c r="I569" i="4" s="1"/>
  <c r="F562" i="4"/>
  <c r="I563" i="4" s="1"/>
  <c r="I564" i="4" s="1"/>
  <c r="F557" i="4"/>
  <c r="I558" i="4" s="1"/>
  <c r="I559" i="4" s="1"/>
  <c r="F552" i="4"/>
  <c r="I553" i="4" s="1"/>
  <c r="I554" i="4" s="1"/>
  <c r="F547" i="4"/>
  <c r="Q587" i="4"/>
  <c r="Q591" i="4" s="1"/>
  <c r="X588" i="4" s="1"/>
  <c r="I587" i="4"/>
  <c r="Y588" i="4" s="1"/>
  <c r="Q582" i="4"/>
  <c r="Q586" i="4" s="1"/>
  <c r="I582" i="4"/>
  <c r="Y583" i="4" s="1"/>
  <c r="Q577" i="4"/>
  <c r="Q581" i="4" s="1"/>
  <c r="I577" i="4"/>
  <c r="Y578" i="4" s="1"/>
  <c r="Q572" i="4"/>
  <c r="I572" i="4"/>
  <c r="Y573" i="4" s="1"/>
  <c r="Q567" i="4"/>
  <c r="Q571" i="4" s="1"/>
  <c r="I567" i="4"/>
  <c r="Y568" i="4" s="1"/>
  <c r="Q562" i="4"/>
  <c r="Q566" i="4" s="1"/>
  <c r="I562" i="4"/>
  <c r="Y563" i="4" s="1"/>
  <c r="Q557" i="4"/>
  <c r="Q561" i="4" s="1"/>
  <c r="I557" i="4"/>
  <c r="Y558" i="4" s="1"/>
  <c r="Q552" i="4"/>
  <c r="I552" i="4"/>
  <c r="Q547" i="4"/>
  <c r="I547" i="4"/>
  <c r="Y548" i="4" s="1"/>
  <c r="A547" i="4"/>
  <c r="A552" i="4" s="1"/>
  <c r="A557" i="4" s="1"/>
  <c r="A562" i="4" s="1"/>
  <c r="A567" i="4" s="1"/>
  <c r="A572" i="4" s="1"/>
  <c r="A577" i="4" s="1"/>
  <c r="A582" i="4" s="1"/>
  <c r="A587" i="4" s="1"/>
  <c r="X583" i="4" l="1"/>
  <c r="X578" i="4"/>
  <c r="I555" i="4"/>
  <c r="I556" i="4" s="1"/>
  <c r="Y553" i="4"/>
  <c r="Q556" i="4"/>
  <c r="Z568" i="4"/>
  <c r="AA568" i="4"/>
  <c r="Q568" i="4" s="1"/>
  <c r="AA588" i="4"/>
  <c r="Q588" i="4" s="1"/>
  <c r="W588" i="4" s="1"/>
  <c r="Z588" i="4"/>
  <c r="AA558" i="4"/>
  <c r="Q558" i="4" s="1"/>
  <c r="Z558" i="4"/>
  <c r="AA578" i="4"/>
  <c r="Q578" i="4" s="1"/>
  <c r="Z578" i="4"/>
  <c r="AA583" i="4"/>
  <c r="Q583" i="4" s="1"/>
  <c r="Z583" i="4"/>
  <c r="AA563" i="4"/>
  <c r="Q563" i="4" s="1"/>
  <c r="Z563" i="4"/>
  <c r="AA573" i="4"/>
  <c r="Q573" i="4" s="1"/>
  <c r="V573" i="4" s="1"/>
  <c r="Z573" i="4"/>
  <c r="Z548" i="4"/>
  <c r="AA548" i="4"/>
  <c r="Q548" i="4" s="1"/>
  <c r="Q551" i="4"/>
  <c r="Q575" i="4"/>
  <c r="Q576" i="4"/>
  <c r="X573" i="4" s="1"/>
  <c r="I560" i="4"/>
  <c r="I561" i="4" s="1"/>
  <c r="V561" i="4" s="1"/>
  <c r="I570" i="4"/>
  <c r="I571" i="4" s="1"/>
  <c r="V571" i="4" s="1"/>
  <c r="I580" i="4"/>
  <c r="I581" i="4" s="1"/>
  <c r="V581" i="4" s="1"/>
  <c r="I590" i="4"/>
  <c r="I591" i="4" s="1"/>
  <c r="V591" i="4" s="1"/>
  <c r="I565" i="4"/>
  <c r="I566" i="4" s="1"/>
  <c r="V566" i="4" s="1"/>
  <c r="I575" i="4"/>
  <c r="I576" i="4" s="1"/>
  <c r="I585" i="4"/>
  <c r="I586" i="4" s="1"/>
  <c r="V586" i="4" s="1"/>
  <c r="I550" i="4"/>
  <c r="I551" i="4" s="1"/>
  <c r="I548" i="4"/>
  <c r="I549" i="4" s="1"/>
  <c r="Q579" i="4"/>
  <c r="V579" i="4" s="1"/>
  <c r="Q559" i="4"/>
  <c r="V559" i="4" s="1"/>
  <c r="Q554" i="4"/>
  <c r="V554" i="4" s="1"/>
  <c r="Q574" i="4"/>
  <c r="V574" i="4" s="1"/>
  <c r="Q549" i="4"/>
  <c r="Q569" i="4"/>
  <c r="V569" i="4" s="1"/>
  <c r="Q589" i="4"/>
  <c r="V589" i="4" s="1"/>
  <c r="Q564" i="4"/>
  <c r="V564" i="4" s="1"/>
  <c r="Q584" i="4"/>
  <c r="V584" i="4" s="1"/>
  <c r="C65" i="14"/>
  <c r="Q590" i="4"/>
  <c r="Q585" i="4"/>
  <c r="Q580" i="4"/>
  <c r="Q570" i="4"/>
  <c r="Q565" i="4"/>
  <c r="Q560" i="4"/>
  <c r="Q555" i="4"/>
  <c r="Q550" i="4"/>
  <c r="V556" i="4" l="1"/>
  <c r="AA553" i="4"/>
  <c r="Q553" i="4" s="1"/>
  <c r="W553" i="4" s="1"/>
  <c r="Z553" i="4"/>
  <c r="V555" i="4"/>
  <c r="W573" i="4"/>
  <c r="W583" i="4"/>
  <c r="X568" i="4"/>
  <c r="X563" i="4"/>
  <c r="W578" i="4"/>
  <c r="X558" i="4"/>
  <c r="W563" i="4"/>
  <c r="X553" i="4"/>
  <c r="W558" i="4"/>
  <c r="V551" i="4"/>
  <c r="V576" i="4"/>
  <c r="V575" i="4"/>
  <c r="V549" i="4"/>
  <c r="X548" i="4"/>
  <c r="V550" i="4"/>
  <c r="V578" i="4"/>
  <c r="V560" i="4"/>
  <c r="V558" i="4"/>
  <c r="V548" i="4"/>
  <c r="V590" i="4"/>
  <c r="V568" i="4"/>
  <c r="V588" i="4"/>
  <c r="V565" i="4"/>
  <c r="V570" i="4"/>
  <c r="V580" i="4"/>
  <c r="V585" i="4"/>
  <c r="V563" i="4"/>
  <c r="V583" i="4"/>
  <c r="H541" i="4"/>
  <c r="L541" i="4"/>
  <c r="Q541" i="4"/>
  <c r="H542" i="4"/>
  <c r="L542" i="4"/>
  <c r="Q542" i="4"/>
  <c r="H543" i="4"/>
  <c r="L543" i="4"/>
  <c r="Q543" i="4"/>
  <c r="H544" i="4"/>
  <c r="L544" i="4"/>
  <c r="Q544" i="4"/>
  <c r="Q540" i="4"/>
  <c r="L540" i="4"/>
  <c r="H540" i="4"/>
  <c r="D541" i="4"/>
  <c r="D542" i="4"/>
  <c r="D543" i="4"/>
  <c r="D544" i="4"/>
  <c r="D540" i="4"/>
  <c r="H536" i="4"/>
  <c r="L536" i="4"/>
  <c r="Q536" i="4"/>
  <c r="H537" i="4"/>
  <c r="L537" i="4"/>
  <c r="Q537" i="4"/>
  <c r="H538" i="4"/>
  <c r="L538" i="4"/>
  <c r="Q538" i="4"/>
  <c r="H539" i="4"/>
  <c r="L539" i="4"/>
  <c r="Q539" i="4"/>
  <c r="Q535" i="4"/>
  <c r="L535" i="4"/>
  <c r="H535" i="4"/>
  <c r="D536" i="4"/>
  <c r="D537" i="4"/>
  <c r="D538" i="4"/>
  <c r="D539" i="4"/>
  <c r="D535" i="4"/>
  <c r="Q531" i="4"/>
  <c r="Q532" i="4"/>
  <c r="Q533" i="4"/>
  <c r="Q534" i="4"/>
  <c r="L531" i="4"/>
  <c r="L532" i="4"/>
  <c r="L533" i="4"/>
  <c r="L534" i="4"/>
  <c r="H531" i="4"/>
  <c r="H532" i="4"/>
  <c r="H533" i="4"/>
  <c r="H534" i="4"/>
  <c r="D533" i="4"/>
  <c r="D534" i="4"/>
  <c r="D531" i="4"/>
  <c r="D532" i="4"/>
  <c r="Q530" i="4"/>
  <c r="L530" i="4"/>
  <c r="H530" i="4"/>
  <c r="D530" i="4"/>
  <c r="W548" i="4" l="1"/>
  <c r="V553" i="4"/>
  <c r="A592" i="4"/>
  <c r="V534" i="4"/>
  <c r="V532" i="4"/>
  <c r="V531" i="4"/>
  <c r="V533" i="4"/>
  <c r="A548" i="4"/>
  <c r="A553" i="4" s="1"/>
  <c r="A558" i="4" s="1"/>
  <c r="A563" i="4" s="1"/>
  <c r="A568" i="4" s="1"/>
  <c r="A573" i="4" s="1"/>
  <c r="A578" i="4" s="1"/>
  <c r="A583" i="4" s="1"/>
  <c r="A588" i="4" s="1"/>
  <c r="A549" i="4"/>
  <c r="A554" i="4" s="1"/>
  <c r="A559" i="4" s="1"/>
  <c r="A564" i="4" s="1"/>
  <c r="A569" i="4" s="1"/>
  <c r="A574" i="4" s="1"/>
  <c r="A579" i="4" s="1"/>
  <c r="A584" i="4" s="1"/>
  <c r="A589" i="4" s="1"/>
  <c r="A556" i="4"/>
  <c r="A561" i="4" s="1"/>
  <c r="A566" i="4" s="1"/>
  <c r="A571" i="4" s="1"/>
  <c r="A576" i="4" s="1"/>
  <c r="A581" i="4" s="1"/>
  <c r="A586" i="4" s="1"/>
  <c r="A591" i="4" s="1"/>
  <c r="V538" i="4"/>
  <c r="V543" i="4"/>
  <c r="V530" i="4"/>
  <c r="V535" i="4"/>
  <c r="V544" i="4"/>
  <c r="V540" i="4"/>
  <c r="V541" i="4"/>
  <c r="V539" i="4"/>
  <c r="V537" i="4"/>
  <c r="V542" i="4"/>
  <c r="V536" i="4"/>
  <c r="W530" i="4" l="1"/>
  <c r="Q528" i="4" s="1"/>
  <c r="Q529" i="4" s="1"/>
  <c r="A550" i="4"/>
  <c r="A555" i="4" s="1"/>
  <c r="A560" i="4" s="1"/>
  <c r="A565" i="4" s="1"/>
  <c r="A570" i="4" s="1"/>
  <c r="A575" i="4" s="1"/>
  <c r="A580" i="4" s="1"/>
  <c r="A585" i="4" s="1"/>
  <c r="A590" i="4" s="1"/>
  <c r="BH72" i="1"/>
  <c r="C588" i="3" l="1"/>
  <c r="C85" i="13" l="1"/>
  <c r="D85" i="13" s="1"/>
  <c r="E85" i="13" s="1"/>
  <c r="C86" i="13"/>
  <c r="D86" i="13" s="1"/>
  <c r="E86" i="13" s="1"/>
  <c r="C88" i="13"/>
  <c r="C84" i="13"/>
  <c r="D84" i="13" s="1"/>
  <c r="E84" i="13" s="1"/>
  <c r="C590" i="3"/>
  <c r="C589" i="3"/>
  <c r="C591" i="3"/>
  <c r="D507" i="4"/>
  <c r="D508" i="4" s="1"/>
  <c r="D509" i="4" s="1"/>
  <c r="D510" i="4" s="1"/>
  <c r="D511" i="4" s="1"/>
  <c r="D512" i="4" s="1"/>
  <c r="D513" i="4" s="1"/>
  <c r="D514" i="4" s="1"/>
  <c r="D515" i="4" s="1"/>
  <c r="D516" i="4" s="1"/>
  <c r="D517" i="4" s="1"/>
  <c r="D518" i="4" s="1"/>
  <c r="D519" i="4" s="1"/>
  <c r="D520" i="4" s="1"/>
  <c r="D521" i="4" s="1"/>
  <c r="D522" i="4" s="1"/>
  <c r="D523" i="4" s="1"/>
  <c r="D524" i="4" s="1"/>
  <c r="D525" i="4" s="1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596" i="3"/>
  <c r="C62" i="13"/>
  <c r="D62" i="13" s="1"/>
  <c r="E62" i="13" s="1"/>
  <c r="C63" i="13"/>
  <c r="D63" i="13" s="1"/>
  <c r="E63" i="13" s="1"/>
  <c r="C65" i="13"/>
  <c r="D65" i="13" s="1"/>
  <c r="E65" i="13" s="1"/>
  <c r="C66" i="13"/>
  <c r="D66" i="13" s="1"/>
  <c r="E66" i="13" s="1"/>
  <c r="C67" i="13"/>
  <c r="D67" i="13" s="1"/>
  <c r="E67" i="13" s="1"/>
  <c r="C69" i="13"/>
  <c r="D69" i="13" s="1"/>
  <c r="E69" i="13" s="1"/>
  <c r="C70" i="13"/>
  <c r="D70" i="13" s="1"/>
  <c r="E70" i="13" s="1"/>
  <c r="C71" i="13"/>
  <c r="D71" i="13" s="1"/>
  <c r="E71" i="13" s="1"/>
  <c r="C72" i="13"/>
  <c r="D72" i="13" s="1"/>
  <c r="E72" i="13" s="1"/>
  <c r="C73" i="13"/>
  <c r="D73" i="13" s="1"/>
  <c r="E73" i="13" s="1"/>
  <c r="C74" i="13"/>
  <c r="D74" i="13" s="1"/>
  <c r="E74" i="13" s="1"/>
  <c r="C75" i="13"/>
  <c r="D75" i="13" s="1"/>
  <c r="E75" i="13" s="1"/>
  <c r="C76" i="13"/>
  <c r="D76" i="13" s="1"/>
  <c r="E76" i="13" s="1"/>
  <c r="C77" i="13"/>
  <c r="D77" i="13" s="1"/>
  <c r="E77" i="13" s="1"/>
  <c r="C78" i="13"/>
  <c r="D78" i="13" s="1"/>
  <c r="E78" i="13" s="1"/>
  <c r="C79" i="13"/>
  <c r="D79" i="13" s="1"/>
  <c r="E79" i="13" s="1"/>
  <c r="C80" i="13"/>
  <c r="D80" i="13" s="1"/>
  <c r="E80" i="13" s="1"/>
  <c r="C81" i="13"/>
  <c r="D81" i="13" s="1"/>
  <c r="E81" i="13" s="1"/>
  <c r="C82" i="13"/>
  <c r="D82" i="13" s="1"/>
  <c r="E82" i="13" s="1"/>
  <c r="C83" i="13"/>
  <c r="D83" i="13" s="1"/>
  <c r="E83" i="13" s="1"/>
  <c r="C87" i="13"/>
  <c r="D87" i="13" s="1"/>
  <c r="E87" i="13" s="1"/>
  <c r="C61" i="13"/>
  <c r="D61" i="13" s="1"/>
  <c r="E61" i="13" s="1"/>
  <c r="F507" i="4" l="1"/>
  <c r="F508" i="4" s="1"/>
  <c r="F509" i="4" s="1"/>
  <c r="F510" i="4" s="1"/>
  <c r="F511" i="4" s="1"/>
  <c r="F512" i="4" s="1"/>
  <c r="F513" i="4" s="1"/>
  <c r="F514" i="4" s="1"/>
  <c r="F515" i="4" s="1"/>
  <c r="F516" i="4" s="1"/>
  <c r="F517" i="4" s="1"/>
  <c r="F518" i="4" s="1"/>
  <c r="F519" i="4" s="1"/>
  <c r="F520" i="4" s="1"/>
  <c r="F521" i="4" s="1"/>
  <c r="F522" i="4" s="1"/>
  <c r="F523" i="4" s="1"/>
  <c r="F524" i="4" s="1"/>
  <c r="F525" i="4" s="1"/>
  <c r="F526" i="4" s="1"/>
  <c r="F527" i="4" s="1"/>
  <c r="D88" i="13"/>
  <c r="E88" i="13" s="1"/>
  <c r="D526" i="4"/>
  <c r="D527" i="4" s="1"/>
  <c r="A526" i="4"/>
  <c r="A527" i="4"/>
  <c r="A525" i="4"/>
  <c r="Q526" i="4"/>
  <c r="Q527" i="4"/>
  <c r="Q525" i="4"/>
  <c r="L516" i="4"/>
  <c r="L517" i="4"/>
  <c r="L518" i="4"/>
  <c r="L519" i="4"/>
  <c r="L520" i="4"/>
  <c r="L521" i="4"/>
  <c r="L522" i="4"/>
  <c r="L523" i="4"/>
  <c r="L524" i="4"/>
  <c r="L508" i="4"/>
  <c r="L509" i="4"/>
  <c r="L510" i="4"/>
  <c r="L511" i="4"/>
  <c r="L512" i="4"/>
  <c r="L513" i="4"/>
  <c r="L514" i="4"/>
  <c r="L515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07" i="4"/>
  <c r="L507" i="4"/>
  <c r="E506" i="4"/>
  <c r="L506" i="4"/>
  <c r="I506" i="4"/>
  <c r="Q506" i="4"/>
  <c r="Q505" i="4"/>
  <c r="I505" i="4"/>
  <c r="L505" i="4"/>
  <c r="E114" i="2"/>
  <c r="E113" i="2"/>
  <c r="E112" i="2"/>
  <c r="AA211" i="4"/>
  <c r="A164" i="12"/>
  <c r="F113" i="2" l="1"/>
  <c r="F114" i="2"/>
  <c r="F112" i="2"/>
  <c r="V505" i="4"/>
  <c r="V522" i="4"/>
  <c r="V518" i="4"/>
  <c r="V506" i="4"/>
  <c r="V507" i="4"/>
  <c r="V515" i="4"/>
  <c r="V511" i="4"/>
  <c r="V524" i="4"/>
  <c r="V520" i="4"/>
  <c r="V516" i="4"/>
  <c r="V508" i="4"/>
  <c r="V521" i="4"/>
  <c r="V517" i="4"/>
  <c r="V513" i="4"/>
  <c r="V509" i="4"/>
  <c r="V512" i="4"/>
  <c r="V514" i="4"/>
  <c r="V510" i="4"/>
  <c r="V523" i="4"/>
  <c r="V519" i="4"/>
  <c r="AS7" i="4"/>
  <c r="G112" i="2" l="1"/>
  <c r="G113" i="2"/>
  <c r="G114" i="2"/>
  <c r="W505" i="4"/>
  <c r="W507" i="4"/>
  <c r="BI71" i="1" s="1"/>
  <c r="BI65" i="1" l="1"/>
  <c r="N63" i="14"/>
  <c r="P61" i="14" s="1"/>
  <c r="P62" i="14" s="1"/>
  <c r="P63" i="14" s="1"/>
  <c r="H114" i="2"/>
  <c r="H112" i="2"/>
  <c r="H113" i="2"/>
  <c r="Q66" i="4"/>
  <c r="Q67" i="4"/>
  <c r="AA67" i="4" s="1"/>
  <c r="Q68" i="4"/>
  <c r="AA68" i="4" s="1"/>
  <c r="Q69" i="4"/>
  <c r="AA69" i="4" s="1"/>
  <c r="Q70" i="4"/>
  <c r="AA70" i="4" s="1"/>
  <c r="Q71" i="4"/>
  <c r="AA71" i="4" s="1"/>
  <c r="Q72" i="4"/>
  <c r="AA72" i="4" s="1"/>
  <c r="Q73" i="4"/>
  <c r="AA73" i="4" s="1"/>
  <c r="Q74" i="4"/>
  <c r="AA74" i="4" s="1"/>
  <c r="Q75" i="4"/>
  <c r="AA75" i="4" s="1"/>
  <c r="Q76" i="4"/>
  <c r="AA76" i="4" s="1"/>
  <c r="Q77" i="4"/>
  <c r="AA77" i="4" s="1"/>
  <c r="Q78" i="4"/>
  <c r="AA78" i="4" s="1"/>
  <c r="Q79" i="4"/>
  <c r="AA79" i="4" s="1"/>
  <c r="Q80" i="4"/>
  <c r="AA80" i="4" s="1"/>
  <c r="Q81" i="4"/>
  <c r="AA81" i="4" s="1"/>
  <c r="Q82" i="4"/>
  <c r="AA82" i="4" s="1"/>
  <c r="Q83" i="4"/>
  <c r="AA83" i="4" s="1"/>
  <c r="I113" i="2" l="1"/>
  <c r="I114" i="2"/>
  <c r="I112" i="2"/>
  <c r="AA66" i="4"/>
  <c r="A461" i="4"/>
  <c r="J457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A459" i="4"/>
  <c r="A460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J112" i="2" l="1"/>
  <c r="J113" i="2"/>
  <c r="J114" i="2"/>
  <c r="Q458" i="4"/>
  <c r="Q482" i="4"/>
  <c r="Q483" i="4"/>
  <c r="Q484" i="4"/>
  <c r="Q457" i="4"/>
  <c r="J458" i="4"/>
  <c r="J459" i="4" s="1"/>
  <c r="J460" i="4" s="1"/>
  <c r="J461" i="4" s="1"/>
  <c r="J462" i="4" s="1"/>
  <c r="J463" i="4" s="1"/>
  <c r="J464" i="4" s="1"/>
  <c r="J465" i="4" s="1"/>
  <c r="J466" i="4" s="1"/>
  <c r="J467" i="4" s="1"/>
  <c r="J468" i="4" s="1"/>
  <c r="J469" i="4" s="1"/>
  <c r="J470" i="4" s="1"/>
  <c r="J471" i="4" s="1"/>
  <c r="J472" i="4" s="1"/>
  <c r="J473" i="4" s="1"/>
  <c r="J474" i="4" s="1"/>
  <c r="J475" i="4" s="1"/>
  <c r="J476" i="4" s="1"/>
  <c r="J477" i="4" s="1"/>
  <c r="J478" i="4" s="1"/>
  <c r="J479" i="4" s="1"/>
  <c r="J480" i="4" s="1"/>
  <c r="J482" i="4"/>
  <c r="J483" i="4"/>
  <c r="J484" i="4"/>
  <c r="J481" i="4"/>
  <c r="A482" i="4"/>
  <c r="G482" i="4"/>
  <c r="A483" i="4"/>
  <c r="G483" i="4"/>
  <c r="A484" i="4"/>
  <c r="G484" i="4"/>
  <c r="G481" i="4"/>
  <c r="A458" i="4"/>
  <c r="A457" i="4"/>
  <c r="V457" i="4" l="1"/>
  <c r="BB34" i="1" s="1"/>
  <c r="H457" i="4" s="1"/>
  <c r="W457" i="4"/>
  <c r="BG34" i="1" s="1"/>
  <c r="K114" i="2"/>
  <c r="K112" i="2"/>
  <c r="K113" i="2"/>
  <c r="L91" i="2" l="1"/>
  <c r="L92" i="2"/>
  <c r="L90" i="2"/>
  <c r="A481" i="4"/>
  <c r="BD71" i="1" l="1"/>
  <c r="J427" i="4"/>
  <c r="E481" i="4"/>
  <c r="E482" i="4" s="1"/>
  <c r="E483" i="4" s="1"/>
  <c r="E484" i="4" s="1"/>
  <c r="J57" i="8"/>
  <c r="J57" i="7"/>
  <c r="A86" i="4"/>
  <c r="A87" i="4"/>
  <c r="A88" i="4"/>
  <c r="A89" i="4"/>
  <c r="A90" i="4"/>
  <c r="A91" i="4"/>
  <c r="A92" i="4"/>
  <c r="A93" i="4"/>
  <c r="A94" i="4"/>
  <c r="A85" i="4"/>
  <c r="B168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80" i="3"/>
  <c r="BD72" i="1" l="1"/>
  <c r="J428" i="4"/>
  <c r="G29" i="1"/>
  <c r="G28" i="1" s="1"/>
  <c r="G27" i="1" s="1"/>
  <c r="G26" i="1" s="1"/>
  <c r="G25" i="1" s="1"/>
  <c r="G24" i="1" s="1"/>
  <c r="G23" i="1" s="1"/>
  <c r="G22" i="1" s="1"/>
  <c r="G21" i="1" s="1"/>
  <c r="G20" i="1" s="1"/>
  <c r="G19" i="1" s="1"/>
  <c r="D128" i="2"/>
  <c r="E128" i="2" s="1"/>
  <c r="F128" i="2" s="1"/>
  <c r="Q364" i="4"/>
  <c r="AA364" i="4" s="1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G105" i="4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A105" i="4"/>
  <c r="A73" i="12"/>
  <c r="A74" i="12"/>
  <c r="BD73" i="1" l="1"/>
  <c r="J429" i="4"/>
  <c r="AA105" i="4"/>
  <c r="AA115" i="4"/>
  <c r="AA111" i="4"/>
  <c r="AA107" i="4"/>
  <c r="AA116" i="4"/>
  <c r="AA112" i="4"/>
  <c r="AA108" i="4"/>
  <c r="AA117" i="4"/>
  <c r="AA113" i="4"/>
  <c r="AA109" i="4"/>
  <c r="AA118" i="4"/>
  <c r="AA114" i="4"/>
  <c r="AA110" i="4"/>
  <c r="AA106" i="4"/>
  <c r="A383" i="12"/>
  <c r="BD74" i="1" l="1"/>
  <c r="J430" i="4"/>
  <c r="A149" i="12"/>
  <c r="A148" i="12"/>
  <c r="BD75" i="1" l="1"/>
  <c r="J431" i="4"/>
  <c r="B278" i="3"/>
  <c r="I21" i="3" s="1"/>
  <c r="F21" i="3"/>
  <c r="Q453" i="4"/>
  <c r="Q454" i="4"/>
  <c r="Q455" i="4"/>
  <c r="Q456" i="4"/>
  <c r="Q452" i="4"/>
  <c r="D121" i="8"/>
  <c r="D121" i="7"/>
  <c r="G377" i="2"/>
  <c r="BD76" i="1" l="1"/>
  <c r="J432" i="4"/>
  <c r="G207" i="4"/>
  <c r="BD77" i="1" l="1"/>
  <c r="J433" i="4"/>
  <c r="A382" i="12"/>
  <c r="BG3" i="1" s="1"/>
  <c r="A380" i="12"/>
  <c r="A381" i="12"/>
  <c r="A379" i="12"/>
  <c r="A374" i="12"/>
  <c r="A375" i="12"/>
  <c r="A376" i="12"/>
  <c r="A377" i="12"/>
  <c r="A378" i="12"/>
  <c r="A354" i="12"/>
  <c r="BH43" i="1" s="1"/>
  <c r="A355" i="12"/>
  <c r="BH44" i="1" s="1"/>
  <c r="D486" i="4" s="1"/>
  <c r="A356" i="12"/>
  <c r="BH45" i="1" s="1"/>
  <c r="D487" i="4" s="1"/>
  <c r="A357" i="12"/>
  <c r="BH46" i="1" s="1"/>
  <c r="A358" i="12"/>
  <c r="BH47" i="1" s="1"/>
  <c r="A359" i="12"/>
  <c r="BH48" i="1" s="1"/>
  <c r="A360" i="12"/>
  <c r="BH49" i="1" s="1"/>
  <c r="A361" i="12"/>
  <c r="BH50" i="1" s="1"/>
  <c r="A362" i="12"/>
  <c r="BH51" i="1" s="1"/>
  <c r="A363" i="12"/>
  <c r="BH52" i="1" s="1"/>
  <c r="A364" i="12"/>
  <c r="BH53" i="1" s="1"/>
  <c r="A365" i="12"/>
  <c r="BH54" i="1" s="1"/>
  <c r="A366" i="12"/>
  <c r="BH55" i="1" s="1"/>
  <c r="A367" i="12"/>
  <c r="BH56" i="1" s="1"/>
  <c r="A368" i="12"/>
  <c r="BH57" i="1" s="1"/>
  <c r="A369" i="12"/>
  <c r="BH58" i="1" s="1"/>
  <c r="A370" i="12"/>
  <c r="BH59" i="1" s="1"/>
  <c r="A371" i="12"/>
  <c r="BH60" i="1" s="1"/>
  <c r="A372" i="12"/>
  <c r="BH61" i="1" s="1"/>
  <c r="A373" i="12"/>
  <c r="BH62" i="1" s="1"/>
  <c r="D4" i="3"/>
  <c r="E4" i="3"/>
  <c r="D5" i="3"/>
  <c r="D6" i="3"/>
  <c r="D7" i="3"/>
  <c r="D8" i="3"/>
  <c r="D9" i="3"/>
  <c r="D10" i="3"/>
  <c r="D11" i="3"/>
  <c r="A352" i="12"/>
  <c r="B65" i="1" s="1"/>
  <c r="A353" i="12"/>
  <c r="A332" i="12"/>
  <c r="A328" i="2" s="1"/>
  <c r="A333" i="12"/>
  <c r="A329" i="2" s="1"/>
  <c r="A334" i="12"/>
  <c r="A330" i="2" s="1"/>
  <c r="A335" i="12"/>
  <c r="A331" i="2" s="1"/>
  <c r="A336" i="12"/>
  <c r="A332" i="2" s="1"/>
  <c r="A337" i="12"/>
  <c r="A333" i="2" s="1"/>
  <c r="A338" i="12"/>
  <c r="A334" i="2" s="1"/>
  <c r="A339" i="12"/>
  <c r="A335" i="2" s="1"/>
  <c r="A340" i="12"/>
  <c r="A336" i="2" s="1"/>
  <c r="A341" i="12"/>
  <c r="A337" i="2" s="1"/>
  <c r="A342" i="12"/>
  <c r="A338" i="2" s="1"/>
  <c r="A343" i="12"/>
  <c r="A339" i="2" s="1"/>
  <c r="A344" i="12"/>
  <c r="A341" i="2" s="1"/>
  <c r="A345" i="12"/>
  <c r="A342" i="2" s="1"/>
  <c r="A346" i="12"/>
  <c r="A343" i="2" s="1"/>
  <c r="A347" i="12"/>
  <c r="A345" i="2" s="1"/>
  <c r="A348" i="12"/>
  <c r="A346" i="2" s="1"/>
  <c r="A349" i="12"/>
  <c r="A348" i="2" s="1"/>
  <c r="A350" i="12"/>
  <c r="A349" i="2" s="1"/>
  <c r="A351" i="12"/>
  <c r="AV70" i="1" s="1"/>
  <c r="A328" i="12"/>
  <c r="B2049" i="3" s="1"/>
  <c r="A329" i="12"/>
  <c r="B2050" i="3" s="1"/>
  <c r="A330" i="12"/>
  <c r="B2051" i="3" s="1"/>
  <c r="A331" i="12"/>
  <c r="B2052" i="3" s="1"/>
  <c r="A327" i="12"/>
  <c r="AG4" i="1" s="1"/>
  <c r="A138" i="12"/>
  <c r="A86" i="12"/>
  <c r="M168" i="2" s="1"/>
  <c r="A85" i="12"/>
  <c r="K168" i="2" s="1"/>
  <c r="BD78" i="1" l="1"/>
  <c r="J434" i="4"/>
  <c r="AM65" i="1"/>
  <c r="AK42" i="1"/>
  <c r="B107" i="3"/>
  <c r="A168" i="2"/>
  <c r="A311" i="12"/>
  <c r="B180" i="3" s="1"/>
  <c r="A312" i="12"/>
  <c r="B181" i="3" s="1"/>
  <c r="A313" i="12"/>
  <c r="B182" i="3" s="1"/>
  <c r="A314" i="12"/>
  <c r="B183" i="3" s="1"/>
  <c r="A315" i="12"/>
  <c r="B184" i="3" s="1"/>
  <c r="A316" i="12"/>
  <c r="B185" i="3" s="1"/>
  <c r="A317" i="12"/>
  <c r="B186" i="3" s="1"/>
  <c r="A318" i="12"/>
  <c r="B187" i="3" s="1"/>
  <c r="A319" i="12"/>
  <c r="B188" i="3" s="1"/>
  <c r="A320" i="12"/>
  <c r="B189" i="3" s="1"/>
  <c r="A321" i="12"/>
  <c r="B190" i="3" s="1"/>
  <c r="A322" i="12"/>
  <c r="B191" i="3" s="1"/>
  <c r="A323" i="12"/>
  <c r="B192" i="3" s="1"/>
  <c r="A324" i="12"/>
  <c r="B193" i="3" s="1"/>
  <c r="A325" i="12"/>
  <c r="B194" i="3" s="1"/>
  <c r="A326" i="12"/>
  <c r="B195" i="3" s="1"/>
  <c r="BD79" i="1" l="1"/>
  <c r="J435" i="4"/>
  <c r="A3" i="12"/>
  <c r="A4" i="12"/>
  <c r="B9" i="1" s="1"/>
  <c r="I65" i="1" s="1"/>
  <c r="A5" i="12"/>
  <c r="B11" i="1" s="1"/>
  <c r="A6" i="12"/>
  <c r="L6" i="1" s="1"/>
  <c r="A7" i="12"/>
  <c r="B7" i="1" s="1"/>
  <c r="V7" i="1" s="1"/>
  <c r="A8" i="12"/>
  <c r="A9" i="12"/>
  <c r="V6" i="1" s="1"/>
  <c r="A10" i="12"/>
  <c r="AF6" i="1" s="1"/>
  <c r="A11" i="12"/>
  <c r="AV6" i="1" s="1"/>
  <c r="A12" i="12"/>
  <c r="A13" i="12"/>
  <c r="A14" i="12"/>
  <c r="A15" i="12"/>
  <c r="A16" i="12"/>
  <c r="AM63" i="1" s="1"/>
  <c r="A17" i="12"/>
  <c r="BC63" i="1" s="1"/>
  <c r="A18" i="12"/>
  <c r="AU63" i="1" s="1"/>
  <c r="A401" i="4" s="1"/>
  <c r="A19" i="12"/>
  <c r="A20" i="12"/>
  <c r="A21" i="12"/>
  <c r="A22" i="12"/>
  <c r="B12" i="1" s="1"/>
  <c r="A19" i="4" s="1"/>
  <c r="A23" i="12"/>
  <c r="A24" i="12"/>
  <c r="B14" i="1" s="1"/>
  <c r="A25" i="12"/>
  <c r="I14" i="1" s="1"/>
  <c r="BF26" i="1" s="1"/>
  <c r="A26" i="12"/>
  <c r="BH6" i="1" s="1"/>
  <c r="A216" i="4" s="1"/>
  <c r="A27" i="12"/>
  <c r="A28" i="12"/>
  <c r="B31" i="1" s="1"/>
  <c r="A29" i="12"/>
  <c r="A30" i="12"/>
  <c r="L32" i="1" s="1"/>
  <c r="A56" i="12"/>
  <c r="A121" i="2" s="1"/>
  <c r="A57" i="12"/>
  <c r="A117" i="2" s="1"/>
  <c r="A58" i="12"/>
  <c r="A59" i="12"/>
  <c r="A60" i="12"/>
  <c r="A61" i="12"/>
  <c r="A62" i="12"/>
  <c r="A63" i="12"/>
  <c r="A64" i="12"/>
  <c r="A65" i="12"/>
  <c r="A66" i="12"/>
  <c r="A67" i="12"/>
  <c r="A68" i="12"/>
  <c r="L35" i="1" s="1"/>
  <c r="L49" i="1" s="1"/>
  <c r="A69" i="12"/>
  <c r="N35" i="1" s="1"/>
  <c r="N49" i="1" s="1"/>
  <c r="A70" i="12"/>
  <c r="Q35" i="1" s="1"/>
  <c r="Q49" i="1" s="1"/>
  <c r="A71" i="12"/>
  <c r="T35" i="1" s="1"/>
  <c r="A72" i="12"/>
  <c r="K4" i="3" s="1"/>
  <c r="K5" i="3"/>
  <c r="K7" i="3"/>
  <c r="A75" i="12"/>
  <c r="K159" i="2" s="1"/>
  <c r="A159" i="2" s="1"/>
  <c r="A76" i="12"/>
  <c r="K160" i="2" s="1"/>
  <c r="A160" i="2" s="1"/>
  <c r="A77" i="12"/>
  <c r="K161" i="2" s="1"/>
  <c r="A161" i="2" s="1"/>
  <c r="A78" i="12"/>
  <c r="K162" i="2" s="1"/>
  <c r="A162" i="2" s="1"/>
  <c r="A79" i="12"/>
  <c r="K163" i="2" s="1"/>
  <c r="A163" i="2" s="1"/>
  <c r="A80" i="12"/>
  <c r="K164" i="2" s="1"/>
  <c r="A81" i="12"/>
  <c r="K165" i="2" s="1"/>
  <c r="A165" i="2" s="1"/>
  <c r="A82" i="12"/>
  <c r="K166" i="2" s="1"/>
  <c r="A166" i="2" s="1"/>
  <c r="A83" i="12"/>
  <c r="A167" i="2" s="1"/>
  <c r="A84" i="12"/>
  <c r="K169" i="2" s="1"/>
  <c r="A169" i="2" s="1"/>
  <c r="A87" i="12"/>
  <c r="A170" i="2" s="1"/>
  <c r="A88" i="12"/>
  <c r="A171" i="2" s="1"/>
  <c r="A89" i="12"/>
  <c r="A172" i="2" s="1"/>
  <c r="A90" i="12"/>
  <c r="A173" i="2" s="1"/>
  <c r="A91" i="12"/>
  <c r="A174" i="2" s="1"/>
  <c r="A92" i="12"/>
  <c r="A175" i="2" s="1"/>
  <c r="A93" i="12"/>
  <c r="A176" i="2" s="1"/>
  <c r="A94" i="12"/>
  <c r="A177" i="2" s="1"/>
  <c r="A95" i="12"/>
  <c r="A178" i="2" s="1"/>
  <c r="A96" i="12"/>
  <c r="A179" i="2" s="1"/>
  <c r="A97" i="12"/>
  <c r="A180" i="2" s="1"/>
  <c r="A98" i="12"/>
  <c r="A181" i="2" s="1"/>
  <c r="A99" i="12"/>
  <c r="A182" i="2" s="1"/>
  <c r="A100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9" i="12"/>
  <c r="A140" i="12"/>
  <c r="A141" i="12"/>
  <c r="A142" i="12"/>
  <c r="A143" i="12"/>
  <c r="A144" i="12"/>
  <c r="A145" i="12"/>
  <c r="A146" i="12"/>
  <c r="A147" i="12"/>
  <c r="A150" i="12"/>
  <c r="A151" i="12"/>
  <c r="A152" i="12"/>
  <c r="A249" i="2" s="1"/>
  <c r="A153" i="12"/>
  <c r="A250" i="2" s="1"/>
  <c r="A154" i="12"/>
  <c r="A251" i="2" s="1"/>
  <c r="A155" i="12"/>
  <c r="A252" i="2" s="1"/>
  <c r="A156" i="12"/>
  <c r="A253" i="2" s="1"/>
  <c r="A157" i="12"/>
  <c r="A254" i="2" s="1"/>
  <c r="A158" i="12"/>
  <c r="A255" i="2" s="1"/>
  <c r="A159" i="12"/>
  <c r="A256" i="2" s="1"/>
  <c r="A160" i="12"/>
  <c r="A257" i="2" s="1"/>
  <c r="A161" i="12"/>
  <c r="A162" i="12"/>
  <c r="A260" i="2" s="1"/>
  <c r="A163" i="12"/>
  <c r="A261" i="2" s="1"/>
  <c r="A165" i="12"/>
  <c r="A262" i="2" s="1"/>
  <c r="A166" i="12"/>
  <c r="AU25" i="1" s="1"/>
  <c r="A452" i="4" s="1"/>
  <c r="A453" i="4" s="1"/>
  <c r="A454" i="4" s="1"/>
  <c r="A455" i="4" s="1"/>
  <c r="A456" i="4" s="1"/>
  <c r="A167" i="12"/>
  <c r="AV26" i="1" s="1"/>
  <c r="A16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W66" i="1" s="1"/>
  <c r="AM70" i="1" s="1"/>
  <c r="AV68" i="1" s="1"/>
  <c r="BH71" i="1" s="1"/>
  <c r="BH65" i="1" s="1"/>
  <c r="A206" i="12"/>
  <c r="W65" i="1" s="1"/>
  <c r="AV69" i="1" s="1"/>
  <c r="BK71" i="1" s="1"/>
  <c r="BK65" i="1" s="1"/>
  <c r="A207" i="12"/>
  <c r="A208" i="12"/>
  <c r="A209" i="12"/>
  <c r="A210" i="12"/>
  <c r="B548" i="3" s="1"/>
  <c r="A211" i="12"/>
  <c r="B547" i="3" s="1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M199" i="3" s="1"/>
  <c r="I48" i="5" s="1"/>
  <c r="A241" i="12"/>
  <c r="A242" i="12"/>
  <c r="A243" i="12"/>
  <c r="A244" i="12"/>
  <c r="M203" i="3" s="1"/>
  <c r="I52" i="5" s="1"/>
  <c r="A245" i="12"/>
  <c r="A246" i="12"/>
  <c r="A247" i="12"/>
  <c r="M206" i="3" s="1"/>
  <c r="I55" i="5" s="1"/>
  <c r="A248" i="12"/>
  <c r="M207" i="3" s="1"/>
  <c r="I56" i="5" s="1"/>
  <c r="A249" i="12"/>
  <c r="A250" i="12"/>
  <c r="A11" i="4" s="1"/>
  <c r="A251" i="12"/>
  <c r="A12" i="4" s="1"/>
  <c r="A252" i="12"/>
  <c r="A13" i="4" s="1"/>
  <c r="A253" i="12"/>
  <c r="A15" i="4" s="1"/>
  <c r="A254" i="12"/>
  <c r="A16" i="4" s="1"/>
  <c r="A255" i="12"/>
  <c r="A17" i="4" s="1"/>
  <c r="A256" i="12"/>
  <c r="A18" i="4" s="1"/>
  <c r="A257" i="12"/>
  <c r="A20" i="4" s="1"/>
  <c r="A258" i="12"/>
  <c r="O10" i="4" s="1"/>
  <c r="A259" i="12"/>
  <c r="O11" i="4" s="1"/>
  <c r="A260" i="12"/>
  <c r="O12" i="4" s="1"/>
  <c r="A261" i="12"/>
  <c r="A262" i="12"/>
  <c r="O14" i="4" s="1"/>
  <c r="A263" i="12"/>
  <c r="BR3" i="3" s="1"/>
  <c r="A264" i="12"/>
  <c r="BR4" i="3" s="1"/>
  <c r="A265" i="12"/>
  <c r="BR5" i="3" s="1"/>
  <c r="A266" i="12"/>
  <c r="BR6" i="3" s="1"/>
  <c r="A267" i="12"/>
  <c r="BN3" i="3" s="1"/>
  <c r="A268" i="12"/>
  <c r="BN4" i="3" s="1"/>
  <c r="A269" i="12"/>
  <c r="A270" i="12"/>
  <c r="BU3" i="3" s="1"/>
  <c r="A271" i="12"/>
  <c r="BU4" i="3" s="1"/>
  <c r="A272" i="12"/>
  <c r="BU5" i="3" s="1"/>
  <c r="A273" i="12"/>
  <c r="R16" i="4" s="1"/>
  <c r="A274" i="12"/>
  <c r="O17" i="4" s="1"/>
  <c r="A275" i="12"/>
  <c r="O18" i="4" s="1"/>
  <c r="A276" i="12"/>
  <c r="O19" i="4" s="1"/>
  <c r="A277" i="12"/>
  <c r="O20" i="4" s="1"/>
  <c r="A278" i="12"/>
  <c r="A21" i="4" s="1"/>
  <c r="A279" i="12"/>
  <c r="N21" i="4" s="1"/>
  <c r="A280" i="12"/>
  <c r="AC2" i="4" s="1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2" i="12"/>
  <c r="AC1" i="1" l="1"/>
  <c r="A6" i="4"/>
  <c r="B13" i="1"/>
  <c r="B6" i="1"/>
  <c r="A24" i="4"/>
  <c r="AM66" i="1"/>
  <c r="AV65" i="1" s="1"/>
  <c r="E66" i="1"/>
  <c r="BD80" i="1"/>
  <c r="J436" i="4"/>
  <c r="AU7" i="1"/>
  <c r="AV7" i="1"/>
  <c r="A145" i="4"/>
  <c r="C26" i="14" s="1"/>
  <c r="B241" i="3"/>
  <c r="B242" i="3"/>
  <c r="B104" i="3" s="1"/>
  <c r="B238" i="3"/>
  <c r="B544" i="3" s="1"/>
  <c r="B497" i="3" s="1"/>
  <c r="B203" i="3"/>
  <c r="B234" i="3"/>
  <c r="B538" i="3" s="1"/>
  <c r="B199" i="3"/>
  <c r="AV21" i="1"/>
  <c r="B103" i="3"/>
  <c r="M205" i="3"/>
  <c r="M201" i="3"/>
  <c r="I50" i="5" s="1"/>
  <c r="B100" i="3"/>
  <c r="K206" i="3"/>
  <c r="O206" i="3"/>
  <c r="Q206" i="3" s="1"/>
  <c r="S206" i="3" s="1"/>
  <c r="U206" i="3" s="1"/>
  <c r="M202" i="3"/>
  <c r="I51" i="5" s="1"/>
  <c r="B101" i="3"/>
  <c r="O207" i="3"/>
  <c r="Q207" i="3" s="1"/>
  <c r="S207" i="3" s="1"/>
  <c r="U207" i="3" s="1"/>
  <c r="K207" i="3"/>
  <c r="M204" i="3"/>
  <c r="I53" i="5" s="1"/>
  <c r="B102" i="3"/>
  <c r="B99" i="3"/>
  <c r="M200" i="3"/>
  <c r="I49" i="5" s="1"/>
  <c r="L8" i="1"/>
  <c r="L10" i="1"/>
  <c r="V11" i="1" s="1"/>
  <c r="P65" i="1"/>
  <c r="T49" i="1"/>
  <c r="BG26" i="1"/>
  <c r="L59" i="1"/>
  <c r="L55" i="1"/>
  <c r="L51" i="1"/>
  <c r="L56" i="1"/>
  <c r="L52" i="1"/>
  <c r="L57" i="1"/>
  <c r="L53" i="1"/>
  <c r="L58" i="1"/>
  <c r="L54" i="1"/>
  <c r="L50" i="1"/>
  <c r="L46" i="1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57" i="3"/>
  <c r="AV66" i="1" l="1"/>
  <c r="N66" i="1"/>
  <c r="I207" i="3"/>
  <c r="I38" i="5" s="1"/>
  <c r="I47" i="5"/>
  <c r="B240" i="3"/>
  <c r="B546" i="3" s="1"/>
  <c r="B499" i="3" s="1"/>
  <c r="I54" i="5"/>
  <c r="I57" i="5" s="1"/>
  <c r="I206" i="3"/>
  <c r="I37" i="5" s="1"/>
  <c r="I46" i="5"/>
  <c r="BD81" i="1"/>
  <c r="J437" i="4"/>
  <c r="B550" i="3"/>
  <c r="B501" i="3" s="1"/>
  <c r="G356" i="3"/>
  <c r="D356" i="3" s="1"/>
  <c r="B549" i="3"/>
  <c r="B500" i="3" s="1"/>
  <c r="G355" i="3"/>
  <c r="D355" i="3" s="1"/>
  <c r="B235" i="3"/>
  <c r="B539" i="3" s="1"/>
  <c r="B491" i="3" s="1"/>
  <c r="B200" i="3"/>
  <c r="B239" i="3"/>
  <c r="B545" i="3" s="1"/>
  <c r="B498" i="3" s="1"/>
  <c r="B237" i="3"/>
  <c r="B236" i="3"/>
  <c r="K205" i="3"/>
  <c r="O205" i="3"/>
  <c r="Q205" i="3" s="1"/>
  <c r="S205" i="3" s="1"/>
  <c r="U205" i="3" s="1"/>
  <c r="O204" i="3"/>
  <c r="K204" i="3"/>
  <c r="K202" i="3"/>
  <c r="O202" i="3"/>
  <c r="Q202" i="3" s="1"/>
  <c r="S202" i="3" s="1"/>
  <c r="U202" i="3" s="1"/>
  <c r="G201" i="3"/>
  <c r="I14" i="5" s="1"/>
  <c r="O201" i="3"/>
  <c r="B201" i="3" s="1"/>
  <c r="G354" i="3" l="1"/>
  <c r="D354" i="3" s="1"/>
  <c r="C354" i="3" s="1"/>
  <c r="C356" i="3"/>
  <c r="E356" i="3"/>
  <c r="C355" i="3"/>
  <c r="E355" i="3"/>
  <c r="G207" i="3"/>
  <c r="I20" i="5" s="1"/>
  <c r="W207" i="3"/>
  <c r="G206" i="3"/>
  <c r="I19" i="5" s="1"/>
  <c r="W206" i="3"/>
  <c r="B206" i="3" s="1"/>
  <c r="I205" i="3"/>
  <c r="I36" i="5" s="1"/>
  <c r="I45" i="5"/>
  <c r="I202" i="3"/>
  <c r="I33" i="5" s="1"/>
  <c r="I42" i="5"/>
  <c r="I204" i="3"/>
  <c r="I35" i="5" s="1"/>
  <c r="I44" i="5"/>
  <c r="BD82" i="1"/>
  <c r="J438" i="4"/>
  <c r="B207" i="3"/>
  <c r="G353" i="3"/>
  <c r="D353" i="3" s="1"/>
  <c r="G351" i="3"/>
  <c r="B351" i="3" s="1"/>
  <c r="B540" i="3"/>
  <c r="B492" i="3" s="1"/>
  <c r="G352" i="3"/>
  <c r="D352" i="3" s="1"/>
  <c r="B541" i="3"/>
  <c r="B493" i="3" s="1"/>
  <c r="G64" i="4"/>
  <c r="D126" i="8"/>
  <c r="C126" i="8" s="1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58" i="2"/>
  <c r="D126" i="7"/>
  <c r="C126" i="7" s="1"/>
  <c r="H377" i="2" s="1"/>
  <c r="AR8" i="4"/>
  <c r="AS8" i="4" s="1"/>
  <c r="Q122" i="4"/>
  <c r="AA122" i="4" s="1"/>
  <c r="Q123" i="4"/>
  <c r="Q124" i="4"/>
  <c r="AA124" i="4" s="1"/>
  <c r="Q125" i="4"/>
  <c r="Q126" i="4"/>
  <c r="AA126" i="4" s="1"/>
  <c r="Q127" i="4"/>
  <c r="AA127" i="4" s="1"/>
  <c r="Q128" i="4"/>
  <c r="AA128" i="4" s="1"/>
  <c r="Q129" i="4"/>
  <c r="Q130" i="4"/>
  <c r="AA130" i="4" s="1"/>
  <c r="Q131" i="4"/>
  <c r="AA131" i="4" s="1"/>
  <c r="Q132" i="4"/>
  <c r="AA132" i="4" s="1"/>
  <c r="Q133" i="4"/>
  <c r="AA133" i="4" s="1"/>
  <c r="Q134" i="4"/>
  <c r="AA134" i="4" s="1"/>
  <c r="Q135" i="4"/>
  <c r="AA135" i="4" s="1"/>
  <c r="Q136" i="4"/>
  <c r="AA136" i="4" s="1"/>
  <c r="Q137" i="4"/>
  <c r="AA137" i="4" s="1"/>
  <c r="Q138" i="4"/>
  <c r="AA138" i="4" s="1"/>
  <c r="Q139" i="4"/>
  <c r="AA139" i="4" s="1"/>
  <c r="Q140" i="4"/>
  <c r="AA140" i="4" s="1"/>
  <c r="Q141" i="4"/>
  <c r="AA141" i="4" s="1"/>
  <c r="Q142" i="4"/>
  <c r="AA142" i="4" s="1"/>
  <c r="Q143" i="4"/>
  <c r="AA143" i="4" s="1"/>
  <c r="Q144" i="4"/>
  <c r="AA144" i="4" s="1"/>
  <c r="A130" i="4"/>
  <c r="A131" i="4"/>
  <c r="A128" i="4"/>
  <c r="A126" i="4"/>
  <c r="A124" i="4"/>
  <c r="A123" i="4"/>
  <c r="A122" i="4"/>
  <c r="A125" i="4"/>
  <c r="A127" i="4"/>
  <c r="A129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D119" i="8"/>
  <c r="C119" i="8" s="1"/>
  <c r="D119" i="7"/>
  <c r="D119" i="5"/>
  <c r="F60" i="2"/>
  <c r="G60" i="2" s="1"/>
  <c r="H60" i="2" s="1"/>
  <c r="F59" i="2"/>
  <c r="G59" i="2" s="1"/>
  <c r="H59" i="2" s="1"/>
  <c r="F57" i="2"/>
  <c r="G57" i="2" s="1"/>
  <c r="H57" i="2" s="1"/>
  <c r="F56" i="2"/>
  <c r="G56" i="2" s="1"/>
  <c r="H56" i="2" s="1"/>
  <c r="F55" i="2"/>
  <c r="G55" i="2" s="1"/>
  <c r="H55" i="2" s="1"/>
  <c r="F51" i="2"/>
  <c r="G51" i="2" s="1"/>
  <c r="H51" i="2" s="1"/>
  <c r="F50" i="2"/>
  <c r="G50" i="2" s="1"/>
  <c r="H50" i="2" s="1"/>
  <c r="F48" i="2"/>
  <c r="G48" i="2" s="1"/>
  <c r="H48" i="2" s="1"/>
  <c r="F47" i="2"/>
  <c r="G47" i="2" s="1"/>
  <c r="H47" i="2" s="1"/>
  <c r="F46" i="2"/>
  <c r="G46" i="2" s="1"/>
  <c r="H46" i="2" s="1"/>
  <c r="E354" i="3" l="1"/>
  <c r="F354" i="3" s="1"/>
  <c r="B354" i="3" s="1"/>
  <c r="W202" i="3"/>
  <c r="B202" i="3" s="1"/>
  <c r="G202" i="3"/>
  <c r="I15" i="5" s="1"/>
  <c r="C352" i="3"/>
  <c r="E352" i="3"/>
  <c r="F355" i="3"/>
  <c r="B355" i="3" s="1"/>
  <c r="F356" i="3"/>
  <c r="B356" i="3" s="1"/>
  <c r="C353" i="3"/>
  <c r="E353" i="3"/>
  <c r="G205" i="3"/>
  <c r="I18" i="5" s="1"/>
  <c r="E207" i="3"/>
  <c r="I11" i="5" s="1"/>
  <c r="W205" i="3"/>
  <c r="W204" i="3"/>
  <c r="B204" i="3" s="1"/>
  <c r="E206" i="3"/>
  <c r="I10" i="5" s="1"/>
  <c r="G204" i="3"/>
  <c r="I17" i="5" s="1"/>
  <c r="BD83" i="1"/>
  <c r="J439" i="4"/>
  <c r="I377" i="2"/>
  <c r="B205" i="3"/>
  <c r="AA123" i="4"/>
  <c r="AA129" i="4"/>
  <c r="AA125" i="4"/>
  <c r="E486" i="3"/>
  <c r="C53" i="14" s="1"/>
  <c r="C486" i="3"/>
  <c r="H363" i="2"/>
  <c r="I363" i="2" s="1"/>
  <c r="H374" i="2"/>
  <c r="I374" i="2" s="1"/>
  <c r="H367" i="2"/>
  <c r="I367" i="2" s="1"/>
  <c r="H364" i="2"/>
  <c r="I364" i="2" s="1"/>
  <c r="H361" i="2"/>
  <c r="I361" i="2" s="1"/>
  <c r="H358" i="2"/>
  <c r="I358" i="2" s="1"/>
  <c r="H371" i="2"/>
  <c r="I371" i="2" s="1"/>
  <c r="H368" i="2"/>
  <c r="I368" i="2" s="1"/>
  <c r="H365" i="2"/>
  <c r="I365" i="2" s="1"/>
  <c r="H362" i="2"/>
  <c r="I362" i="2" s="1"/>
  <c r="H375" i="2"/>
  <c r="I375" i="2" s="1"/>
  <c r="H372" i="2"/>
  <c r="I372" i="2" s="1"/>
  <c r="H369" i="2"/>
  <c r="I369" i="2" s="1"/>
  <c r="H366" i="2"/>
  <c r="H359" i="2"/>
  <c r="I359" i="2" s="1"/>
  <c r="H376" i="2"/>
  <c r="I376" i="2" s="1"/>
  <c r="H373" i="2"/>
  <c r="I373" i="2" s="1"/>
  <c r="H370" i="2"/>
  <c r="H360" i="2"/>
  <c r="I360" i="2" s="1"/>
  <c r="C126" i="5"/>
  <c r="D125" i="8"/>
  <c r="C125" i="8" s="1"/>
  <c r="D124" i="8"/>
  <c r="C124" i="8" s="1"/>
  <c r="D125" i="7"/>
  <c r="C125" i="7" s="1"/>
  <c r="D124" i="7"/>
  <c r="C124" i="7" s="1"/>
  <c r="D125" i="5"/>
  <c r="C125" i="5" s="1"/>
  <c r="D124" i="5"/>
  <c r="C124" i="5" s="1"/>
  <c r="C119" i="7"/>
  <c r="D123" i="8"/>
  <c r="D122" i="8"/>
  <c r="D120" i="8"/>
  <c r="D118" i="8"/>
  <c r="D116" i="8"/>
  <c r="D117" i="8" s="1"/>
  <c r="D115" i="8"/>
  <c r="D114" i="8"/>
  <c r="D113" i="8"/>
  <c r="D112" i="8"/>
  <c r="D111" i="8"/>
  <c r="D110" i="8"/>
  <c r="D123" i="7"/>
  <c r="C123" i="7" s="1"/>
  <c r="D122" i="7"/>
  <c r="C122" i="7" s="1"/>
  <c r="D120" i="7"/>
  <c r="C120" i="7" s="1"/>
  <c r="D118" i="7"/>
  <c r="C118" i="7" s="1"/>
  <c r="D116" i="7"/>
  <c r="C116" i="7" s="1"/>
  <c r="D115" i="7"/>
  <c r="C115" i="7" s="1"/>
  <c r="D114" i="7"/>
  <c r="C114" i="7" s="1"/>
  <c r="D113" i="7"/>
  <c r="C113" i="7" s="1"/>
  <c r="D112" i="7"/>
  <c r="C112" i="7" s="1"/>
  <c r="D111" i="7"/>
  <c r="C111" i="7" s="1"/>
  <c r="D110" i="7"/>
  <c r="C110" i="7" s="1"/>
  <c r="D123" i="5"/>
  <c r="D122" i="5"/>
  <c r="D118" i="5"/>
  <c r="D116" i="5"/>
  <c r="D117" i="5" s="1"/>
  <c r="D115" i="5"/>
  <c r="D114" i="5"/>
  <c r="D113" i="5"/>
  <c r="D112" i="5"/>
  <c r="D111" i="5"/>
  <c r="D120" i="5"/>
  <c r="D121" i="5" s="1"/>
  <c r="D734" i="13" l="1"/>
  <c r="D872" i="13"/>
  <c r="D915" i="13"/>
  <c r="D879" i="13"/>
  <c r="D822" i="13"/>
  <c r="D856" i="13"/>
  <c r="D892" i="13"/>
  <c r="D834" i="13"/>
  <c r="D759" i="13"/>
  <c r="D801" i="13"/>
  <c r="D789" i="13"/>
  <c r="D731" i="13"/>
  <c r="D833" i="13"/>
  <c r="D790" i="13"/>
  <c r="D745" i="13"/>
  <c r="D803" i="13"/>
  <c r="D820" i="13"/>
  <c r="D919" i="13"/>
  <c r="D829" i="13"/>
  <c r="D800" i="13"/>
  <c r="D880" i="13"/>
  <c r="D852" i="13"/>
  <c r="D755" i="13"/>
  <c r="D864" i="13"/>
  <c r="D908" i="13"/>
  <c r="D858" i="13"/>
  <c r="D848" i="13"/>
  <c r="D795" i="13"/>
  <c r="D817" i="13"/>
  <c r="D773" i="13"/>
  <c r="D869" i="13"/>
  <c r="D741" i="13"/>
  <c r="D905" i="13"/>
  <c r="D870" i="13"/>
  <c r="D891" i="13"/>
  <c r="D756" i="13"/>
  <c r="D735" i="13"/>
  <c r="D816" i="13"/>
  <c r="D901" i="13"/>
  <c r="D733" i="13"/>
  <c r="D857" i="13"/>
  <c r="D867" i="13"/>
  <c r="D855" i="13"/>
  <c r="D813" i="13"/>
  <c r="D885" i="13"/>
  <c r="D799" i="13"/>
  <c r="D796" i="13"/>
  <c r="D866" i="13"/>
  <c r="D791" i="13"/>
  <c r="D844" i="13"/>
  <c r="D893" i="13"/>
  <c r="D895" i="13"/>
  <c r="D925" i="13"/>
  <c r="D906" i="13"/>
  <c r="D832" i="13"/>
  <c r="D884" i="13"/>
  <c r="D836" i="13"/>
  <c r="D746" i="13"/>
  <c r="D841" i="13"/>
  <c r="D798" i="13"/>
  <c r="D763" i="13"/>
  <c r="D921" i="13"/>
  <c r="D912" i="13"/>
  <c r="D752" i="13"/>
  <c r="D837" i="13"/>
  <c r="D922" i="13"/>
  <c r="D818" i="13"/>
  <c r="D771" i="13"/>
  <c r="D888" i="13"/>
  <c r="D924" i="13"/>
  <c r="D804" i="13"/>
  <c r="D910" i="13"/>
  <c r="D843" i="13"/>
  <c r="D762" i="13"/>
  <c r="D902" i="13"/>
  <c r="D780" i="13"/>
  <c r="D831" i="13"/>
  <c r="D788" i="13"/>
  <c r="D823" i="13"/>
  <c r="D916" i="13"/>
  <c r="D894" i="13"/>
  <c r="D923" i="13"/>
  <c r="D842" i="13"/>
  <c r="D767" i="13"/>
  <c r="D802" i="13"/>
  <c r="D729" i="13"/>
  <c r="D742" i="13"/>
  <c r="D824" i="13"/>
  <c r="D909" i="13"/>
  <c r="D732" i="13"/>
  <c r="D776" i="13"/>
  <c r="D883" i="13"/>
  <c r="D863" i="13"/>
  <c r="D821" i="13"/>
  <c r="D784" i="13"/>
  <c r="D809" i="13"/>
  <c r="D882" i="13"/>
  <c r="D807" i="13"/>
  <c r="D860" i="13"/>
  <c r="D874" i="13"/>
  <c r="D846" i="13"/>
  <c r="D736" i="13"/>
  <c r="D873" i="13"/>
  <c r="D838" i="13"/>
  <c r="D835" i="13"/>
  <c r="D826" i="13"/>
  <c r="D911" i="13"/>
  <c r="D914" i="13"/>
  <c r="D920" i="13"/>
  <c r="D876" i="13"/>
  <c r="D727" i="13"/>
  <c r="D862" i="13"/>
  <c r="D728" i="13"/>
  <c r="D847" i="13"/>
  <c r="D769" i="13"/>
  <c r="D750" i="13"/>
  <c r="D913" i="13"/>
  <c r="D878" i="13"/>
  <c r="D907" i="13"/>
  <c r="D850" i="13"/>
  <c r="D793" i="13"/>
  <c r="D760" i="13"/>
  <c r="D845" i="13"/>
  <c r="D811" i="13"/>
  <c r="D775" i="13"/>
  <c r="D779" i="13"/>
  <c r="D753" i="13"/>
  <c r="D757" i="13"/>
  <c r="D783" i="13"/>
  <c r="D781" i="13"/>
  <c r="D794" i="13"/>
  <c r="D918" i="13"/>
  <c r="D812" i="13"/>
  <c r="D881" i="13"/>
  <c r="D774" i="13"/>
  <c r="D738" i="13"/>
  <c r="D761" i="13"/>
  <c r="D766" i="13"/>
  <c r="D865" i="13"/>
  <c r="D730" i="13"/>
  <c r="D737" i="13"/>
  <c r="D840" i="13"/>
  <c r="D917" i="13"/>
  <c r="D772" i="13"/>
  <c r="D886" i="13"/>
  <c r="D787" i="13"/>
  <c r="D777" i="13"/>
  <c r="D828" i="13"/>
  <c r="D751" i="13"/>
  <c r="D904" i="13"/>
  <c r="D764" i="13"/>
  <c r="D748" i="13"/>
  <c r="D778" i="13"/>
  <c r="D782" i="13"/>
  <c r="D851" i="13"/>
  <c r="D805" i="13"/>
  <c r="D903" i="13"/>
  <c r="D744" i="13"/>
  <c r="D786" i="13"/>
  <c r="D768" i="13"/>
  <c r="D853" i="13"/>
  <c r="D898" i="13"/>
  <c r="D830" i="13"/>
  <c r="D897" i="13"/>
  <c r="D875" i="13"/>
  <c r="D749" i="13"/>
  <c r="D770" i="13"/>
  <c r="D819" i="13"/>
  <c r="D797" i="13"/>
  <c r="D900" i="13"/>
  <c r="D739" i="13"/>
  <c r="D849" i="13"/>
  <c r="D814" i="13"/>
  <c r="D743" i="13"/>
  <c r="D887" i="13"/>
  <c r="D899" i="13"/>
  <c r="D871" i="13"/>
  <c r="D806" i="13"/>
  <c r="D754" i="13"/>
  <c r="D861" i="13"/>
  <c r="D890" i="13"/>
  <c r="D815" i="13"/>
  <c r="D868" i="13"/>
  <c r="D758" i="13"/>
  <c r="D747" i="13"/>
  <c r="D889" i="13"/>
  <c r="D854" i="13"/>
  <c r="D859" i="13"/>
  <c r="D785" i="13"/>
  <c r="D810" i="13"/>
  <c r="D740" i="13"/>
  <c r="D792" i="13"/>
  <c r="D877" i="13"/>
  <c r="D827" i="13"/>
  <c r="D765" i="13"/>
  <c r="D825" i="13"/>
  <c r="D896" i="13"/>
  <c r="D808" i="13"/>
  <c r="D839" i="13"/>
  <c r="D387" i="13"/>
  <c r="D440" i="13"/>
  <c r="D406" i="13"/>
  <c r="D451" i="13"/>
  <c r="D428" i="13"/>
  <c r="D417" i="13"/>
  <c r="D394" i="13"/>
  <c r="D424" i="13"/>
  <c r="D436" i="13"/>
  <c r="D447" i="13"/>
  <c r="D458" i="13"/>
  <c r="D413" i="13"/>
  <c r="F353" i="3"/>
  <c r="B353" i="3" s="1"/>
  <c r="C332" i="3" s="1"/>
  <c r="F352" i="3"/>
  <c r="B352" i="3" s="1"/>
  <c r="E332" i="3" s="1"/>
  <c r="E205" i="3"/>
  <c r="I9" i="5" s="1"/>
  <c r="BD84" i="1"/>
  <c r="J440" i="4"/>
  <c r="D152" i="2"/>
  <c r="E152" i="2" s="1"/>
  <c r="F152" i="2" s="1"/>
  <c r="V119" i="2"/>
  <c r="AE119" i="2" s="1"/>
  <c r="AN119" i="2" s="1"/>
  <c r="W118" i="2"/>
  <c r="W120" i="2"/>
  <c r="W119" i="2"/>
  <c r="AF119" i="2" s="1"/>
  <c r="AO119" i="2" s="1"/>
  <c r="V118" i="2"/>
  <c r="V120" i="2"/>
  <c r="AB119" i="2"/>
  <c r="AK119" i="2" s="1"/>
  <c r="AT119" i="2" s="1"/>
  <c r="X119" i="2"/>
  <c r="AG119" i="2" s="1"/>
  <c r="AP119" i="2" s="1"/>
  <c r="AA119" i="2"/>
  <c r="AJ119" i="2" s="1"/>
  <c r="AS119" i="2" s="1"/>
  <c r="AC119" i="2"/>
  <c r="AL119" i="2" s="1"/>
  <c r="AU119" i="2" s="1"/>
  <c r="Y119" i="2"/>
  <c r="AH119" i="2" s="1"/>
  <c r="AQ119" i="2" s="1"/>
  <c r="AD119" i="2"/>
  <c r="AM119" i="2" s="1"/>
  <c r="AV119" i="2" s="1"/>
  <c r="Z119" i="2"/>
  <c r="AI119" i="2" s="1"/>
  <c r="AR119" i="2" s="1"/>
  <c r="AD117" i="2"/>
  <c r="AM117" i="2" s="1"/>
  <c r="AV117" i="2" s="1"/>
  <c r="Z117" i="2"/>
  <c r="AI117" i="2" s="1"/>
  <c r="AR117" i="2" s="1"/>
  <c r="V117" i="2"/>
  <c r="AE117" i="2" s="1"/>
  <c r="AN117" i="2" s="1"/>
  <c r="AC117" i="2"/>
  <c r="AL117" i="2" s="1"/>
  <c r="AU117" i="2" s="1"/>
  <c r="Y117" i="2"/>
  <c r="AH117" i="2" s="1"/>
  <c r="AQ117" i="2" s="1"/>
  <c r="AB117" i="2"/>
  <c r="AK117" i="2" s="1"/>
  <c r="AT117" i="2" s="1"/>
  <c r="AA117" i="2"/>
  <c r="AJ117" i="2" s="1"/>
  <c r="AS117" i="2" s="1"/>
  <c r="X117" i="2"/>
  <c r="AG117" i="2" s="1"/>
  <c r="AP117" i="2" s="1"/>
  <c r="W117" i="2"/>
  <c r="AF117" i="2" s="1"/>
  <c r="AO117" i="2" s="1"/>
  <c r="AC121" i="2"/>
  <c r="AL121" i="2" s="1"/>
  <c r="AU121" i="2" s="1"/>
  <c r="Y121" i="2"/>
  <c r="AH121" i="2" s="1"/>
  <c r="AQ121" i="2" s="1"/>
  <c r="AB121" i="2"/>
  <c r="AK121" i="2" s="1"/>
  <c r="AT121" i="2" s="1"/>
  <c r="X121" i="2"/>
  <c r="AG121" i="2" s="1"/>
  <c r="AP121" i="2" s="1"/>
  <c r="AA121" i="2"/>
  <c r="AJ121" i="2" s="1"/>
  <c r="AS121" i="2" s="1"/>
  <c r="Z121" i="2"/>
  <c r="AI121" i="2" s="1"/>
  <c r="AR121" i="2" s="1"/>
  <c r="AD121" i="2"/>
  <c r="AM121" i="2" s="1"/>
  <c r="AV121" i="2" s="1"/>
  <c r="W121" i="2"/>
  <c r="AF121" i="2" s="1"/>
  <c r="AO121" i="2" s="1"/>
  <c r="V121" i="2"/>
  <c r="AE121" i="2" s="1"/>
  <c r="AN121" i="2" s="1"/>
  <c r="I366" i="2"/>
  <c r="I370" i="2"/>
  <c r="C121" i="7"/>
  <c r="D117" i="7"/>
  <c r="C117" i="7" s="1"/>
  <c r="C388" i="3" l="1"/>
  <c r="C387" i="3"/>
  <c r="C400" i="3"/>
  <c r="C392" i="3"/>
  <c r="C391" i="3"/>
  <c r="C395" i="3"/>
  <c r="C390" i="3"/>
  <c r="C401" i="3"/>
  <c r="C386" i="3"/>
  <c r="C398" i="3"/>
  <c r="C394" i="3"/>
  <c r="C404" i="3"/>
  <c r="C405" i="3"/>
  <c r="C397" i="3"/>
  <c r="C393" i="3"/>
  <c r="C389" i="3"/>
  <c r="C403" i="3"/>
  <c r="C396" i="3"/>
  <c r="C385" i="3"/>
  <c r="C402" i="3"/>
  <c r="C399" i="3"/>
  <c r="BD85" i="1"/>
  <c r="J441" i="4"/>
  <c r="AE120" i="2"/>
  <c r="AN120" i="2" s="1"/>
  <c r="AF118" i="2"/>
  <c r="AO118" i="2" s="1"/>
  <c r="AF120" i="2"/>
  <c r="AO120" i="2" s="1"/>
  <c r="AE118" i="2"/>
  <c r="AN118" i="2" s="1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17" i="3"/>
  <c r="G214" i="4"/>
  <c r="BD86" i="1" l="1"/>
  <c r="J442" i="4"/>
  <c r="Q84" i="4"/>
  <c r="AA84" i="4" s="1"/>
  <c r="A84" i="4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98" i="3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485" i="4"/>
  <c r="A486" i="4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D504" i="4"/>
  <c r="D502" i="4"/>
  <c r="D503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485" i="4"/>
  <c r="BD87" i="1" l="1"/>
  <c r="J443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A254" i="4"/>
  <c r="B380" i="3"/>
  <c r="B415" i="3"/>
  <c r="B363" i="3"/>
  <c r="E68" i="1"/>
  <c r="N68" i="1" s="1"/>
  <c r="W68" i="1" s="1"/>
  <c r="M247" i="4"/>
  <c r="M246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Q249" i="4"/>
  <c r="AA249" i="4" s="1"/>
  <c r="Q250" i="4"/>
  <c r="AA250" i="4" s="1"/>
  <c r="Q251" i="4"/>
  <c r="AA251" i="4" s="1"/>
  <c r="Q248" i="4"/>
  <c r="AA248" i="4" s="1"/>
  <c r="Q242" i="4"/>
  <c r="AA242" i="4" s="1"/>
  <c r="Q243" i="4"/>
  <c r="AA243" i="4" s="1"/>
  <c r="Q244" i="4"/>
  <c r="AA244" i="4" s="1"/>
  <c r="Q245" i="4"/>
  <c r="AA245" i="4" s="1"/>
  <c r="Q246" i="4"/>
  <c r="AA246" i="4" s="1"/>
  <c r="Q247" i="4"/>
  <c r="AA247" i="4" s="1"/>
  <c r="Q219" i="4"/>
  <c r="AA219" i="4" s="1"/>
  <c r="Q220" i="4"/>
  <c r="AA220" i="4" s="1"/>
  <c r="Q221" i="4"/>
  <c r="Q222" i="4"/>
  <c r="AA222" i="4" s="1"/>
  <c r="Q223" i="4"/>
  <c r="AA223" i="4" s="1"/>
  <c r="Q224" i="4"/>
  <c r="AA224" i="4" s="1"/>
  <c r="Q225" i="4"/>
  <c r="AA225" i="4" s="1"/>
  <c r="Q226" i="4"/>
  <c r="AA226" i="4" s="1"/>
  <c r="Q227" i="4"/>
  <c r="AA227" i="4" s="1"/>
  <c r="Q228" i="4"/>
  <c r="AA228" i="4" s="1"/>
  <c r="Q229" i="4"/>
  <c r="AA229" i="4" s="1"/>
  <c r="Q230" i="4"/>
  <c r="AA230" i="4" s="1"/>
  <c r="Q231" i="4"/>
  <c r="AA231" i="4" s="1"/>
  <c r="Q232" i="4"/>
  <c r="AA232" i="4" s="1"/>
  <c r="Q233" i="4"/>
  <c r="AA233" i="4" s="1"/>
  <c r="Q234" i="4"/>
  <c r="AA234" i="4" s="1"/>
  <c r="Q235" i="4"/>
  <c r="AA235" i="4" s="1"/>
  <c r="Q236" i="4"/>
  <c r="AA236" i="4" s="1"/>
  <c r="Q237" i="4"/>
  <c r="AA237" i="4" s="1"/>
  <c r="Q238" i="4"/>
  <c r="AA238" i="4" s="1"/>
  <c r="Q239" i="4"/>
  <c r="AA239" i="4" s="1"/>
  <c r="Q240" i="4"/>
  <c r="AA240" i="4" s="1"/>
  <c r="Q241" i="4"/>
  <c r="AA241" i="4" s="1"/>
  <c r="Q218" i="4"/>
  <c r="M218" i="4"/>
  <c r="BH40" i="1"/>
  <c r="BH38" i="1"/>
  <c r="A252" i="4" l="1"/>
  <c r="A344" i="4"/>
  <c r="BD88" i="1"/>
  <c r="J444" i="4"/>
  <c r="AA221" i="4"/>
  <c r="AA363" i="4"/>
  <c r="AA359" i="4"/>
  <c r="AA355" i="4"/>
  <c r="AA351" i="4"/>
  <c r="AA347" i="4"/>
  <c r="AA218" i="4"/>
  <c r="AA360" i="4"/>
  <c r="AA356" i="4"/>
  <c r="AA352" i="4"/>
  <c r="AA348" i="4"/>
  <c r="AA361" i="4"/>
  <c r="AA357" i="4"/>
  <c r="AA353" i="4"/>
  <c r="AA349" i="4"/>
  <c r="AA362" i="4"/>
  <c r="AA358" i="4"/>
  <c r="AA354" i="4"/>
  <c r="AA350" i="4"/>
  <c r="F254" i="4"/>
  <c r="H254" i="4"/>
  <c r="H255" i="4" s="1"/>
  <c r="H256" i="4" s="1"/>
  <c r="H257" i="4" s="1"/>
  <c r="H258" i="4" s="1"/>
  <c r="H259" i="4" s="1"/>
  <c r="H260" i="4" s="1"/>
  <c r="H261" i="4" s="1"/>
  <c r="H262" i="4" s="1"/>
  <c r="H263" i="4" s="1"/>
  <c r="H264" i="4" s="1"/>
  <c r="H265" i="4" s="1"/>
  <c r="H266" i="4" s="1"/>
  <c r="H267" i="4" s="1"/>
  <c r="H268" i="4" s="1"/>
  <c r="H269" i="4" s="1"/>
  <c r="H270" i="4" s="1"/>
  <c r="H271" i="4" s="1"/>
  <c r="H272" i="4" s="1"/>
  <c r="H273" i="4" s="1"/>
  <c r="H274" i="4" s="1"/>
  <c r="H275" i="4" s="1"/>
  <c r="H276" i="4" s="1"/>
  <c r="H277" i="4" s="1"/>
  <c r="H278" i="4" s="1"/>
  <c r="H279" i="4" s="1"/>
  <c r="H280" i="4" s="1"/>
  <c r="H281" i="4" s="1"/>
  <c r="N254" i="4"/>
  <c r="N67" i="1"/>
  <c r="W67" i="1" s="1"/>
  <c r="E69" i="1"/>
  <c r="BH34" i="1"/>
  <c r="BH33" i="1"/>
  <c r="BH31" i="1"/>
  <c r="BH29" i="1"/>
  <c r="BH27" i="1"/>
  <c r="BH25" i="1"/>
  <c r="BH21" i="1"/>
  <c r="BH19" i="1"/>
  <c r="BH17" i="1"/>
  <c r="BH15" i="1"/>
  <c r="BH13" i="1"/>
  <c r="BH11" i="1"/>
  <c r="BH9" i="1"/>
  <c r="BH7" i="1"/>
  <c r="Q203" i="4"/>
  <c r="AA203" i="4" s="1"/>
  <c r="Q204" i="4"/>
  <c r="AA204" i="4" s="1"/>
  <c r="Q205" i="4"/>
  <c r="AA205" i="4" s="1"/>
  <c r="Q206" i="4"/>
  <c r="AA206" i="4" s="1"/>
  <c r="Q207" i="4"/>
  <c r="AA207" i="4" s="1"/>
  <c r="Q208" i="4"/>
  <c r="AA208" i="4" s="1"/>
  <c r="Q209" i="4"/>
  <c r="AA209" i="4" s="1"/>
  <c r="Q210" i="4"/>
  <c r="AA210" i="4" s="1"/>
  <c r="Q202" i="4"/>
  <c r="AA202" i="4" s="1"/>
  <c r="AU16" i="1"/>
  <c r="A208" i="4" s="1"/>
  <c r="AU17" i="1"/>
  <c r="A209" i="4" s="1"/>
  <c r="AU18" i="1"/>
  <c r="A210" i="4" s="1"/>
  <c r="AA147" i="4"/>
  <c r="A182" i="4"/>
  <c r="A183" i="4"/>
  <c r="H284" i="4" l="1"/>
  <c r="H285" i="4" s="1"/>
  <c r="H286" i="4" s="1"/>
  <c r="H287" i="4" s="1"/>
  <c r="H288" i="4" s="1"/>
  <c r="H289" i="4" s="1"/>
  <c r="H290" i="4" s="1"/>
  <c r="H291" i="4" s="1"/>
  <c r="H292" i="4" s="1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308" i="4" s="1"/>
  <c r="H309" i="4" s="1"/>
  <c r="H310" i="4" s="1"/>
  <c r="H311" i="4" s="1"/>
  <c r="H282" i="4"/>
  <c r="H283" i="4" s="1"/>
  <c r="BD89" i="1"/>
  <c r="J445" i="4"/>
  <c r="AA182" i="4"/>
  <c r="AA178" i="4"/>
  <c r="AA170" i="4"/>
  <c r="AA166" i="4"/>
  <c r="AA158" i="4"/>
  <c r="AA154" i="4"/>
  <c r="AA183" i="4"/>
  <c r="AA179" i="4"/>
  <c r="AA175" i="4"/>
  <c r="AA171" i="4"/>
  <c r="AA167" i="4"/>
  <c r="AA163" i="4"/>
  <c r="AA159" i="4"/>
  <c r="AA155" i="4"/>
  <c r="AA151" i="4"/>
  <c r="AA184" i="4"/>
  <c r="AA180" i="4"/>
  <c r="AA176" i="4"/>
  <c r="AA168" i="4"/>
  <c r="AA164" i="4"/>
  <c r="AA160" i="4"/>
  <c r="AA148" i="4"/>
  <c r="AA174" i="4"/>
  <c r="AA162" i="4"/>
  <c r="AA185" i="4"/>
  <c r="AA181" i="4"/>
  <c r="AA177" i="4"/>
  <c r="AA173" i="4"/>
  <c r="AA169" i="4"/>
  <c r="AA165" i="4"/>
  <c r="AA161" i="4"/>
  <c r="AA157" i="4"/>
  <c r="AA153" i="4"/>
  <c r="AA149" i="4"/>
  <c r="C42" i="14"/>
  <c r="C37" i="14"/>
  <c r="AA150" i="4"/>
  <c r="AA172" i="4"/>
  <c r="AA156" i="4"/>
  <c r="AA152" i="4"/>
  <c r="E70" i="1"/>
  <c r="N69" i="1"/>
  <c r="W69" i="1" s="1"/>
  <c r="H314" i="4" l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326" i="4" s="1"/>
  <c r="H327" i="4" s="1"/>
  <c r="H328" i="4" s="1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12" i="4"/>
  <c r="H313" i="4" s="1"/>
  <c r="BD90" i="1"/>
  <c r="J446" i="4"/>
  <c r="E71" i="1"/>
  <c r="N70" i="1"/>
  <c r="W70" i="1" s="1"/>
  <c r="V197" i="3"/>
  <c r="R197" i="3"/>
  <c r="U195" i="3"/>
  <c r="U194" i="3" s="1"/>
  <c r="U193" i="3" s="1"/>
  <c r="U192" i="3" s="1"/>
  <c r="U191" i="3" s="1"/>
  <c r="U190" i="3" s="1"/>
  <c r="U189" i="3" s="1"/>
  <c r="U188" i="3" s="1"/>
  <c r="U187" i="3" s="1"/>
  <c r="U186" i="3" s="1"/>
  <c r="U185" i="3" s="1"/>
  <c r="U184" i="3" s="1"/>
  <c r="U183" i="3" s="1"/>
  <c r="U182" i="3" s="1"/>
  <c r="U181" i="3" s="1"/>
  <c r="U180" i="3" s="1"/>
  <c r="S195" i="3"/>
  <c r="S194" i="3" s="1"/>
  <c r="S193" i="3" s="1"/>
  <c r="S192" i="3" s="1"/>
  <c r="S191" i="3" s="1"/>
  <c r="S190" i="3" s="1"/>
  <c r="S189" i="3" s="1"/>
  <c r="S188" i="3" s="1"/>
  <c r="S187" i="3" s="1"/>
  <c r="S186" i="3" s="1"/>
  <c r="S185" i="3" s="1"/>
  <c r="S184" i="3" s="1"/>
  <c r="S183" i="3" s="1"/>
  <c r="S182" i="3" s="1"/>
  <c r="S181" i="3" s="1"/>
  <c r="S180" i="3" s="1"/>
  <c r="Q195" i="3"/>
  <c r="Q194" i="3" s="1"/>
  <c r="Q193" i="3" s="1"/>
  <c r="Q192" i="3" s="1"/>
  <c r="Q191" i="3" s="1"/>
  <c r="Q190" i="3" s="1"/>
  <c r="Q189" i="3" s="1"/>
  <c r="Q188" i="3" s="1"/>
  <c r="Q187" i="3" s="1"/>
  <c r="Q186" i="3" s="1"/>
  <c r="Q185" i="3" s="1"/>
  <c r="Q184" i="3" s="1"/>
  <c r="Q183" i="3" s="1"/>
  <c r="Q182" i="3" s="1"/>
  <c r="Q181" i="3" s="1"/>
  <c r="Q180" i="3" s="1"/>
  <c r="AF2" i="4"/>
  <c r="AL13" i="3"/>
  <c r="BY3" i="3"/>
  <c r="BY2" i="3"/>
  <c r="BD91" i="1" l="1"/>
  <c r="J447" i="4"/>
  <c r="AC4" i="4"/>
  <c r="Q609" i="4"/>
  <c r="E72" i="1"/>
  <c r="N71" i="1"/>
  <c r="W71" i="1" s="1"/>
  <c r="AP2" i="4"/>
  <c r="R453" i="4"/>
  <c r="R454" i="4"/>
  <c r="R455" i="4"/>
  <c r="R456" i="4"/>
  <c r="D453" i="4"/>
  <c r="C75" i="14" s="1"/>
  <c r="D454" i="4"/>
  <c r="C76" i="14" s="1"/>
  <c r="D455" i="4"/>
  <c r="C77" i="14" s="1"/>
  <c r="D456" i="4"/>
  <c r="C78" i="14" s="1"/>
  <c r="R452" i="4"/>
  <c r="D452" i="4"/>
  <c r="C74" i="14" s="1"/>
  <c r="BD92" i="1" l="1"/>
  <c r="J448" i="4"/>
  <c r="E73" i="1"/>
  <c r="N72" i="1"/>
  <c r="W72" i="1" s="1"/>
  <c r="S455" i="4"/>
  <c r="M77" i="14" s="1"/>
  <c r="P77" i="14" s="1"/>
  <c r="S454" i="4"/>
  <c r="M76" i="14" s="1"/>
  <c r="P76" i="14" s="1"/>
  <c r="S452" i="4"/>
  <c r="M74" i="14" s="1"/>
  <c r="P74" i="14" s="1"/>
  <c r="S456" i="4"/>
  <c r="M78" i="14" s="1"/>
  <c r="P78" i="14" s="1"/>
  <c r="S453" i="4"/>
  <c r="M75" i="14" s="1"/>
  <c r="P75" i="14" s="1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293" i="3"/>
  <c r="F95" i="4"/>
  <c r="F96" i="4" s="1"/>
  <c r="Q96" i="4"/>
  <c r="AA96" i="4" s="1"/>
  <c r="Q97" i="4"/>
  <c r="AA97" i="4" s="1"/>
  <c r="Q98" i="4"/>
  <c r="AA98" i="4" s="1"/>
  <c r="Q99" i="4"/>
  <c r="AA99" i="4" s="1"/>
  <c r="Q100" i="4"/>
  <c r="AA100" i="4" s="1"/>
  <c r="Q101" i="4"/>
  <c r="AA101" i="4" s="1"/>
  <c r="Q102" i="4"/>
  <c r="AA102" i="4" s="1"/>
  <c r="Q103" i="4"/>
  <c r="AA103" i="4" s="1"/>
  <c r="Q104" i="4"/>
  <c r="AA104" i="4" s="1"/>
  <c r="N96" i="4"/>
  <c r="N97" i="4"/>
  <c r="N98" i="4"/>
  <c r="N99" i="4"/>
  <c r="N100" i="4"/>
  <c r="N101" i="4"/>
  <c r="N102" i="4"/>
  <c r="N103" i="4"/>
  <c r="N104" i="4"/>
  <c r="K96" i="4"/>
  <c r="K97" i="4"/>
  <c r="K98" i="4"/>
  <c r="K99" i="4"/>
  <c r="K100" i="4"/>
  <c r="K101" i="4"/>
  <c r="K102" i="4"/>
  <c r="K103" i="4"/>
  <c r="K104" i="4"/>
  <c r="N95" i="4"/>
  <c r="Q95" i="4"/>
  <c r="AA95" i="4" s="1"/>
  <c r="K95" i="4"/>
  <c r="BD93" i="1" l="1"/>
  <c r="J449" i="4"/>
  <c r="V452" i="4"/>
  <c r="P73" i="14" s="1"/>
  <c r="E74" i="1"/>
  <c r="N73" i="1"/>
  <c r="W73" i="1" s="1"/>
  <c r="BD94" i="1" l="1"/>
  <c r="J451" i="4" s="1"/>
  <c r="J450" i="4"/>
  <c r="E75" i="1"/>
  <c r="N74" i="1"/>
  <c r="W74" i="1" s="1"/>
  <c r="I5" i="3"/>
  <c r="I6" i="3"/>
  <c r="I7" i="3"/>
  <c r="I8" i="3"/>
  <c r="I9" i="3"/>
  <c r="I10" i="3"/>
  <c r="I11" i="3"/>
  <c r="I12" i="3"/>
  <c r="I13" i="3"/>
  <c r="I14" i="3"/>
  <c r="I15" i="3"/>
  <c r="I17" i="3"/>
  <c r="I18" i="3"/>
  <c r="I19" i="3"/>
  <c r="I20" i="3"/>
  <c r="I4" i="3"/>
  <c r="Q65" i="4"/>
  <c r="AA65" i="4" s="1"/>
  <c r="K64" i="4" l="1"/>
  <c r="E76" i="1"/>
  <c r="N75" i="1"/>
  <c r="W75" i="1" s="1"/>
  <c r="I16" i="3"/>
  <c r="A64" i="4"/>
  <c r="A62" i="4" l="1"/>
  <c r="C14" i="14" s="1"/>
  <c r="E77" i="1"/>
  <c r="N76" i="1"/>
  <c r="W76" i="1" s="1"/>
  <c r="K65" i="4"/>
  <c r="J11" i="3"/>
  <c r="K66" i="4" l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E78" i="1"/>
  <c r="N77" i="1"/>
  <c r="W77" i="1" s="1"/>
  <c r="F5" i="3"/>
  <c r="F6" i="3"/>
  <c r="C10" i="14" s="1"/>
  <c r="F7" i="3"/>
  <c r="F8" i="3"/>
  <c r="F9" i="3"/>
  <c r="F10" i="3"/>
  <c r="F11" i="3"/>
  <c r="F12" i="3"/>
  <c r="F14" i="3"/>
  <c r="F15" i="3"/>
  <c r="F16" i="3"/>
  <c r="F17" i="3"/>
  <c r="F18" i="3"/>
  <c r="F19" i="3"/>
  <c r="F20" i="3"/>
  <c r="F4" i="3"/>
  <c r="L197" i="3"/>
  <c r="J197" i="3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H48" i="8"/>
  <c r="H39" i="8"/>
  <c r="H30" i="8"/>
  <c r="H12" i="8"/>
  <c r="H3" i="8"/>
  <c r="J41" i="7"/>
  <c r="J42" i="7"/>
  <c r="D18" i="13" s="1"/>
  <c r="J43" i="7"/>
  <c r="J44" i="7"/>
  <c r="D19" i="13" s="1"/>
  <c r="E19" i="13" s="1"/>
  <c r="J45" i="7"/>
  <c r="D20" i="13" s="1"/>
  <c r="E20" i="13" s="1"/>
  <c r="J46" i="7"/>
  <c r="D21" i="13" s="1"/>
  <c r="E21" i="13" s="1"/>
  <c r="J47" i="7"/>
  <c r="D22" i="13" s="1"/>
  <c r="J48" i="7"/>
  <c r="D26" i="13" s="1"/>
  <c r="J49" i="7"/>
  <c r="D27" i="13" s="1"/>
  <c r="J50" i="7"/>
  <c r="J51" i="7"/>
  <c r="J52" i="7"/>
  <c r="D30" i="13" s="1"/>
  <c r="E30" i="13" s="1"/>
  <c r="J53" i="7"/>
  <c r="J54" i="7"/>
  <c r="J55" i="7"/>
  <c r="J56" i="7"/>
  <c r="F30" i="2"/>
  <c r="G30" i="2" s="1"/>
  <c r="F31" i="2"/>
  <c r="G31" i="2" s="1"/>
  <c r="F32" i="2"/>
  <c r="G32" i="2" s="1"/>
  <c r="F33" i="2"/>
  <c r="G33" i="2" s="1"/>
  <c r="H33" i="2" s="1"/>
  <c r="F34" i="2"/>
  <c r="G34" i="2" s="1"/>
  <c r="F35" i="2"/>
  <c r="G35" i="2" s="1"/>
  <c r="F36" i="2"/>
  <c r="F37" i="2"/>
  <c r="G37" i="2" s="1"/>
  <c r="F38" i="2"/>
  <c r="G38" i="2" s="1"/>
  <c r="F39" i="2"/>
  <c r="F41" i="2"/>
  <c r="F42" i="2"/>
  <c r="I49" i="7"/>
  <c r="I49" i="8" s="1"/>
  <c r="I50" i="7"/>
  <c r="I50" i="8" s="1"/>
  <c r="I51" i="7"/>
  <c r="I51" i="8" s="1"/>
  <c r="I52" i="7"/>
  <c r="I52" i="8" s="1"/>
  <c r="I53" i="7"/>
  <c r="I53" i="8" s="1"/>
  <c r="I55" i="7"/>
  <c r="I55" i="8" s="1"/>
  <c r="I56" i="7"/>
  <c r="I56" i="8" s="1"/>
  <c r="I48" i="7"/>
  <c r="I48" i="8" s="1"/>
  <c r="I47" i="7"/>
  <c r="I47" i="8" s="1"/>
  <c r="I40" i="7"/>
  <c r="I40" i="8" s="1"/>
  <c r="I41" i="7"/>
  <c r="I41" i="8" s="1"/>
  <c r="I42" i="7"/>
  <c r="I42" i="8" s="1"/>
  <c r="I43" i="7"/>
  <c r="I43" i="8" s="1"/>
  <c r="I44" i="7"/>
  <c r="I44" i="8" s="1"/>
  <c r="I45" i="7"/>
  <c r="I45" i="8" s="1"/>
  <c r="I46" i="7"/>
  <c r="I46" i="8" s="1"/>
  <c r="I39" i="7"/>
  <c r="I39" i="8" s="1"/>
  <c r="I37" i="7"/>
  <c r="I37" i="8" s="1"/>
  <c r="I38" i="7"/>
  <c r="I38" i="8" s="1"/>
  <c r="I31" i="7"/>
  <c r="I31" i="8" s="1"/>
  <c r="I32" i="7"/>
  <c r="I32" i="8" s="1"/>
  <c r="I33" i="7"/>
  <c r="I33" i="8" s="1"/>
  <c r="I34" i="7"/>
  <c r="I34" i="8" s="1"/>
  <c r="I35" i="7"/>
  <c r="I35" i="8" s="1"/>
  <c r="I36" i="7"/>
  <c r="I36" i="8" s="1"/>
  <c r="I30" i="7"/>
  <c r="I30" i="8" s="1"/>
  <c r="I20" i="7"/>
  <c r="I20" i="8" s="1"/>
  <c r="I19" i="7"/>
  <c r="I19" i="8" s="1"/>
  <c r="I13" i="7"/>
  <c r="I13" i="8" s="1"/>
  <c r="I14" i="7"/>
  <c r="I14" i="8" s="1"/>
  <c r="I15" i="7"/>
  <c r="I15" i="8" s="1"/>
  <c r="I16" i="7"/>
  <c r="I16" i="8" s="1"/>
  <c r="I17" i="7"/>
  <c r="I17" i="8" s="1"/>
  <c r="I18" i="7"/>
  <c r="I18" i="8" s="1"/>
  <c r="I12" i="7"/>
  <c r="I12" i="8" s="1"/>
  <c r="I4" i="7"/>
  <c r="I4" i="8" s="1"/>
  <c r="I5" i="7"/>
  <c r="I5" i="8" s="1"/>
  <c r="I6" i="7"/>
  <c r="I6" i="8" s="1"/>
  <c r="I7" i="7"/>
  <c r="I7" i="8" s="1"/>
  <c r="I8" i="7"/>
  <c r="I8" i="8" s="1"/>
  <c r="I9" i="7"/>
  <c r="I9" i="8" s="1"/>
  <c r="I10" i="7"/>
  <c r="I10" i="8" s="1"/>
  <c r="I11" i="7"/>
  <c r="I11" i="8" s="1"/>
  <c r="I3" i="7"/>
  <c r="I3" i="8" s="1"/>
  <c r="G39" i="2" l="1"/>
  <c r="H39" i="2" s="1"/>
  <c r="E22" i="13"/>
  <c r="G36" i="2"/>
  <c r="G42" i="2"/>
  <c r="H42" i="2" s="1"/>
  <c r="G41" i="2"/>
  <c r="H41" i="2" s="1"/>
  <c r="H32" i="2"/>
  <c r="D29" i="13"/>
  <c r="E29" i="13" s="1"/>
  <c r="D45" i="13"/>
  <c r="E45" i="13" s="1"/>
  <c r="D49" i="13"/>
  <c r="E49" i="13" s="1"/>
  <c r="D36" i="13"/>
  <c r="E36" i="13" s="1"/>
  <c r="H31" i="2"/>
  <c r="D28" i="13"/>
  <c r="E28" i="13" s="1"/>
  <c r="D35" i="13"/>
  <c r="E35" i="13" s="1"/>
  <c r="E18" i="13"/>
  <c r="E27" i="13"/>
  <c r="D34" i="13"/>
  <c r="E34" i="13" s="1"/>
  <c r="D48" i="13"/>
  <c r="E48" i="13" s="1"/>
  <c r="D52" i="13"/>
  <c r="E52" i="13" s="1"/>
  <c r="D40" i="13"/>
  <c r="E40" i="13" s="1"/>
  <c r="E26" i="13"/>
  <c r="D50" i="13"/>
  <c r="E50" i="13" s="1"/>
  <c r="D38" i="13"/>
  <c r="E38" i="13" s="1"/>
  <c r="D32" i="13"/>
  <c r="E32" i="13" s="1"/>
  <c r="D46" i="13"/>
  <c r="E46" i="13" s="1"/>
  <c r="D31" i="13"/>
  <c r="E31" i="13" s="1"/>
  <c r="D37" i="13"/>
  <c r="E37" i="13" s="1"/>
  <c r="D47" i="13"/>
  <c r="E47" i="13" s="1"/>
  <c r="D51" i="13"/>
  <c r="E51" i="13" s="1"/>
  <c r="D39" i="13"/>
  <c r="E39" i="13" s="1"/>
  <c r="D33" i="13"/>
  <c r="E33" i="13" s="1"/>
  <c r="H36" i="2"/>
  <c r="H35" i="2"/>
  <c r="H37" i="2"/>
  <c r="G85" i="4"/>
  <c r="G86" i="4" s="1"/>
  <c r="G87" i="4" s="1"/>
  <c r="G88" i="4" s="1"/>
  <c r="G89" i="4" s="1"/>
  <c r="G90" i="4" s="1"/>
  <c r="G91" i="4" s="1"/>
  <c r="G92" i="4" s="1"/>
  <c r="G93" i="4" s="1"/>
  <c r="G94" i="4" s="1"/>
  <c r="I54" i="7"/>
  <c r="F43" i="2"/>
  <c r="G43" i="2" s="1"/>
  <c r="H43" i="2" s="1"/>
  <c r="F61" i="2"/>
  <c r="G61" i="2" s="1"/>
  <c r="H61" i="2" s="1"/>
  <c r="F63" i="2"/>
  <c r="G63" i="2" s="1"/>
  <c r="H63" i="2" s="1"/>
  <c r="F45" i="2"/>
  <c r="G45" i="2" s="1"/>
  <c r="H45" i="2" s="1"/>
  <c r="F44" i="2"/>
  <c r="G44" i="2" s="1"/>
  <c r="H44" i="2" s="1"/>
  <c r="F62" i="2"/>
  <c r="G62" i="2" s="1"/>
  <c r="H62" i="2" s="1"/>
  <c r="F40" i="2"/>
  <c r="G40" i="2" s="1"/>
  <c r="H40" i="2" s="1"/>
  <c r="F58" i="2"/>
  <c r="G58" i="2" s="1"/>
  <c r="H58" i="2" s="1"/>
  <c r="H38" i="2"/>
  <c r="H34" i="2"/>
  <c r="H30" i="2"/>
  <c r="E79" i="1"/>
  <c r="N78" i="1"/>
  <c r="W78" i="1" s="1"/>
  <c r="I54" i="8" l="1"/>
  <c r="I57" i="8" s="1"/>
  <c r="I57" i="7"/>
  <c r="E80" i="1"/>
  <c r="N79" i="1"/>
  <c r="W79" i="1" s="1"/>
  <c r="E81" i="1" l="1"/>
  <c r="N80" i="1"/>
  <c r="W80" i="1" s="1"/>
  <c r="E82" i="1" l="1"/>
  <c r="N81" i="1"/>
  <c r="W81" i="1" s="1"/>
  <c r="E83" i="1" l="1"/>
  <c r="N82" i="1"/>
  <c r="W82" i="1" s="1"/>
  <c r="E84" i="1" l="1"/>
  <c r="N83" i="1"/>
  <c r="W83" i="1" s="1"/>
  <c r="E85" i="1" l="1"/>
  <c r="N84" i="1"/>
  <c r="W84" i="1" s="1"/>
  <c r="E86" i="1" l="1"/>
  <c r="N85" i="1"/>
  <c r="W85" i="1" s="1"/>
  <c r="E87" i="1" l="1"/>
  <c r="N86" i="1"/>
  <c r="W86" i="1" s="1"/>
  <c r="E88" i="1" l="1"/>
  <c r="N87" i="1"/>
  <c r="W87" i="1" s="1"/>
  <c r="E89" i="1" l="1"/>
  <c r="N88" i="1"/>
  <c r="W88" i="1" s="1"/>
  <c r="E90" i="1" l="1"/>
  <c r="N89" i="1"/>
  <c r="W89" i="1" s="1"/>
  <c r="E91" i="1" l="1"/>
  <c r="N90" i="1"/>
  <c r="W90" i="1" s="1"/>
  <c r="E92" i="1" l="1"/>
  <c r="N91" i="1"/>
  <c r="W91" i="1" s="1"/>
  <c r="E93" i="1" l="1"/>
  <c r="N92" i="1"/>
  <c r="W92" i="1" s="1"/>
  <c r="CL3" i="3"/>
  <c r="CL2" i="3"/>
  <c r="D13" i="3"/>
  <c r="G18" i="1" l="1"/>
  <c r="G17" i="1" s="1"/>
  <c r="G16" i="1" s="1"/>
  <c r="G15" i="1" s="1"/>
  <c r="E94" i="1"/>
  <c r="N93" i="1"/>
  <c r="W93" i="1" s="1"/>
  <c r="O195" i="3"/>
  <c r="O194" i="3" s="1"/>
  <c r="O193" i="3" s="1"/>
  <c r="O192" i="3" s="1"/>
  <c r="O191" i="3" s="1"/>
  <c r="O190" i="3" s="1"/>
  <c r="O189" i="3" s="1"/>
  <c r="O188" i="3" s="1"/>
  <c r="O187" i="3" s="1"/>
  <c r="O186" i="3" s="1"/>
  <c r="O185" i="3" s="1"/>
  <c r="O184" i="3" s="1"/>
  <c r="O183" i="3" s="1"/>
  <c r="O182" i="3" s="1"/>
  <c r="O181" i="3" s="1"/>
  <c r="O180" i="3" s="1"/>
  <c r="M195" i="3"/>
  <c r="M194" i="3" s="1"/>
  <c r="M193" i="3" s="1"/>
  <c r="M192" i="3" s="1"/>
  <c r="M191" i="3" s="1"/>
  <c r="M190" i="3" s="1"/>
  <c r="M189" i="3" s="1"/>
  <c r="M188" i="3" s="1"/>
  <c r="M187" i="3" s="1"/>
  <c r="M186" i="3" s="1"/>
  <c r="M185" i="3" s="1"/>
  <c r="M184" i="3" s="1"/>
  <c r="M183" i="3" s="1"/>
  <c r="M182" i="3" s="1"/>
  <c r="M181" i="3" s="1"/>
  <c r="M180" i="3" s="1"/>
  <c r="K195" i="3"/>
  <c r="K194" i="3" s="1"/>
  <c r="K193" i="3" s="1"/>
  <c r="K192" i="3" s="1"/>
  <c r="K191" i="3" s="1"/>
  <c r="K190" i="3" s="1"/>
  <c r="K189" i="3" s="1"/>
  <c r="K188" i="3" s="1"/>
  <c r="K187" i="3" s="1"/>
  <c r="K186" i="3" s="1"/>
  <c r="K185" i="3" s="1"/>
  <c r="K184" i="3" s="1"/>
  <c r="K183" i="3" s="1"/>
  <c r="K182" i="3" s="1"/>
  <c r="K181" i="3" s="1"/>
  <c r="K180" i="3" s="1"/>
  <c r="I195" i="3"/>
  <c r="W195" i="3" s="1"/>
  <c r="G195" i="3"/>
  <c r="G194" i="3" s="1"/>
  <c r="G193" i="3" s="1"/>
  <c r="G192" i="3" s="1"/>
  <c r="G191" i="3" s="1"/>
  <c r="G190" i="3" s="1"/>
  <c r="G189" i="3" s="1"/>
  <c r="G188" i="3" s="1"/>
  <c r="G187" i="3" s="1"/>
  <c r="G186" i="3" s="1"/>
  <c r="G185" i="3" s="1"/>
  <c r="G184" i="3" s="1"/>
  <c r="G183" i="3" s="1"/>
  <c r="G182" i="3" s="1"/>
  <c r="G181" i="3" s="1"/>
  <c r="G180" i="3" s="1"/>
  <c r="E195" i="3"/>
  <c r="N94" i="1" l="1"/>
  <c r="W94" i="1" s="1"/>
  <c r="E95" i="1"/>
  <c r="E194" i="3"/>
  <c r="I194" i="3"/>
  <c r="W194" i="3" s="1"/>
  <c r="E96" i="1" l="1"/>
  <c r="N96" i="1" s="1"/>
  <c r="W96" i="1" s="1"/>
  <c r="N95" i="1"/>
  <c r="W95" i="1" s="1"/>
  <c r="E193" i="3"/>
  <c r="I193" i="3"/>
  <c r="I192" i="3" l="1"/>
  <c r="W192" i="3" s="1"/>
  <c r="W193" i="3"/>
  <c r="E192" i="3"/>
  <c r="I191" i="3" l="1"/>
  <c r="W191" i="3" s="1"/>
  <c r="E191" i="3"/>
  <c r="I190" i="3" l="1"/>
  <c r="W190" i="3" s="1"/>
  <c r="E190" i="3"/>
  <c r="I189" i="3" l="1"/>
  <c r="W189" i="3" s="1"/>
  <c r="E189" i="3"/>
  <c r="I188" i="3" l="1"/>
  <c r="W188" i="3" s="1"/>
  <c r="E188" i="3"/>
  <c r="I187" i="3" l="1"/>
  <c r="W187" i="3" s="1"/>
  <c r="E187" i="3"/>
  <c r="I186" i="3" l="1"/>
  <c r="W186" i="3" s="1"/>
  <c r="E186" i="3"/>
  <c r="I185" i="3" l="1"/>
  <c r="W185" i="3" s="1"/>
  <c r="E185" i="3"/>
  <c r="I184" i="3" l="1"/>
  <c r="W184" i="3" s="1"/>
  <c r="I183" i="3" l="1"/>
  <c r="W183" i="3" s="1"/>
  <c r="I182" i="3" l="1"/>
  <c r="W182" i="3" s="1"/>
  <c r="I181" i="3" l="1"/>
  <c r="W181" i="3" s="1"/>
  <c r="I180" i="3" l="1"/>
  <c r="W180" i="3" s="1"/>
  <c r="IB1575" i="3"/>
  <c r="HX1575" i="3"/>
  <c r="HT1575" i="3"/>
  <c r="HP1575" i="3"/>
  <c r="IC1581" i="3"/>
  <c r="HY1581" i="3"/>
  <c r="HU1581" i="3"/>
  <c r="HU1582" i="3"/>
  <c r="HU1580" i="3"/>
  <c r="HQ1581" i="3"/>
  <c r="HM1581" i="3"/>
  <c r="HM1580" i="3"/>
  <c r="IC1580" i="3"/>
  <c r="HY1580" i="3"/>
  <c r="HQ1580" i="3"/>
  <c r="IC1578" i="3"/>
  <c r="HY1578" i="3"/>
  <c r="HU1578" i="3"/>
  <c r="HQ1578" i="3"/>
  <c r="HM1578" i="3"/>
  <c r="HL1575" i="3"/>
  <c r="HI1581" i="3"/>
  <c r="HI1580" i="3"/>
  <c r="HI1579" i="3"/>
  <c r="HI1578" i="3"/>
  <c r="HH1575" i="3"/>
  <c r="AL8" i="3" l="1"/>
  <c r="G205" i="4"/>
  <c r="G204" i="4"/>
  <c r="Q213" i="4"/>
  <c r="AA213" i="4" s="1"/>
  <c r="Q214" i="4"/>
  <c r="AA214" i="4" s="1"/>
  <c r="Q215" i="4"/>
  <c r="AA215" i="4" s="1"/>
  <c r="AU48" i="1"/>
  <c r="AU24" i="1"/>
  <c r="A215" i="4" s="1"/>
  <c r="AU22" i="1"/>
  <c r="A213" i="4" s="1"/>
  <c r="AU23" i="1"/>
  <c r="A214" i="4" s="1"/>
  <c r="AU11" i="1"/>
  <c r="A203" i="4" s="1"/>
  <c r="AU12" i="1"/>
  <c r="A204" i="4" s="1"/>
  <c r="AU13" i="1"/>
  <c r="A205" i="4" s="1"/>
  <c r="A206" i="4"/>
  <c r="A207" i="4"/>
  <c r="C27" i="14" l="1"/>
  <c r="J12" i="3"/>
  <c r="J40" i="8" l="1"/>
  <c r="J39" i="8"/>
  <c r="J38" i="8"/>
  <c r="J37" i="8"/>
  <c r="J36" i="8"/>
  <c r="J35" i="8"/>
  <c r="J34" i="8"/>
  <c r="J33" i="8"/>
  <c r="J32" i="8"/>
  <c r="J31" i="8"/>
  <c r="J30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40" i="7"/>
  <c r="J39" i="7"/>
  <c r="J38" i="7"/>
  <c r="J37" i="7"/>
  <c r="J36" i="7"/>
  <c r="J35" i="7"/>
  <c r="J34" i="7"/>
  <c r="J33" i="7"/>
  <c r="J32" i="7"/>
  <c r="J31" i="7"/>
  <c r="J30" i="7"/>
  <c r="J20" i="7"/>
  <c r="J19" i="7"/>
  <c r="J18" i="7"/>
  <c r="J17" i="7"/>
  <c r="D9" i="13" s="1"/>
  <c r="J16" i="7"/>
  <c r="J15" i="7"/>
  <c r="J14" i="7"/>
  <c r="D7" i="13" s="1"/>
  <c r="E7" i="13" s="1"/>
  <c r="J13" i="7"/>
  <c r="J12" i="7"/>
  <c r="J11" i="7"/>
  <c r="D25" i="13" s="1"/>
  <c r="J10" i="7"/>
  <c r="D24" i="13" s="1"/>
  <c r="J9" i="7"/>
  <c r="D23" i="13" s="1"/>
  <c r="J8" i="7"/>
  <c r="J7" i="7"/>
  <c r="J6" i="7"/>
  <c r="J5" i="7"/>
  <c r="J4" i="7"/>
  <c r="J3" i="7"/>
  <c r="F7" i="2"/>
  <c r="F8" i="2"/>
  <c r="F9" i="2"/>
  <c r="G9" i="2" s="1"/>
  <c r="H9" i="2" s="1"/>
  <c r="F10" i="2"/>
  <c r="F11" i="2"/>
  <c r="F12" i="2"/>
  <c r="F14" i="2"/>
  <c r="F15" i="2"/>
  <c r="G15" i="2" s="1"/>
  <c r="F19" i="2"/>
  <c r="F20" i="2"/>
  <c r="F21" i="2"/>
  <c r="F23" i="2"/>
  <c r="G23" i="2" s="1"/>
  <c r="F28" i="2"/>
  <c r="F29" i="2"/>
  <c r="G29" i="2" s="1"/>
  <c r="G7" i="2" l="1"/>
  <c r="H7" i="2" s="1"/>
  <c r="E24" i="13"/>
  <c r="H15" i="2"/>
  <c r="G21" i="2"/>
  <c r="H21" i="2" s="1"/>
  <c r="H23" i="2"/>
  <c r="D8" i="13"/>
  <c r="E8" i="13" s="1"/>
  <c r="D41" i="13"/>
  <c r="E41" i="13" s="1"/>
  <c r="D13" i="13"/>
  <c r="E13" i="13" s="1"/>
  <c r="D53" i="13"/>
  <c r="E53" i="13" s="1"/>
  <c r="E23" i="13"/>
  <c r="E9" i="13"/>
  <c r="D42" i="13"/>
  <c r="E42" i="13" s="1"/>
  <c r="D10" i="13"/>
  <c r="E10" i="13" s="1"/>
  <c r="D14" i="13"/>
  <c r="E14" i="13" s="1"/>
  <c r="D54" i="13"/>
  <c r="E54" i="13" s="1"/>
  <c r="D17" i="13"/>
  <c r="E17" i="13" s="1"/>
  <c r="D57" i="13"/>
  <c r="E57" i="13" s="1"/>
  <c r="E25" i="13"/>
  <c r="D43" i="13"/>
  <c r="E43" i="13" s="1"/>
  <c r="D11" i="13"/>
  <c r="E11" i="13" s="1"/>
  <c r="D15" i="13"/>
  <c r="E15" i="13" s="1"/>
  <c r="D55" i="13"/>
  <c r="E55" i="13" s="1"/>
  <c r="D12" i="13"/>
  <c r="E12" i="13" s="1"/>
  <c r="D44" i="13"/>
  <c r="E44" i="13" s="1"/>
  <c r="D56" i="13"/>
  <c r="E56" i="13" s="1"/>
  <c r="D16" i="13"/>
  <c r="E16" i="13" s="1"/>
  <c r="G14" i="2"/>
  <c r="H14" i="2" s="1"/>
  <c r="F22" i="2"/>
  <c r="G22" i="2" s="1"/>
  <c r="H22" i="2" s="1"/>
  <c r="F64" i="2"/>
  <c r="G64" i="2" s="1"/>
  <c r="H64" i="2" s="1"/>
  <c r="G19" i="2"/>
  <c r="H19" i="2" s="1"/>
  <c r="F27" i="2"/>
  <c r="G27" i="2" s="1"/>
  <c r="H27" i="2" s="1"/>
  <c r="F68" i="2"/>
  <c r="G68" i="2" s="1"/>
  <c r="H68" i="2" s="1"/>
  <c r="F26" i="2"/>
  <c r="G26" i="2" s="1"/>
  <c r="H26" i="2" s="1"/>
  <c r="F67" i="2"/>
  <c r="G67" i="2" s="1"/>
  <c r="H67" i="2" s="1"/>
  <c r="F25" i="2"/>
  <c r="G25" i="2" s="1"/>
  <c r="H25" i="2" s="1"/>
  <c r="F66" i="2"/>
  <c r="G66" i="2" s="1"/>
  <c r="H66" i="2" s="1"/>
  <c r="F24" i="2"/>
  <c r="G24" i="2" s="1"/>
  <c r="H24" i="2" s="1"/>
  <c r="F65" i="2"/>
  <c r="G65" i="2" s="1"/>
  <c r="H65" i="2" s="1"/>
  <c r="G11" i="2"/>
  <c r="H11" i="2" s="1"/>
  <c r="H29" i="2"/>
  <c r="G10" i="2"/>
  <c r="H10" i="2" s="1"/>
  <c r="F18" i="2"/>
  <c r="G18" i="2" s="1"/>
  <c r="H18" i="2" s="1"/>
  <c r="F54" i="2"/>
  <c r="G54" i="2" s="1"/>
  <c r="H54" i="2" s="1"/>
  <c r="F53" i="2"/>
  <c r="G53" i="2" s="1"/>
  <c r="H53" i="2" s="1"/>
  <c r="F17" i="2"/>
  <c r="G17" i="2" s="1"/>
  <c r="H17" i="2" s="1"/>
  <c r="F49" i="2"/>
  <c r="G49" i="2" s="1"/>
  <c r="H49" i="2" s="1"/>
  <c r="F13" i="2"/>
  <c r="G13" i="2" s="1"/>
  <c r="H13" i="2" s="1"/>
  <c r="G28" i="2"/>
  <c r="H28" i="2" s="1"/>
  <c r="G20" i="2"/>
  <c r="H20" i="2" s="1"/>
  <c r="F16" i="2"/>
  <c r="G16" i="2" s="1"/>
  <c r="H16" i="2" s="1"/>
  <c r="F52" i="2"/>
  <c r="G52" i="2" s="1"/>
  <c r="H52" i="2" s="1"/>
  <c r="G12" i="2"/>
  <c r="H12" i="2" s="1"/>
  <c r="G8" i="2"/>
  <c r="H8" i="2" s="1"/>
  <c r="Q26" i="4"/>
  <c r="Q27" i="4"/>
  <c r="Q28" i="4"/>
  <c r="Q29" i="4"/>
  <c r="K29" i="4"/>
  <c r="K28" i="4"/>
  <c r="K27" i="4"/>
  <c r="K26" i="4"/>
  <c r="HW1577" i="3" l="1"/>
  <c r="IA1577" i="3"/>
  <c r="HS1577" i="3"/>
  <c r="HO1577" i="3"/>
  <c r="HK1577" i="3"/>
  <c r="HG1577" i="3"/>
  <c r="B149" i="3" l="1"/>
  <c r="L162" i="3"/>
  <c r="L161" i="3"/>
  <c r="L158" i="3"/>
  <c r="K164" i="3"/>
  <c r="K162" i="3"/>
  <c r="K161" i="3"/>
  <c r="K151" i="3"/>
  <c r="J164" i="3"/>
  <c r="J162" i="3"/>
  <c r="J161" i="3"/>
  <c r="J159" i="3"/>
  <c r="J158" i="3"/>
  <c r="J156" i="3"/>
  <c r="J155" i="3"/>
  <c r="J151" i="3"/>
  <c r="J152" i="3"/>
  <c r="J150" i="3"/>
  <c r="H164" i="3"/>
  <c r="H162" i="3"/>
  <c r="H161" i="3"/>
  <c r="H159" i="3"/>
  <c r="H158" i="3"/>
  <c r="H155" i="3"/>
  <c r="H150" i="3"/>
  <c r="F161" i="3"/>
  <c r="F158" i="3"/>
  <c r="F150" i="3"/>
  <c r="I150" i="3"/>
  <c r="I151" i="3"/>
  <c r="I152" i="3"/>
  <c r="I154" i="3"/>
  <c r="I155" i="3"/>
  <c r="I157" i="3"/>
  <c r="I158" i="3"/>
  <c r="I159" i="3"/>
  <c r="I161" i="3"/>
  <c r="I162" i="3"/>
  <c r="I163" i="3"/>
  <c r="I165" i="3"/>
  <c r="I149" i="3"/>
  <c r="G165" i="3"/>
  <c r="G163" i="3"/>
  <c r="G161" i="3"/>
  <c r="G159" i="3"/>
  <c r="G158" i="3"/>
  <c r="G152" i="3"/>
  <c r="G151" i="3"/>
  <c r="G150" i="3"/>
  <c r="E161" i="3"/>
  <c r="E152" i="3"/>
  <c r="M428" i="4" l="1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Q449" i="4"/>
  <c r="Q450" i="4"/>
  <c r="Q451" i="4"/>
  <c r="Q446" i="4"/>
  <c r="Q447" i="4"/>
  <c r="Q448" i="4"/>
  <c r="Q443" i="4"/>
  <c r="Q444" i="4"/>
  <c r="Q445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27" i="4"/>
  <c r="M427" i="4"/>
  <c r="C57" i="14" l="1"/>
  <c r="J7" i="3"/>
  <c r="T5" i="3" l="1"/>
  <c r="T6" i="3"/>
  <c r="T7" i="3"/>
  <c r="T8" i="3"/>
  <c r="T9" i="3"/>
  <c r="T10" i="3"/>
  <c r="T11" i="3"/>
  <c r="T12" i="3"/>
  <c r="T13" i="3"/>
  <c r="T14" i="3"/>
  <c r="T15" i="3"/>
  <c r="T4" i="3"/>
  <c r="BP3" i="3" l="1"/>
  <c r="W160" i="2" l="1"/>
  <c r="AB160" i="2"/>
  <c r="Y161" i="2"/>
  <c r="W162" i="2"/>
  <c r="AB162" i="2"/>
  <c r="Y163" i="2"/>
  <c r="W164" i="2"/>
  <c r="AB164" i="2"/>
  <c r="Y165" i="2"/>
  <c r="W166" i="2"/>
  <c r="AB166" i="2"/>
  <c r="Y167" i="2"/>
  <c r="W168" i="2"/>
  <c r="AB168" i="2"/>
  <c r="W170" i="2"/>
  <c r="AB170" i="2"/>
  <c r="Y171" i="2"/>
  <c r="W172" i="2"/>
  <c r="AB172" i="2"/>
  <c r="Y173" i="2"/>
  <c r="W174" i="2"/>
  <c r="AB174" i="2"/>
  <c r="Y175" i="2"/>
  <c r="W176" i="2"/>
  <c r="AB176" i="2"/>
  <c r="Y177" i="2"/>
  <c r="W178" i="2"/>
  <c r="AB178" i="2"/>
  <c r="Y179" i="2"/>
  <c r="W180" i="2"/>
  <c r="AB180" i="2"/>
  <c r="Y181" i="2"/>
  <c r="Y160" i="2"/>
  <c r="AB161" i="2"/>
  <c r="W163" i="2"/>
  <c r="Y164" i="2"/>
  <c r="AB165" i="2"/>
  <c r="W167" i="2"/>
  <c r="Y168" i="2"/>
  <c r="Y170" i="2"/>
  <c r="AB171" i="2"/>
  <c r="W173" i="2"/>
  <c r="Y174" i="2"/>
  <c r="AB175" i="2"/>
  <c r="W177" i="2"/>
  <c r="Y178" i="2"/>
  <c r="AB179" i="2"/>
  <c r="W181" i="2"/>
  <c r="W161" i="2"/>
  <c r="AB163" i="2"/>
  <c r="Y166" i="2"/>
  <c r="Y169" i="2"/>
  <c r="Y172" i="2"/>
  <c r="W175" i="2"/>
  <c r="AB177" i="2"/>
  <c r="Y180" i="2"/>
  <c r="Y162" i="2"/>
  <c r="W165" i="2"/>
  <c r="AB167" i="2"/>
  <c r="W171" i="2"/>
  <c r="AB173" i="2"/>
  <c r="Y176" i="2"/>
  <c r="W179" i="2"/>
  <c r="AB181" i="2"/>
  <c r="W169" i="2"/>
  <c r="AD169" i="2" s="1"/>
  <c r="X160" i="2"/>
  <c r="AC160" i="2"/>
  <c r="Z161" i="2"/>
  <c r="X162" i="2"/>
  <c r="AC162" i="2"/>
  <c r="Z163" i="2"/>
  <c r="X164" i="2"/>
  <c r="AC164" i="2"/>
  <c r="Z165" i="2"/>
  <c r="X166" i="2"/>
  <c r="AC166" i="2"/>
  <c r="Z167" i="2"/>
  <c r="X168" i="2"/>
  <c r="AC168" i="2"/>
  <c r="X170" i="2"/>
  <c r="AC170" i="2"/>
  <c r="Z171" i="2"/>
  <c r="X172" i="2"/>
  <c r="AC172" i="2"/>
  <c r="Z173" i="2"/>
  <c r="X174" i="2"/>
  <c r="AC174" i="2"/>
  <c r="Z175" i="2"/>
  <c r="X176" i="2"/>
  <c r="AC176" i="2"/>
  <c r="Z177" i="2"/>
  <c r="X178" i="2"/>
  <c r="AC178" i="2"/>
  <c r="Z179" i="2"/>
  <c r="X180" i="2"/>
  <c r="AC180" i="2"/>
  <c r="Z181" i="2"/>
  <c r="AC161" i="2"/>
  <c r="X163" i="2"/>
  <c r="AC165" i="2"/>
  <c r="X167" i="2"/>
  <c r="Z168" i="2"/>
  <c r="Z170" i="2"/>
  <c r="X173" i="2"/>
  <c r="Z174" i="2"/>
  <c r="AC175" i="2"/>
  <c r="Z178" i="2"/>
  <c r="AC179" i="2"/>
  <c r="X181" i="2"/>
  <c r="Z160" i="2"/>
  <c r="Z164" i="2"/>
  <c r="AC171" i="2"/>
  <c r="X177" i="2"/>
  <c r="Z162" i="2"/>
  <c r="X165" i="2"/>
  <c r="X171" i="2"/>
  <c r="AC173" i="2"/>
  <c r="X179" i="2"/>
  <c r="X161" i="2"/>
  <c r="AC163" i="2"/>
  <c r="Z166" i="2"/>
  <c r="Z169" i="2"/>
  <c r="Z172" i="2"/>
  <c r="X175" i="2"/>
  <c r="AC177" i="2"/>
  <c r="Z180" i="2"/>
  <c r="AC167" i="2"/>
  <c r="Z176" i="2"/>
  <c r="AC181" i="2"/>
  <c r="X169" i="2"/>
  <c r="AE169" i="2" s="1"/>
  <c r="Y159" i="2"/>
  <c r="Z159" i="2"/>
  <c r="X159" i="2"/>
  <c r="AC159" i="2"/>
  <c r="W159" i="2"/>
  <c r="AB159" i="2"/>
  <c r="M5" i="3" l="1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4" i="3"/>
  <c r="M4" i="3"/>
  <c r="P31" i="3" l="1"/>
  <c r="C32" i="3"/>
  <c r="C34" i="3"/>
  <c r="C33" i="3"/>
  <c r="C30" i="3"/>
  <c r="C29" i="3"/>
  <c r="C26" i="3"/>
  <c r="C25" i="3"/>
  <c r="C24" i="3"/>
  <c r="C23" i="3"/>
  <c r="AU10" i="1" l="1"/>
  <c r="A202" i="4" s="1"/>
  <c r="BB12" i="3" l="1"/>
  <c r="BB11" i="3"/>
  <c r="BB10" i="3"/>
  <c r="BB8" i="3"/>
  <c r="AL10" i="3"/>
  <c r="J8" i="3"/>
  <c r="AL14" i="3" l="1"/>
  <c r="AL12" i="3"/>
  <c r="AL11" i="3"/>
  <c r="J9" i="3"/>
  <c r="D12" i="3"/>
  <c r="BB15" i="3" l="1"/>
  <c r="AJ4" i="3"/>
  <c r="C35" i="3" l="1"/>
  <c r="C36" i="3" l="1"/>
  <c r="IB1578" i="3" l="1"/>
  <c r="IB1579" i="3"/>
  <c r="HX1579" i="3"/>
  <c r="HX1578" i="3"/>
  <c r="HT1579" i="3"/>
  <c r="HT1578" i="3"/>
  <c r="HP1579" i="3"/>
  <c r="HP1578" i="3"/>
  <c r="HL1578" i="3"/>
  <c r="HL1579" i="3"/>
  <c r="HH1579" i="3"/>
  <c r="HH1578" i="3"/>
  <c r="HY1577" i="3" l="1"/>
  <c r="IB1576" i="3"/>
  <c r="HX1576" i="3"/>
  <c r="HT1576" i="3"/>
  <c r="HP1576" i="3"/>
  <c r="HL1576" i="3"/>
  <c r="HH1576" i="3"/>
  <c r="AU55" i="1" l="1"/>
  <c r="B51" i="1" l="1"/>
  <c r="BC20" i="3" l="1"/>
  <c r="BC6" i="3"/>
  <c r="BC7" i="3"/>
  <c r="BC8" i="3"/>
  <c r="BC9" i="3"/>
  <c r="BC10" i="3"/>
  <c r="BC11" i="3"/>
  <c r="BC12" i="3"/>
  <c r="BC13" i="3"/>
  <c r="BC14" i="3"/>
  <c r="BC15" i="3"/>
  <c r="BC16" i="3"/>
  <c r="BC17" i="3"/>
  <c r="BC18" i="3"/>
  <c r="BC19" i="3"/>
  <c r="BC5" i="3"/>
  <c r="BC4" i="3"/>
  <c r="BB14" i="3"/>
  <c r="BB13" i="3"/>
  <c r="BB9" i="3"/>
  <c r="BB7" i="3"/>
  <c r="BB6" i="3"/>
  <c r="BB5" i="3"/>
  <c r="AJ5" i="3" l="1"/>
  <c r="AJ6" i="3"/>
  <c r="AJ7" i="3"/>
  <c r="AJ8" i="3"/>
  <c r="AJ9" i="3"/>
  <c r="AJ10" i="3"/>
  <c r="AJ11" i="3"/>
  <c r="AJ12" i="3"/>
  <c r="AJ13" i="3"/>
  <c r="AJ14" i="3"/>
  <c r="AJ15" i="3"/>
  <c r="AJ16" i="3"/>
  <c r="AJ17" i="3"/>
  <c r="AJ18" i="3"/>
  <c r="AJ19" i="3"/>
  <c r="AJ20" i="3"/>
  <c r="AM5" i="3"/>
  <c r="AM6" i="3"/>
  <c r="AM7" i="3"/>
  <c r="AM8" i="3"/>
  <c r="AM9" i="3"/>
  <c r="AM10" i="3"/>
  <c r="AM11" i="3"/>
  <c r="AM12" i="3"/>
  <c r="AM13" i="3"/>
  <c r="AM14" i="3"/>
  <c r="AM15" i="3"/>
  <c r="AM16" i="3"/>
  <c r="AM17" i="3"/>
  <c r="AM18" i="3"/>
  <c r="AM19" i="3"/>
  <c r="AM20" i="3"/>
  <c r="AM22" i="3"/>
  <c r="AM23" i="3"/>
  <c r="AM24" i="3"/>
  <c r="AM4" i="3"/>
  <c r="AL7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4" i="3"/>
  <c r="E23" i="3"/>
  <c r="F64" i="13" s="1"/>
  <c r="F440" i="13" l="1"/>
  <c r="F451" i="13"/>
  <c r="F406" i="13"/>
  <c r="F428" i="13"/>
  <c r="F394" i="13"/>
  <c r="F417" i="13"/>
  <c r="F68" i="13"/>
  <c r="F781" i="13"/>
  <c r="F770" i="13"/>
  <c r="F779" i="13"/>
  <c r="F755" i="13"/>
  <c r="F757" i="13"/>
  <c r="F825" i="13"/>
  <c r="F801" i="13"/>
  <c r="F823" i="13"/>
  <c r="F807" i="13"/>
  <c r="F791" i="13"/>
  <c r="F780" i="13"/>
  <c r="F753" i="13"/>
  <c r="F803" i="13"/>
  <c r="F765" i="13"/>
  <c r="F793" i="13"/>
  <c r="F813" i="13"/>
  <c r="F797" i="13"/>
  <c r="F783" i="13"/>
  <c r="F759" i="13"/>
  <c r="F820" i="13"/>
  <c r="F804" i="13"/>
  <c r="F786" i="13"/>
  <c r="F762" i="13"/>
  <c r="F822" i="13"/>
  <c r="F806" i="13"/>
  <c r="F790" i="13"/>
  <c r="F756" i="13"/>
  <c r="F922" i="13"/>
  <c r="F914" i="13"/>
  <c r="F906" i="13"/>
  <c r="F898" i="13"/>
  <c r="F890" i="13"/>
  <c r="F882" i="13"/>
  <c r="F874" i="13"/>
  <c r="F866" i="13"/>
  <c r="F858" i="13"/>
  <c r="F850" i="13"/>
  <c r="F842" i="13"/>
  <c r="F834" i="13"/>
  <c r="F826" i="13"/>
  <c r="F919" i="13"/>
  <c r="F911" i="13"/>
  <c r="F903" i="13"/>
  <c r="F895" i="13"/>
  <c r="F887" i="13"/>
  <c r="F879" i="13"/>
  <c r="F863" i="13"/>
  <c r="F855" i="13"/>
  <c r="F847" i="13"/>
  <c r="F839" i="13"/>
  <c r="F831" i="13"/>
  <c r="F916" i="13"/>
  <c r="F900" i="13"/>
  <c r="F892" i="13"/>
  <c r="F876" i="13"/>
  <c r="F844" i="13"/>
  <c r="F913" i="13"/>
  <c r="F873" i="13"/>
  <c r="F841" i="13"/>
  <c r="F772" i="13"/>
  <c r="F787" i="13"/>
  <c r="F768" i="13"/>
  <c r="F824" i="13"/>
  <c r="F808" i="13"/>
  <c r="F792" i="13"/>
  <c r="F766" i="13"/>
  <c r="F810" i="13"/>
  <c r="F794" i="13"/>
  <c r="F760" i="13"/>
  <c r="F852" i="13"/>
  <c r="F889" i="13"/>
  <c r="F849" i="13"/>
  <c r="F776" i="13"/>
  <c r="F773" i="13"/>
  <c r="F774" i="13"/>
  <c r="F771" i="13"/>
  <c r="F811" i="13"/>
  <c r="F809" i="13"/>
  <c r="F763" i="13"/>
  <c r="F815" i="13"/>
  <c r="F799" i="13"/>
  <c r="F785" i="13"/>
  <c r="F761" i="13"/>
  <c r="F819" i="13"/>
  <c r="F795" i="13"/>
  <c r="F817" i="13"/>
  <c r="F821" i="13"/>
  <c r="F805" i="13"/>
  <c r="F789" i="13"/>
  <c r="F767" i="13"/>
  <c r="F751" i="13"/>
  <c r="F812" i="13"/>
  <c r="F796" i="13"/>
  <c r="F769" i="13"/>
  <c r="F754" i="13"/>
  <c r="F814" i="13"/>
  <c r="F798" i="13"/>
  <c r="F764" i="13"/>
  <c r="F918" i="13"/>
  <c r="F910" i="13"/>
  <c r="F902" i="13"/>
  <c r="F894" i="13"/>
  <c r="F886" i="13"/>
  <c r="F878" i="13"/>
  <c r="F870" i="13"/>
  <c r="F862" i="13"/>
  <c r="F854" i="13"/>
  <c r="F846" i="13"/>
  <c r="F838" i="13"/>
  <c r="F830" i="13"/>
  <c r="F923" i="13"/>
  <c r="F915" i="13"/>
  <c r="F907" i="13"/>
  <c r="F899" i="13"/>
  <c r="F891" i="13"/>
  <c r="F883" i="13"/>
  <c r="F875" i="13"/>
  <c r="F867" i="13"/>
  <c r="F859" i="13"/>
  <c r="F851" i="13"/>
  <c r="F843" i="13"/>
  <c r="F835" i="13"/>
  <c r="F827" i="13"/>
  <c r="F920" i="13"/>
  <c r="F912" i="13"/>
  <c r="F904" i="13"/>
  <c r="F896" i="13"/>
  <c r="F888" i="13"/>
  <c r="F880" i="13"/>
  <c r="F872" i="13"/>
  <c r="F864" i="13"/>
  <c r="F856" i="13"/>
  <c r="F848" i="13"/>
  <c r="F840" i="13"/>
  <c r="F832" i="13"/>
  <c r="F925" i="13"/>
  <c r="F917" i="13"/>
  <c r="F909" i="13"/>
  <c r="F901" i="13"/>
  <c r="F893" i="13"/>
  <c r="F885" i="13"/>
  <c r="F877" i="13"/>
  <c r="F869" i="13"/>
  <c r="F861" i="13"/>
  <c r="F853" i="13"/>
  <c r="F845" i="13"/>
  <c r="F837" i="13"/>
  <c r="F829" i="13"/>
  <c r="F924" i="13"/>
  <c r="F868" i="13"/>
  <c r="F828" i="13"/>
  <c r="F905" i="13"/>
  <c r="F881" i="13"/>
  <c r="F857" i="13"/>
  <c r="F833" i="13"/>
  <c r="F788" i="13"/>
  <c r="F777" i="13"/>
  <c r="F778" i="13"/>
  <c r="F775" i="13"/>
  <c r="F816" i="13"/>
  <c r="F800" i="13"/>
  <c r="F782" i="13"/>
  <c r="F758" i="13"/>
  <c r="F818" i="13"/>
  <c r="F802" i="13"/>
  <c r="F784" i="13"/>
  <c r="F752" i="13"/>
  <c r="F871" i="13"/>
  <c r="F908" i="13"/>
  <c r="F884" i="13"/>
  <c r="F860" i="13"/>
  <c r="F836" i="13"/>
  <c r="F921" i="13"/>
  <c r="F897" i="13"/>
  <c r="F865" i="13"/>
  <c r="F729" i="13"/>
  <c r="F731" i="13"/>
  <c r="L86" i="15" s="1"/>
  <c r="R125" i="4" s="1"/>
  <c r="F741" i="13"/>
  <c r="L96" i="15" s="1"/>
  <c r="R135" i="4" s="1"/>
  <c r="F742" i="13"/>
  <c r="L97" i="15" s="1"/>
  <c r="R136" i="4" s="1"/>
  <c r="F747" i="13"/>
  <c r="L102" i="15" s="1"/>
  <c r="R141" i="4" s="1"/>
  <c r="F744" i="13"/>
  <c r="L99" i="15" s="1"/>
  <c r="R138" i="4" s="1"/>
  <c r="F745" i="13"/>
  <c r="L100" i="15" s="1"/>
  <c r="R139" i="4" s="1"/>
  <c r="F727" i="13"/>
  <c r="L82" i="15" s="1"/>
  <c r="R121" i="4" s="1"/>
  <c r="F735" i="13"/>
  <c r="F728" i="13"/>
  <c r="L83" i="15" s="1"/>
  <c r="R122" i="4" s="1"/>
  <c r="F746" i="13"/>
  <c r="L101" i="15" s="1"/>
  <c r="R140" i="4" s="1"/>
  <c r="F743" i="13"/>
  <c r="L98" i="15" s="1"/>
  <c r="R137" i="4" s="1"/>
  <c r="F748" i="13"/>
  <c r="L103" i="15" s="1"/>
  <c r="R142" i="4" s="1"/>
  <c r="F730" i="13"/>
  <c r="F732" i="13"/>
  <c r="F733" i="13"/>
  <c r="F734" i="13"/>
  <c r="L89" i="15" s="1"/>
  <c r="R128" i="4" s="1"/>
  <c r="F749" i="13"/>
  <c r="L104" i="15" s="1"/>
  <c r="R143" i="4" s="1"/>
  <c r="F740" i="13"/>
  <c r="L95" i="15" s="1"/>
  <c r="R134" i="4" s="1"/>
  <c r="F750" i="13"/>
  <c r="L105" i="15" s="1"/>
  <c r="R144" i="4" s="1"/>
  <c r="F739" i="13"/>
  <c r="L94" i="15" s="1"/>
  <c r="R133" i="4" s="1"/>
  <c r="F736" i="13"/>
  <c r="L91" i="15" s="1"/>
  <c r="R130" i="4" s="1"/>
  <c r="F738" i="13"/>
  <c r="L93" i="15" s="1"/>
  <c r="R132" i="4" s="1"/>
  <c r="F737" i="13"/>
  <c r="L92" i="15" s="1"/>
  <c r="R131" i="4" s="1"/>
  <c r="F447" i="13"/>
  <c r="F424" i="13"/>
  <c r="F458" i="13"/>
  <c r="F436" i="13"/>
  <c r="F413" i="13"/>
  <c r="F30" i="13"/>
  <c r="F21" i="13"/>
  <c r="F12" i="13"/>
  <c r="F57" i="13"/>
  <c r="F48" i="13"/>
  <c r="F41" i="13"/>
  <c r="F3" i="13"/>
  <c r="F34" i="13"/>
  <c r="F26" i="13"/>
  <c r="F8" i="13"/>
  <c r="F45" i="13"/>
  <c r="F31" i="13"/>
  <c r="F13" i="13"/>
  <c r="F42" i="13"/>
  <c r="F29" i="13"/>
  <c r="F20" i="13"/>
  <c r="F11" i="13"/>
  <c r="F56" i="13"/>
  <c r="F47" i="13"/>
  <c r="F40" i="13"/>
  <c r="F16" i="13"/>
  <c r="F37" i="13"/>
  <c r="F22" i="13"/>
  <c r="F51" i="13"/>
  <c r="F28" i="13"/>
  <c r="F19" i="13"/>
  <c r="F10" i="13"/>
  <c r="F55" i="13"/>
  <c r="F50" i="13"/>
  <c r="F39" i="13"/>
  <c r="F27" i="13"/>
  <c r="F17" i="13"/>
  <c r="F9" i="13"/>
  <c r="F54" i="13"/>
  <c r="F49" i="13"/>
  <c r="F38" i="13"/>
  <c r="F387" i="13"/>
  <c r="F53" i="13"/>
  <c r="F18" i="13"/>
  <c r="F4" i="13"/>
  <c r="F24" i="13"/>
  <c r="F33" i="13"/>
  <c r="F25" i="13"/>
  <c r="F15" i="13"/>
  <c r="F7" i="13"/>
  <c r="F46" i="13"/>
  <c r="F44" i="13"/>
  <c r="F36" i="13"/>
  <c r="D3" i="15" s="1"/>
  <c r="Z26" i="4" s="1"/>
  <c r="F32" i="13"/>
  <c r="F23" i="13"/>
  <c r="F14" i="13"/>
  <c r="F6" i="13"/>
  <c r="F52" i="13"/>
  <c r="F43" i="13"/>
  <c r="F35" i="13"/>
  <c r="F5" i="13"/>
  <c r="F2" i="13"/>
  <c r="C68" i="2"/>
  <c r="X207" i="3" s="1"/>
  <c r="C67" i="2"/>
  <c r="X206" i="3" s="1"/>
  <c r="C65" i="2"/>
  <c r="X204" i="3" s="1"/>
  <c r="C66" i="2"/>
  <c r="X205" i="3" s="1"/>
  <c r="F97" i="13"/>
  <c r="R537" i="4" s="1"/>
  <c r="S537" i="4" s="1"/>
  <c r="F99" i="13"/>
  <c r="R539" i="4" s="1"/>
  <c r="S539" i="4" s="1"/>
  <c r="F101" i="13"/>
  <c r="R541" i="4" s="1"/>
  <c r="S541" i="4" s="1"/>
  <c r="F103" i="13"/>
  <c r="R543" i="4" s="1"/>
  <c r="S543" i="4" s="1"/>
  <c r="F95" i="13"/>
  <c r="R535" i="4" s="1"/>
  <c r="S535" i="4" s="1"/>
  <c r="F94" i="13"/>
  <c r="R534" i="4" s="1"/>
  <c r="S534" i="4" s="1"/>
  <c r="F90" i="13"/>
  <c r="R530" i="4" s="1"/>
  <c r="S530" i="4" s="1"/>
  <c r="F93" i="13"/>
  <c r="R533" i="4" s="1"/>
  <c r="S533" i="4" s="1"/>
  <c r="F91" i="13"/>
  <c r="R531" i="4" s="1"/>
  <c r="S531" i="4" s="1"/>
  <c r="F96" i="13"/>
  <c r="R536" i="4" s="1"/>
  <c r="S536" i="4" s="1"/>
  <c r="F98" i="13"/>
  <c r="R538" i="4" s="1"/>
  <c r="S538" i="4" s="1"/>
  <c r="F100" i="13"/>
  <c r="R540" i="4" s="1"/>
  <c r="S540" i="4" s="1"/>
  <c r="F102" i="13"/>
  <c r="R542" i="4" s="1"/>
  <c r="S542" i="4" s="1"/>
  <c r="F104" i="13"/>
  <c r="R544" i="4" s="1"/>
  <c r="S544" i="4" s="1"/>
  <c r="F92" i="13"/>
  <c r="R532" i="4" s="1"/>
  <c r="S532" i="4" s="1"/>
  <c r="F88" i="13"/>
  <c r="F69" i="13"/>
  <c r="F71" i="13"/>
  <c r="F66" i="13"/>
  <c r="F80" i="13"/>
  <c r="D590" i="3" s="1"/>
  <c r="R526" i="4" s="1"/>
  <c r="S526" i="4" s="1"/>
  <c r="F82" i="13"/>
  <c r="F74" i="13"/>
  <c r="F85" i="13"/>
  <c r="D591" i="3" s="1"/>
  <c r="R527" i="4" s="1"/>
  <c r="S527" i="4" s="1"/>
  <c r="F77" i="13"/>
  <c r="F65" i="13"/>
  <c r="F84" i="13"/>
  <c r="F76" i="13"/>
  <c r="F87" i="13"/>
  <c r="F79" i="13"/>
  <c r="F67" i="13"/>
  <c r="F86" i="13"/>
  <c r="F78" i="13"/>
  <c r="F70" i="13"/>
  <c r="F81" i="13"/>
  <c r="F73" i="13"/>
  <c r="F62" i="13"/>
  <c r="F72" i="13"/>
  <c r="F83" i="13"/>
  <c r="F75" i="13"/>
  <c r="D589" i="3" s="1"/>
  <c r="R525" i="4" s="1"/>
  <c r="S525" i="4" s="1"/>
  <c r="F63" i="13"/>
  <c r="F61" i="13"/>
  <c r="C152" i="2"/>
  <c r="R481" i="4" s="1"/>
  <c r="C128" i="2"/>
  <c r="R457" i="4" s="1"/>
  <c r="AX34" i="1" s="1"/>
  <c r="M118" i="2"/>
  <c r="N118" i="2"/>
  <c r="M120" i="2"/>
  <c r="N120" i="2"/>
  <c r="C64" i="2"/>
  <c r="X202" i="3" s="1"/>
  <c r="X197" i="3" s="1"/>
  <c r="T119" i="2"/>
  <c r="P119" i="2"/>
  <c r="U119" i="2"/>
  <c r="M119" i="2"/>
  <c r="Q119" i="2"/>
  <c r="R119" i="2"/>
  <c r="O119" i="2"/>
  <c r="S119" i="2"/>
  <c r="N119" i="2"/>
  <c r="D377" i="2"/>
  <c r="R504" i="4" s="1"/>
  <c r="S504" i="4" s="1"/>
  <c r="D368" i="2"/>
  <c r="R495" i="4" s="1"/>
  <c r="S495" i="4" s="1"/>
  <c r="D369" i="2"/>
  <c r="R496" i="4" s="1"/>
  <c r="S496" i="4" s="1"/>
  <c r="D371" i="2"/>
  <c r="R498" i="4" s="1"/>
  <c r="S498" i="4" s="1"/>
  <c r="D365" i="2"/>
  <c r="R492" i="4" s="1"/>
  <c r="S492" i="4" s="1"/>
  <c r="D364" i="2"/>
  <c r="R491" i="4" s="1"/>
  <c r="S491" i="4" s="1"/>
  <c r="D373" i="2"/>
  <c r="R500" i="4" s="1"/>
  <c r="S500" i="4" s="1"/>
  <c r="D375" i="2"/>
  <c r="R502" i="4" s="1"/>
  <c r="S502" i="4" s="1"/>
  <c r="D359" i="2"/>
  <c r="R486" i="4" s="1"/>
  <c r="S486" i="4" s="1"/>
  <c r="D362" i="2"/>
  <c r="R489" i="4" s="1"/>
  <c r="S489" i="4" s="1"/>
  <c r="D367" i="2"/>
  <c r="R494" i="4" s="1"/>
  <c r="S494" i="4" s="1"/>
  <c r="D376" i="2"/>
  <c r="R503" i="4" s="1"/>
  <c r="S503" i="4" s="1"/>
  <c r="D360" i="2"/>
  <c r="R487" i="4" s="1"/>
  <c r="S487" i="4" s="1"/>
  <c r="D361" i="2"/>
  <c r="R488" i="4" s="1"/>
  <c r="S488" i="4" s="1"/>
  <c r="D363" i="2"/>
  <c r="R490" i="4" s="1"/>
  <c r="S490" i="4" s="1"/>
  <c r="D372" i="2"/>
  <c r="R499" i="4" s="1"/>
  <c r="S499" i="4" s="1"/>
  <c r="D374" i="2"/>
  <c r="R501" i="4" s="1"/>
  <c r="S501" i="4" s="1"/>
  <c r="D358" i="2"/>
  <c r="R485" i="4" s="1"/>
  <c r="S485" i="4" s="1"/>
  <c r="D370" i="2"/>
  <c r="R497" i="4" s="1"/>
  <c r="S497" i="4" s="1"/>
  <c r="D366" i="2"/>
  <c r="R493" i="4" s="1"/>
  <c r="S493" i="4" s="1"/>
  <c r="C169" i="2"/>
  <c r="H169" i="2"/>
  <c r="B169" i="2"/>
  <c r="G169" i="2"/>
  <c r="E169" i="2"/>
  <c r="D169" i="2"/>
  <c r="U121" i="2"/>
  <c r="Q121" i="2"/>
  <c r="M121" i="2"/>
  <c r="R117" i="2"/>
  <c r="N117" i="2"/>
  <c r="R121" i="2"/>
  <c r="N121" i="2"/>
  <c r="S117" i="2"/>
  <c r="O117" i="2"/>
  <c r="U71" i="2"/>
  <c r="Q71" i="2"/>
  <c r="M71" i="2"/>
  <c r="S121" i="2"/>
  <c r="O121" i="2"/>
  <c r="T117" i="2"/>
  <c r="P117" i="2"/>
  <c r="R71" i="2"/>
  <c r="N71" i="2"/>
  <c r="T121" i="2"/>
  <c r="P121" i="2"/>
  <c r="U117" i="2"/>
  <c r="Q117" i="2"/>
  <c r="M117" i="2"/>
  <c r="S71" i="2"/>
  <c r="O71" i="2"/>
  <c r="T71" i="2"/>
  <c r="P71" i="2"/>
  <c r="C63" i="2"/>
  <c r="T207" i="3" s="1"/>
  <c r="V207" i="3" s="1"/>
  <c r="C62" i="2"/>
  <c r="T206" i="3" s="1"/>
  <c r="V206" i="3" s="1"/>
  <c r="C61" i="2"/>
  <c r="T205" i="3" s="1"/>
  <c r="V205" i="3" s="1"/>
  <c r="C60" i="2"/>
  <c r="T204" i="3" s="1"/>
  <c r="V204" i="3" s="1"/>
  <c r="C59" i="2"/>
  <c r="T203" i="3" s="1"/>
  <c r="V203" i="3" s="1"/>
  <c r="C58" i="2"/>
  <c r="T202" i="3" s="1"/>
  <c r="C57" i="2"/>
  <c r="T201" i="3" s="1"/>
  <c r="V201" i="3" s="1"/>
  <c r="C56" i="2"/>
  <c r="T200" i="3" s="1"/>
  <c r="V200" i="3" s="1"/>
  <c r="C55" i="2"/>
  <c r="T199" i="3" s="1"/>
  <c r="V199" i="3" s="1"/>
  <c r="C54" i="2"/>
  <c r="R207" i="3" s="1"/>
  <c r="C53" i="2"/>
  <c r="R206" i="3" s="1"/>
  <c r="C52" i="2"/>
  <c r="R205" i="3" s="1"/>
  <c r="C51" i="2"/>
  <c r="R204" i="3" s="1"/>
  <c r="C50" i="2"/>
  <c r="R203" i="3" s="1"/>
  <c r="C49" i="2"/>
  <c r="R202" i="3" s="1"/>
  <c r="C48" i="2"/>
  <c r="R201" i="3" s="1"/>
  <c r="C47" i="2"/>
  <c r="R200" i="3" s="1"/>
  <c r="C46" i="2"/>
  <c r="R199" i="3" s="1"/>
  <c r="C45" i="2"/>
  <c r="N207" i="3" s="1"/>
  <c r="C44" i="2"/>
  <c r="N206" i="3" s="1"/>
  <c r="C43" i="2"/>
  <c r="N205" i="3" s="1"/>
  <c r="C42" i="2"/>
  <c r="N204" i="3" s="1"/>
  <c r="C41" i="2"/>
  <c r="N203" i="3" s="1"/>
  <c r="C40" i="2"/>
  <c r="N202" i="3" s="1"/>
  <c r="C39" i="2"/>
  <c r="N201" i="3" s="1"/>
  <c r="C38" i="2"/>
  <c r="N200" i="3" s="1"/>
  <c r="C37" i="2"/>
  <c r="N199" i="3" s="1"/>
  <c r="C36" i="2"/>
  <c r="L207" i="3" s="1"/>
  <c r="C35" i="2"/>
  <c r="L206" i="3" s="1"/>
  <c r="C34" i="2"/>
  <c r="L205" i="3" s="1"/>
  <c r="C33" i="2"/>
  <c r="L204" i="3" s="1"/>
  <c r="C32" i="2"/>
  <c r="L203" i="3" s="1"/>
  <c r="C31" i="2"/>
  <c r="L202" i="3" s="1"/>
  <c r="C30" i="2"/>
  <c r="L201" i="3" s="1"/>
  <c r="C29" i="2"/>
  <c r="L200" i="3" s="1"/>
  <c r="C28" i="2"/>
  <c r="L199" i="3" s="1"/>
  <c r="C27" i="2"/>
  <c r="J207" i="3" s="1"/>
  <c r="C26" i="2"/>
  <c r="J206" i="3" s="1"/>
  <c r="C25" i="2"/>
  <c r="J205" i="3" s="1"/>
  <c r="C24" i="2"/>
  <c r="J204" i="3" s="1"/>
  <c r="C23" i="2"/>
  <c r="J203" i="3" s="1"/>
  <c r="C22" i="2"/>
  <c r="J202" i="3" s="1"/>
  <c r="C21" i="2"/>
  <c r="J201" i="3" s="1"/>
  <c r="C20" i="2"/>
  <c r="J200" i="3" s="1"/>
  <c r="C19" i="2"/>
  <c r="J199" i="3" s="1"/>
  <c r="C18" i="2"/>
  <c r="H207" i="3" s="1"/>
  <c r="C17" i="2"/>
  <c r="H206" i="3" s="1"/>
  <c r="C16" i="2"/>
  <c r="H205" i="3" s="1"/>
  <c r="C15" i="2"/>
  <c r="H204" i="3" s="1"/>
  <c r="C14" i="2"/>
  <c r="H203" i="3" s="1"/>
  <c r="C13" i="2"/>
  <c r="C12" i="2"/>
  <c r="H201" i="3" s="1"/>
  <c r="C11" i="2"/>
  <c r="H200" i="3" s="1"/>
  <c r="C10" i="2"/>
  <c r="H199" i="3" s="1"/>
  <c r="C9" i="2"/>
  <c r="F207" i="3" s="1"/>
  <c r="C8" i="2"/>
  <c r="F206" i="3" s="1"/>
  <c r="C7" i="2"/>
  <c r="F205" i="3" s="1"/>
  <c r="C6" i="2"/>
  <c r="F204" i="3" s="1"/>
  <c r="C5" i="2"/>
  <c r="F203" i="3" s="1"/>
  <c r="C4" i="2"/>
  <c r="F202" i="3" s="1"/>
  <c r="C2" i="2"/>
  <c r="F200" i="3" s="1"/>
  <c r="C1" i="2"/>
  <c r="F199" i="3" s="1"/>
  <c r="C3" i="2"/>
  <c r="F201" i="3" s="1"/>
  <c r="C119" i="2" l="1"/>
  <c r="C117" i="2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C121" i="2"/>
  <c r="R95" i="4" s="1"/>
  <c r="R96" i="4" s="1"/>
  <c r="D588" i="3"/>
  <c r="R507" i="4" s="1"/>
  <c r="BL71" i="1" s="1"/>
  <c r="X530" i="4"/>
  <c r="A529" i="4" s="1"/>
  <c r="D578" i="3"/>
  <c r="R505" i="4" s="1"/>
  <c r="BL65" i="1" s="1"/>
  <c r="R482" i="4"/>
  <c r="S481" i="4"/>
  <c r="V202" i="3"/>
  <c r="T197" i="3"/>
  <c r="H197" i="3"/>
  <c r="H202" i="3"/>
  <c r="F197" i="3"/>
  <c r="P204" i="3"/>
  <c r="P206" i="3"/>
  <c r="P201" i="3"/>
  <c r="P205" i="3"/>
  <c r="P207" i="3"/>
  <c r="P199" i="3"/>
  <c r="P203" i="3"/>
  <c r="P200" i="3"/>
  <c r="P35" i="3"/>
  <c r="P39" i="3"/>
  <c r="P38" i="3"/>
  <c r="P37" i="3"/>
  <c r="P36" i="3"/>
  <c r="P24" i="3"/>
  <c r="P25" i="3"/>
  <c r="P26" i="3"/>
  <c r="P27" i="3"/>
  <c r="P28" i="3"/>
  <c r="P29" i="3"/>
  <c r="P30" i="3"/>
  <c r="P32" i="3"/>
  <c r="P33" i="3"/>
  <c r="P34" i="3"/>
  <c r="P23" i="3"/>
  <c r="C27" i="3"/>
  <c r="C28" i="3"/>
  <c r="C31" i="3"/>
  <c r="C37" i="3"/>
  <c r="C38" i="3"/>
  <c r="C39" i="3"/>
  <c r="B39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23" i="3"/>
  <c r="G31" i="1"/>
  <c r="S507" i="4" l="1"/>
  <c r="R508" i="4"/>
  <c r="R509" i="4" s="1"/>
  <c r="S505" i="4"/>
  <c r="R506" i="4"/>
  <c r="S506" i="4" s="1"/>
  <c r="R483" i="4"/>
  <c r="S482" i="4"/>
  <c r="S95" i="4"/>
  <c r="P202" i="3"/>
  <c r="P197" i="3" s="1"/>
  <c r="N197" i="3"/>
  <c r="R97" i="4"/>
  <c r="S96" i="4"/>
  <c r="S508" i="4" l="1"/>
  <c r="C197" i="3"/>
  <c r="R510" i="4"/>
  <c r="S509" i="4"/>
  <c r="R484" i="4"/>
  <c r="S484" i="4" s="1"/>
  <c r="S483" i="4"/>
  <c r="S97" i="4"/>
  <c r="R98" i="4"/>
  <c r="R511" i="4" l="1"/>
  <c r="S510" i="4"/>
  <c r="E14" i="1"/>
  <c r="R99" i="4"/>
  <c r="S98" i="4"/>
  <c r="R512" i="4" l="1"/>
  <c r="S511" i="4"/>
  <c r="R100" i="4"/>
  <c r="S99" i="4"/>
  <c r="R513" i="4" l="1"/>
  <c r="S512" i="4"/>
  <c r="S100" i="4"/>
  <c r="R101" i="4"/>
  <c r="R514" i="4" l="1"/>
  <c r="S513" i="4"/>
  <c r="R102" i="4"/>
  <c r="S101" i="4"/>
  <c r="R515" i="4" l="1"/>
  <c r="S514" i="4"/>
  <c r="S102" i="4"/>
  <c r="R103" i="4"/>
  <c r="AR11" i="4"/>
  <c r="AS11" i="4" s="1"/>
  <c r="AR10" i="4"/>
  <c r="AS10" i="4" s="1"/>
  <c r="AR9" i="4"/>
  <c r="AS9" i="4" s="1"/>
  <c r="BL17" i="3"/>
  <c r="BL16" i="3"/>
  <c r="BL6" i="3"/>
  <c r="BL7" i="3"/>
  <c r="BL8" i="3"/>
  <c r="BL9" i="3"/>
  <c r="BL10" i="3"/>
  <c r="BL11" i="3"/>
  <c r="BL12" i="3"/>
  <c r="BL13" i="3"/>
  <c r="BL14" i="3"/>
  <c r="BL15" i="3"/>
  <c r="BL18" i="3"/>
  <c r="BL19" i="3"/>
  <c r="BL20" i="3"/>
  <c r="BL5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24" i="3"/>
  <c r="O23" i="3"/>
  <c r="P40" i="3"/>
  <c r="I22" i="3" s="1"/>
  <c r="C40" i="3"/>
  <c r="BL4" i="3"/>
  <c r="BF17" i="3"/>
  <c r="BF16" i="3"/>
  <c r="BI17" i="3"/>
  <c r="BI16" i="3"/>
  <c r="R516" i="4" l="1"/>
  <c r="S515" i="4"/>
  <c r="AS12" i="4"/>
  <c r="AR12" i="4"/>
  <c r="S103" i="4"/>
  <c r="R104" i="4"/>
  <c r="G19" i="4"/>
  <c r="K30" i="4"/>
  <c r="Q30" i="4"/>
  <c r="Q31" i="4"/>
  <c r="K31" i="4"/>
  <c r="R517" i="4" l="1"/>
  <c r="S516" i="4"/>
  <c r="S104" i="4"/>
  <c r="BS4" i="3"/>
  <c r="BS5" i="3"/>
  <c r="BS6" i="3"/>
  <c r="BS7" i="3"/>
  <c r="BS8" i="3"/>
  <c r="BS9" i="3"/>
  <c r="BS10" i="3"/>
  <c r="BS11" i="3"/>
  <c r="BS12" i="3"/>
  <c r="BS13" i="3"/>
  <c r="BS14" i="3"/>
  <c r="BS3" i="3"/>
  <c r="R518" i="4" l="1"/>
  <c r="S517" i="4"/>
  <c r="L5" i="3"/>
  <c r="R519" i="4" l="1"/>
  <c r="S518" i="4"/>
  <c r="BK9" i="3"/>
  <c r="BK8" i="3"/>
  <c r="BK7" i="3"/>
  <c r="BK5" i="3"/>
  <c r="BK4" i="3"/>
  <c r="BI6" i="3"/>
  <c r="BI7" i="3"/>
  <c r="BI8" i="3"/>
  <c r="BI9" i="3"/>
  <c r="BI10" i="3"/>
  <c r="BI11" i="3"/>
  <c r="BI12" i="3"/>
  <c r="BI13" i="3"/>
  <c r="BI14" i="3"/>
  <c r="BI15" i="3"/>
  <c r="BI18" i="3"/>
  <c r="BI19" i="3"/>
  <c r="BI20" i="3"/>
  <c r="BI5" i="3"/>
  <c r="BI4" i="3"/>
  <c r="BF6" i="3"/>
  <c r="BF7" i="3"/>
  <c r="BF8" i="3"/>
  <c r="BF9" i="3"/>
  <c r="BF10" i="3"/>
  <c r="BF11" i="3"/>
  <c r="BF12" i="3"/>
  <c r="BF13" i="3"/>
  <c r="BF14" i="3"/>
  <c r="BF15" i="3"/>
  <c r="BF18" i="3"/>
  <c r="BF19" i="3"/>
  <c r="BF20" i="3"/>
  <c r="BF5" i="3"/>
  <c r="BH9" i="3"/>
  <c r="BH8" i="3"/>
  <c r="BH7" i="3"/>
  <c r="BH5" i="3"/>
  <c r="BH4" i="3"/>
  <c r="BF4" i="3"/>
  <c r="BE9" i="3"/>
  <c r="BE8" i="3"/>
  <c r="BE7" i="3"/>
  <c r="BE5" i="3"/>
  <c r="BE4" i="3"/>
  <c r="R520" i="4" l="1"/>
  <c r="S519" i="4"/>
  <c r="R521" i="4" l="1"/>
  <c r="S520" i="4"/>
  <c r="C111" i="5"/>
  <c r="C499" i="13" s="1"/>
  <c r="D499" i="13" s="1"/>
  <c r="C112" i="5"/>
  <c r="C113" i="5"/>
  <c r="C114" i="5"/>
  <c r="C115" i="5"/>
  <c r="C116" i="5"/>
  <c r="C117" i="5"/>
  <c r="C118" i="5"/>
  <c r="C533" i="13" s="1"/>
  <c r="D533" i="13" s="1"/>
  <c r="C119" i="5"/>
  <c r="C120" i="5"/>
  <c r="C121" i="5"/>
  <c r="C122" i="5"/>
  <c r="C123" i="5"/>
  <c r="C110" i="5"/>
  <c r="G235" i="2" l="1"/>
  <c r="H235" i="2" s="1"/>
  <c r="G236" i="2"/>
  <c r="H236" i="2" s="1"/>
  <c r="C592" i="13"/>
  <c r="D592" i="13" s="1"/>
  <c r="C593" i="13"/>
  <c r="D593" i="13" s="1"/>
  <c r="C156" i="13"/>
  <c r="D156" i="13" s="1"/>
  <c r="C956" i="13"/>
  <c r="D956" i="13" s="1"/>
  <c r="C930" i="13"/>
  <c r="D930" i="13" s="1"/>
  <c r="C938" i="13"/>
  <c r="D938" i="13" s="1"/>
  <c r="C946" i="13"/>
  <c r="D946" i="13" s="1"/>
  <c r="C128" i="13"/>
  <c r="D128" i="13" s="1"/>
  <c r="C958" i="13"/>
  <c r="D958" i="13" s="1"/>
  <c r="C931" i="13"/>
  <c r="D931" i="13" s="1"/>
  <c r="C939" i="13"/>
  <c r="D939" i="13" s="1"/>
  <c r="C947" i="13"/>
  <c r="D947" i="13" s="1"/>
  <c r="C960" i="13"/>
  <c r="D960" i="13" s="1"/>
  <c r="C932" i="13"/>
  <c r="D932" i="13" s="1"/>
  <c r="C940" i="13"/>
  <c r="D940" i="13" s="1"/>
  <c r="C948" i="13"/>
  <c r="D948" i="13" s="1"/>
  <c r="C933" i="13"/>
  <c r="D933" i="13" s="1"/>
  <c r="C941" i="13"/>
  <c r="D941" i="13" s="1"/>
  <c r="C949" i="13"/>
  <c r="D949" i="13" s="1"/>
  <c r="C182" i="13"/>
  <c r="D182" i="13" s="1"/>
  <c r="C935" i="13"/>
  <c r="D935" i="13" s="1"/>
  <c r="C943" i="13"/>
  <c r="D943" i="13" s="1"/>
  <c r="C927" i="13"/>
  <c r="D927" i="13" s="1"/>
  <c r="C181" i="13"/>
  <c r="D181" i="13" s="1"/>
  <c r="C129" i="13"/>
  <c r="D129" i="13" s="1"/>
  <c r="C934" i="13"/>
  <c r="D934" i="13" s="1"/>
  <c r="C942" i="13"/>
  <c r="D942" i="13" s="1"/>
  <c r="C950" i="13"/>
  <c r="D950" i="13" s="1"/>
  <c r="C154" i="13"/>
  <c r="D154" i="13" s="1"/>
  <c r="C130" i="13"/>
  <c r="D130" i="13" s="1"/>
  <c r="C952" i="13"/>
  <c r="D952" i="13" s="1"/>
  <c r="C928" i="13"/>
  <c r="D928" i="13" s="1"/>
  <c r="C936" i="13"/>
  <c r="D936" i="13" s="1"/>
  <c r="C944" i="13"/>
  <c r="D944" i="13" s="1"/>
  <c r="C155" i="13"/>
  <c r="D155" i="13" s="1"/>
  <c r="C954" i="13"/>
  <c r="D954" i="13" s="1"/>
  <c r="C929" i="13"/>
  <c r="D929" i="13" s="1"/>
  <c r="C937" i="13"/>
  <c r="D937" i="13" s="1"/>
  <c r="C945" i="13"/>
  <c r="D945" i="13" s="1"/>
  <c r="C957" i="13"/>
  <c r="D957" i="13" s="1"/>
  <c r="C961" i="13"/>
  <c r="D961" i="13" s="1"/>
  <c r="C953" i="13"/>
  <c r="D953" i="13" s="1"/>
  <c r="C951" i="13"/>
  <c r="D951" i="13" s="1"/>
  <c r="C959" i="13"/>
  <c r="D959" i="13" s="1"/>
  <c r="C955" i="13"/>
  <c r="D955" i="13" s="1"/>
  <c r="C312" i="13"/>
  <c r="D312" i="13" s="1"/>
  <c r="C296" i="13"/>
  <c r="D296" i="13" s="1"/>
  <c r="C328" i="13"/>
  <c r="D328" i="13" s="1"/>
  <c r="C280" i="13"/>
  <c r="D280" i="13" s="1"/>
  <c r="C721" i="13"/>
  <c r="D721" i="13" s="1"/>
  <c r="C720" i="13"/>
  <c r="D720" i="13" s="1"/>
  <c r="C700" i="13"/>
  <c r="D700" i="13" s="1"/>
  <c r="C659" i="13"/>
  <c r="D659" i="13" s="1"/>
  <c r="C631" i="13"/>
  <c r="D631" i="13" s="1"/>
  <c r="C614" i="13"/>
  <c r="D614" i="13" s="1"/>
  <c r="C699" i="13"/>
  <c r="D699" i="13" s="1"/>
  <c r="C679" i="13"/>
  <c r="D679" i="13" s="1"/>
  <c r="C658" i="13"/>
  <c r="D658" i="13" s="1"/>
  <c r="C637" i="13"/>
  <c r="D637" i="13" s="1"/>
  <c r="C630" i="13"/>
  <c r="D630" i="13" s="1"/>
  <c r="C615" i="13"/>
  <c r="D615" i="13" s="1"/>
  <c r="C719" i="13"/>
  <c r="D719" i="13" s="1"/>
  <c r="C698" i="13"/>
  <c r="D698" i="13" s="1"/>
  <c r="C678" i="13"/>
  <c r="D678" i="13" s="1"/>
  <c r="C657" i="13"/>
  <c r="D657" i="13" s="1"/>
  <c r="C636" i="13"/>
  <c r="D636" i="13" s="1"/>
  <c r="C609" i="13"/>
  <c r="D609" i="13" s="1"/>
  <c r="C725" i="13"/>
  <c r="D725" i="13" s="1"/>
  <c r="C718" i="13"/>
  <c r="D718" i="13" s="1"/>
  <c r="C677" i="13"/>
  <c r="D677" i="13" s="1"/>
  <c r="C656" i="13"/>
  <c r="D656" i="13" s="1"/>
  <c r="C635" i="13"/>
  <c r="D635" i="13" s="1"/>
  <c r="C610" i="13"/>
  <c r="D610" i="13" s="1"/>
  <c r="C608" i="13"/>
  <c r="D608" i="13" s="1"/>
  <c r="C724" i="13"/>
  <c r="D724" i="13" s="1"/>
  <c r="C703" i="13"/>
  <c r="D703" i="13" s="1"/>
  <c r="C697" i="13"/>
  <c r="D697" i="13" s="1"/>
  <c r="C676" i="13"/>
  <c r="D676" i="13" s="1"/>
  <c r="C655" i="13"/>
  <c r="D655" i="13" s="1"/>
  <c r="C634" i="13"/>
  <c r="D634" i="13" s="1"/>
  <c r="C611" i="13"/>
  <c r="D611" i="13" s="1"/>
  <c r="C723" i="13"/>
  <c r="D723" i="13" s="1"/>
  <c r="C702" i="13"/>
  <c r="D702" i="13" s="1"/>
  <c r="C696" i="13"/>
  <c r="D696" i="13" s="1"/>
  <c r="C654" i="13"/>
  <c r="D654" i="13" s="1"/>
  <c r="C722" i="13"/>
  <c r="D722" i="13" s="1"/>
  <c r="C681" i="13"/>
  <c r="D681" i="13" s="1"/>
  <c r="C675" i="13"/>
  <c r="D675" i="13" s="1"/>
  <c r="C653" i="13"/>
  <c r="D653" i="13" s="1"/>
  <c r="C633" i="13"/>
  <c r="D633" i="13" s="1"/>
  <c r="C612" i="13"/>
  <c r="D612" i="13" s="1"/>
  <c r="C701" i="13"/>
  <c r="D701" i="13" s="1"/>
  <c r="C680" i="13"/>
  <c r="D680" i="13" s="1"/>
  <c r="C674" i="13"/>
  <c r="D674" i="13" s="1"/>
  <c r="C652" i="13"/>
  <c r="D652" i="13" s="1"/>
  <c r="C632" i="13"/>
  <c r="D632" i="13" s="1"/>
  <c r="C613" i="13"/>
  <c r="D613" i="13" s="1"/>
  <c r="C162" i="13"/>
  <c r="D162" i="13" s="1"/>
  <c r="C170" i="13"/>
  <c r="D170" i="13" s="1"/>
  <c r="C178" i="13"/>
  <c r="D178" i="13" s="1"/>
  <c r="C134" i="13"/>
  <c r="D134" i="13" s="1"/>
  <c r="C142" i="13"/>
  <c r="D142" i="13" s="1"/>
  <c r="C150" i="13"/>
  <c r="D150" i="13" s="1"/>
  <c r="C172" i="13"/>
  <c r="D172" i="13" s="1"/>
  <c r="C180" i="13"/>
  <c r="D180" i="13" s="1"/>
  <c r="C144" i="13"/>
  <c r="D144" i="13" s="1"/>
  <c r="C137" i="13"/>
  <c r="D137" i="13" s="1"/>
  <c r="C153" i="13"/>
  <c r="D153" i="13" s="1"/>
  <c r="C146" i="13"/>
  <c r="D146" i="13" s="1"/>
  <c r="C159" i="13"/>
  <c r="D159" i="13" s="1"/>
  <c r="C131" i="13"/>
  <c r="D131" i="13" s="1"/>
  <c r="C163" i="13"/>
  <c r="D163" i="13" s="1"/>
  <c r="C171" i="13"/>
  <c r="D171" i="13" s="1"/>
  <c r="C179" i="13"/>
  <c r="D179" i="13" s="1"/>
  <c r="C135" i="13"/>
  <c r="D135" i="13" s="1"/>
  <c r="C143" i="13"/>
  <c r="D143" i="13" s="1"/>
  <c r="C151" i="13"/>
  <c r="D151" i="13" s="1"/>
  <c r="C164" i="13"/>
  <c r="D164" i="13" s="1"/>
  <c r="C136" i="13"/>
  <c r="D136" i="13" s="1"/>
  <c r="C152" i="13"/>
  <c r="D152" i="13" s="1"/>
  <c r="C145" i="13"/>
  <c r="D145" i="13" s="1"/>
  <c r="C138" i="13"/>
  <c r="D138" i="13" s="1"/>
  <c r="C139" i="13"/>
  <c r="D139" i="13" s="1"/>
  <c r="C157" i="13"/>
  <c r="D157" i="13" s="1"/>
  <c r="C165" i="13"/>
  <c r="D165" i="13" s="1"/>
  <c r="C173" i="13"/>
  <c r="D173" i="13" s="1"/>
  <c r="C158" i="13"/>
  <c r="D158" i="13" s="1"/>
  <c r="C166" i="13"/>
  <c r="D166" i="13" s="1"/>
  <c r="C174" i="13"/>
  <c r="D174" i="13" s="1"/>
  <c r="C160" i="13"/>
  <c r="D160" i="13" s="1"/>
  <c r="C168" i="13"/>
  <c r="D168" i="13" s="1"/>
  <c r="C176" i="13"/>
  <c r="D176" i="13" s="1"/>
  <c r="C132" i="13"/>
  <c r="D132" i="13" s="1"/>
  <c r="C140" i="13"/>
  <c r="D140" i="13" s="1"/>
  <c r="C148" i="13"/>
  <c r="D148" i="13" s="1"/>
  <c r="C161" i="13"/>
  <c r="D161" i="13" s="1"/>
  <c r="C169" i="13"/>
  <c r="D169" i="13" s="1"/>
  <c r="C177" i="13"/>
  <c r="D177" i="13" s="1"/>
  <c r="C133" i="13"/>
  <c r="D133" i="13" s="1"/>
  <c r="C141" i="13"/>
  <c r="D141" i="13" s="1"/>
  <c r="C149" i="13"/>
  <c r="D149" i="13" s="1"/>
  <c r="C167" i="13"/>
  <c r="D167" i="13" s="1"/>
  <c r="C175" i="13"/>
  <c r="D175" i="13" s="1"/>
  <c r="C147" i="13"/>
  <c r="D147" i="13" s="1"/>
  <c r="F533" i="13"/>
  <c r="C484" i="13"/>
  <c r="D484" i="13" s="1"/>
  <c r="E276" i="2"/>
  <c r="F276" i="2" s="1"/>
  <c r="E284" i="2"/>
  <c r="F284" i="2" s="1"/>
  <c r="E277" i="2"/>
  <c r="F277" i="2" s="1"/>
  <c r="E275" i="2"/>
  <c r="F275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C279" i="13"/>
  <c r="D279" i="13" s="1"/>
  <c r="F279" i="13" s="1"/>
  <c r="C316" i="13"/>
  <c r="D316" i="13" s="1"/>
  <c r="C344" i="13"/>
  <c r="D344" i="13" s="1"/>
  <c r="C332" i="13"/>
  <c r="D332" i="13" s="1"/>
  <c r="C356" i="13"/>
  <c r="D356" i="13" s="1"/>
  <c r="C596" i="13"/>
  <c r="D596" i="13" s="1"/>
  <c r="C604" i="13"/>
  <c r="D604" i="13" s="1"/>
  <c r="C620" i="13"/>
  <c r="D620" i="13" s="1"/>
  <c r="C628" i="13"/>
  <c r="D628" i="13" s="1"/>
  <c r="C644" i="13"/>
  <c r="D644" i="13" s="1"/>
  <c r="C660" i="13"/>
  <c r="D660" i="13" s="1"/>
  <c r="C668" i="13"/>
  <c r="D668" i="13" s="1"/>
  <c r="C684" i="13"/>
  <c r="D684" i="13" s="1"/>
  <c r="C692" i="13"/>
  <c r="D692" i="13" s="1"/>
  <c r="C708" i="13"/>
  <c r="D708" i="13" s="1"/>
  <c r="C716" i="13"/>
  <c r="D716" i="13" s="1"/>
  <c r="C715" i="13"/>
  <c r="D715" i="13" s="1"/>
  <c r="C597" i="13"/>
  <c r="D597" i="13" s="1"/>
  <c r="C605" i="13"/>
  <c r="D605" i="13" s="1"/>
  <c r="C621" i="13"/>
  <c r="D621" i="13" s="1"/>
  <c r="C629" i="13"/>
  <c r="D629" i="13" s="1"/>
  <c r="C645" i="13"/>
  <c r="D645" i="13" s="1"/>
  <c r="C661" i="13"/>
  <c r="D661" i="13" s="1"/>
  <c r="C669" i="13"/>
  <c r="D669" i="13" s="1"/>
  <c r="C685" i="13"/>
  <c r="D685" i="13" s="1"/>
  <c r="C693" i="13"/>
  <c r="D693" i="13" s="1"/>
  <c r="C709" i="13"/>
  <c r="D709" i="13" s="1"/>
  <c r="C717" i="13"/>
  <c r="D717" i="13" s="1"/>
  <c r="C617" i="13"/>
  <c r="D617" i="13" s="1"/>
  <c r="C625" i="13"/>
  <c r="D625" i="13" s="1"/>
  <c r="C641" i="13"/>
  <c r="D641" i="13" s="1"/>
  <c r="C649" i="13"/>
  <c r="D649" i="13" s="1"/>
  <c r="C665" i="13"/>
  <c r="D665" i="13" s="1"/>
  <c r="C673" i="13"/>
  <c r="D673" i="13" s="1"/>
  <c r="C689" i="13"/>
  <c r="D689" i="13" s="1"/>
  <c r="C705" i="13"/>
  <c r="D705" i="13" s="1"/>
  <c r="C713" i="13"/>
  <c r="D713" i="13" s="1"/>
  <c r="C619" i="13"/>
  <c r="D619" i="13" s="1"/>
  <c r="C683" i="13"/>
  <c r="D683" i="13" s="1"/>
  <c r="C598" i="13"/>
  <c r="D598" i="13" s="1"/>
  <c r="C606" i="13"/>
  <c r="D606" i="13" s="1"/>
  <c r="C622" i="13"/>
  <c r="D622" i="13" s="1"/>
  <c r="C638" i="13"/>
  <c r="D638" i="13" s="1"/>
  <c r="C646" i="13"/>
  <c r="D646" i="13" s="1"/>
  <c r="C662" i="13"/>
  <c r="D662" i="13" s="1"/>
  <c r="C670" i="13"/>
  <c r="D670" i="13" s="1"/>
  <c r="C686" i="13"/>
  <c r="D686" i="13" s="1"/>
  <c r="C694" i="13"/>
  <c r="D694" i="13" s="1"/>
  <c r="C710" i="13"/>
  <c r="D710" i="13" s="1"/>
  <c r="C595" i="13"/>
  <c r="D595" i="13" s="1"/>
  <c r="C601" i="13"/>
  <c r="D601" i="13" s="1"/>
  <c r="C599" i="13"/>
  <c r="D599" i="13" s="1"/>
  <c r="C607" i="13"/>
  <c r="D607" i="13" s="1"/>
  <c r="C623" i="13"/>
  <c r="D623" i="13" s="1"/>
  <c r="C639" i="13"/>
  <c r="D639" i="13" s="1"/>
  <c r="C647" i="13"/>
  <c r="D647" i="13" s="1"/>
  <c r="C663" i="13"/>
  <c r="D663" i="13" s="1"/>
  <c r="C671" i="13"/>
  <c r="D671" i="13" s="1"/>
  <c r="C687" i="13"/>
  <c r="D687" i="13" s="1"/>
  <c r="C695" i="13"/>
  <c r="D695" i="13" s="1"/>
  <c r="C711" i="13"/>
  <c r="D711" i="13" s="1"/>
  <c r="C666" i="13"/>
  <c r="D666" i="13" s="1"/>
  <c r="C714" i="13"/>
  <c r="D714" i="13" s="1"/>
  <c r="C643" i="13"/>
  <c r="D643" i="13" s="1"/>
  <c r="C600" i="13"/>
  <c r="D600" i="13" s="1"/>
  <c r="C616" i="13"/>
  <c r="D616" i="13" s="1"/>
  <c r="C624" i="13"/>
  <c r="D624" i="13" s="1"/>
  <c r="C640" i="13"/>
  <c r="D640" i="13" s="1"/>
  <c r="C648" i="13"/>
  <c r="D648" i="13" s="1"/>
  <c r="C664" i="13"/>
  <c r="D664" i="13" s="1"/>
  <c r="C672" i="13"/>
  <c r="D672" i="13" s="1"/>
  <c r="C688" i="13"/>
  <c r="D688" i="13" s="1"/>
  <c r="C704" i="13"/>
  <c r="D704" i="13" s="1"/>
  <c r="C712" i="13"/>
  <c r="D712" i="13" s="1"/>
  <c r="C627" i="13"/>
  <c r="D627" i="13" s="1"/>
  <c r="C651" i="13"/>
  <c r="D651" i="13" s="1"/>
  <c r="C667" i="13"/>
  <c r="D667" i="13" s="1"/>
  <c r="C691" i="13"/>
  <c r="D691" i="13" s="1"/>
  <c r="C707" i="13"/>
  <c r="D707" i="13" s="1"/>
  <c r="C602" i="13"/>
  <c r="D602" i="13" s="1"/>
  <c r="C618" i="13"/>
  <c r="D618" i="13" s="1"/>
  <c r="C626" i="13"/>
  <c r="D626" i="13" s="1"/>
  <c r="C642" i="13"/>
  <c r="D642" i="13" s="1"/>
  <c r="C650" i="13"/>
  <c r="D650" i="13" s="1"/>
  <c r="C682" i="13"/>
  <c r="D682" i="13" s="1"/>
  <c r="C690" i="13"/>
  <c r="D690" i="13" s="1"/>
  <c r="C706" i="13"/>
  <c r="D706" i="13" s="1"/>
  <c r="C603" i="13"/>
  <c r="D603" i="13" s="1"/>
  <c r="E268" i="2"/>
  <c r="F268" i="2" s="1"/>
  <c r="C569" i="13"/>
  <c r="D569" i="13" s="1"/>
  <c r="C584" i="13"/>
  <c r="D584" i="13" s="1"/>
  <c r="C545" i="13"/>
  <c r="D545" i="13" s="1"/>
  <c r="C544" i="13"/>
  <c r="D544" i="13" s="1"/>
  <c r="E269" i="2"/>
  <c r="F269" i="2" s="1"/>
  <c r="C562" i="13"/>
  <c r="D562" i="13" s="1"/>
  <c r="C577" i="13"/>
  <c r="D577" i="13" s="1"/>
  <c r="C585" i="13"/>
  <c r="D585" i="13" s="1"/>
  <c r="C546" i="13"/>
  <c r="D546" i="13" s="1"/>
  <c r="C534" i="13"/>
  <c r="D534" i="13" s="1"/>
  <c r="E273" i="2"/>
  <c r="F273" i="2" s="1"/>
  <c r="C551" i="13"/>
  <c r="D551" i="13" s="1"/>
  <c r="C558" i="13"/>
  <c r="D558" i="13" s="1"/>
  <c r="C566" i="13"/>
  <c r="D566" i="13" s="1"/>
  <c r="C573" i="13"/>
  <c r="D573" i="13" s="1"/>
  <c r="C589" i="13"/>
  <c r="D589" i="13" s="1"/>
  <c r="C541" i="13"/>
  <c r="D541" i="13" s="1"/>
  <c r="C567" i="13"/>
  <c r="D567" i="13" s="1"/>
  <c r="C574" i="13"/>
  <c r="D574" i="13" s="1"/>
  <c r="C590" i="13"/>
  <c r="D590" i="13" s="1"/>
  <c r="C560" i="13"/>
  <c r="D560" i="13" s="1"/>
  <c r="E270" i="2"/>
  <c r="F270" i="2" s="1"/>
  <c r="C555" i="13"/>
  <c r="D555" i="13" s="1"/>
  <c r="C578" i="13"/>
  <c r="D578" i="13" s="1"/>
  <c r="C547" i="13"/>
  <c r="D547" i="13" s="1"/>
  <c r="C594" i="13"/>
  <c r="D594" i="13" s="1"/>
  <c r="E271" i="2"/>
  <c r="F271" i="2" s="1"/>
  <c r="C556" i="13"/>
  <c r="D556" i="13" s="1"/>
  <c r="C579" i="13"/>
  <c r="D579" i="13" s="1"/>
  <c r="C535" i="13"/>
  <c r="D535" i="13" s="1"/>
  <c r="E266" i="2"/>
  <c r="F266" i="2" s="1"/>
  <c r="C559" i="13"/>
  <c r="D559" i="13" s="1"/>
  <c r="E267" i="2"/>
  <c r="F267" i="2" s="1"/>
  <c r="E265" i="2"/>
  <c r="F265" i="2" s="1"/>
  <c r="E272" i="2"/>
  <c r="F272" i="2" s="1"/>
  <c r="C557" i="13"/>
  <c r="D557" i="13" s="1"/>
  <c r="C580" i="13"/>
  <c r="D580" i="13" s="1"/>
  <c r="C588" i="13"/>
  <c r="D588" i="13" s="1"/>
  <c r="C540" i="13"/>
  <c r="D540" i="13" s="1"/>
  <c r="C552" i="13"/>
  <c r="D552" i="13" s="1"/>
  <c r="C568" i="13"/>
  <c r="D568" i="13" s="1"/>
  <c r="C591" i="13"/>
  <c r="D591" i="13" s="1"/>
  <c r="E274" i="2"/>
  <c r="F274" i="2" s="1"/>
  <c r="C542" i="13"/>
  <c r="D542" i="13" s="1"/>
  <c r="C536" i="13"/>
  <c r="D536" i="13" s="1"/>
  <c r="C561" i="13"/>
  <c r="D561" i="13" s="1"/>
  <c r="C575" i="13"/>
  <c r="D575" i="13" s="1"/>
  <c r="C586" i="13"/>
  <c r="D586" i="13" s="1"/>
  <c r="C543" i="13"/>
  <c r="D543" i="13" s="1"/>
  <c r="C537" i="13"/>
  <c r="D537" i="13" s="1"/>
  <c r="C564" i="13"/>
  <c r="D564" i="13" s="1"/>
  <c r="C548" i="13"/>
  <c r="D548" i="13" s="1"/>
  <c r="C581" i="13"/>
  <c r="D581" i="13" s="1"/>
  <c r="C582" i="13"/>
  <c r="D582" i="13" s="1"/>
  <c r="C549" i="13"/>
  <c r="D549" i="13" s="1"/>
  <c r="C563" i="13"/>
  <c r="D563" i="13" s="1"/>
  <c r="C570" i="13"/>
  <c r="D570" i="13" s="1"/>
  <c r="C553" i="13"/>
  <c r="D553" i="13" s="1"/>
  <c r="C587" i="13"/>
  <c r="D587" i="13" s="1"/>
  <c r="C538" i="13"/>
  <c r="D538" i="13" s="1"/>
  <c r="C565" i="13"/>
  <c r="D565" i="13" s="1"/>
  <c r="C583" i="13"/>
  <c r="D583" i="13" s="1"/>
  <c r="C571" i="13"/>
  <c r="D571" i="13" s="1"/>
  <c r="C554" i="13"/>
  <c r="D554" i="13" s="1"/>
  <c r="C550" i="13"/>
  <c r="D550" i="13" s="1"/>
  <c r="C576" i="13"/>
  <c r="D576" i="13" s="1"/>
  <c r="C572" i="13"/>
  <c r="D572" i="13" s="1"/>
  <c r="C539" i="13"/>
  <c r="D539" i="13" s="1"/>
  <c r="F499" i="13"/>
  <c r="C218" i="13"/>
  <c r="D218" i="13" s="1"/>
  <c r="C217" i="13"/>
  <c r="D217" i="13" s="1"/>
  <c r="C216" i="13"/>
  <c r="D216" i="13" s="1"/>
  <c r="C222" i="13"/>
  <c r="D222" i="13" s="1"/>
  <c r="C221" i="13"/>
  <c r="D221" i="13" s="1"/>
  <c r="C223" i="13"/>
  <c r="D223" i="13" s="1"/>
  <c r="C215" i="13"/>
  <c r="D215" i="13" s="1"/>
  <c r="C214" i="13"/>
  <c r="D214" i="13" s="1"/>
  <c r="C124" i="13"/>
  <c r="D124" i="13" s="1"/>
  <c r="C220" i="13"/>
  <c r="D220" i="13" s="1"/>
  <c r="C219" i="13"/>
  <c r="D219" i="13" s="1"/>
  <c r="C479" i="13"/>
  <c r="D479" i="13" s="1"/>
  <c r="C480" i="13"/>
  <c r="D480" i="13" s="1"/>
  <c r="C227" i="13"/>
  <c r="D227" i="13" s="1"/>
  <c r="F227" i="13" s="1"/>
  <c r="F324" i="2"/>
  <c r="G324" i="2" s="1"/>
  <c r="L324" i="2"/>
  <c r="M324" i="2" s="1"/>
  <c r="D150" i="2"/>
  <c r="E150" i="2" s="1"/>
  <c r="G259" i="2"/>
  <c r="H259" i="2" s="1"/>
  <c r="G258" i="2"/>
  <c r="H258" i="2" s="1"/>
  <c r="L302" i="2"/>
  <c r="Q302" i="2" s="1"/>
  <c r="L301" i="2"/>
  <c r="Q301" i="2" s="1"/>
  <c r="L305" i="2"/>
  <c r="Q305" i="2" s="1"/>
  <c r="L300" i="2"/>
  <c r="Q300" i="2" s="1"/>
  <c r="Y182" i="2"/>
  <c r="AF182" i="2" s="1"/>
  <c r="L308" i="2"/>
  <c r="Q308" i="2" s="1"/>
  <c r="C465" i="13"/>
  <c r="D465" i="13" s="1"/>
  <c r="L304" i="2"/>
  <c r="Q304" i="2" s="1"/>
  <c r="Z182" i="2"/>
  <c r="AG182" i="2" s="1"/>
  <c r="L303" i="2"/>
  <c r="Q303" i="2" s="1"/>
  <c r="L307" i="2"/>
  <c r="Q307" i="2" s="1"/>
  <c r="AB182" i="2"/>
  <c r="AI182" i="2" s="1"/>
  <c r="W182" i="2"/>
  <c r="AD182" i="2" s="1"/>
  <c r="C466" i="13"/>
  <c r="D466" i="13" s="1"/>
  <c r="L306" i="2"/>
  <c r="Q306" i="2" s="1"/>
  <c r="AC182" i="2"/>
  <c r="AJ182" i="2" s="1"/>
  <c r="X182" i="2"/>
  <c r="AE182" i="2" s="1"/>
  <c r="AD348" i="2"/>
  <c r="AQ348" i="2" s="1"/>
  <c r="AE349" i="2"/>
  <c r="AR349" i="2" s="1"/>
  <c r="C525" i="13"/>
  <c r="D525" i="13" s="1"/>
  <c r="C521" i="13"/>
  <c r="D521" i="13" s="1"/>
  <c r="C526" i="13"/>
  <c r="D526" i="13" s="1"/>
  <c r="C529" i="13"/>
  <c r="D529" i="13" s="1"/>
  <c r="C532" i="13"/>
  <c r="D532" i="13" s="1"/>
  <c r="C520" i="13"/>
  <c r="D520" i="13" s="1"/>
  <c r="C524" i="13"/>
  <c r="D524" i="13" s="1"/>
  <c r="AF349" i="2"/>
  <c r="AS349" i="2" s="1"/>
  <c r="C527" i="13"/>
  <c r="D527" i="13" s="1"/>
  <c r="C530" i="13"/>
  <c r="D530" i="13" s="1"/>
  <c r="C518" i="13"/>
  <c r="D518" i="13" s="1"/>
  <c r="C522" i="13"/>
  <c r="D522" i="13" s="1"/>
  <c r="AC348" i="2"/>
  <c r="AP348" i="2" s="1"/>
  <c r="AD349" i="2"/>
  <c r="AQ349" i="2" s="1"/>
  <c r="AB348" i="2"/>
  <c r="AO348" i="2" s="1"/>
  <c r="AF348" i="2"/>
  <c r="AS348" i="2" s="1"/>
  <c r="AC349" i="2"/>
  <c r="AP349" i="2" s="1"/>
  <c r="C528" i="13"/>
  <c r="D528" i="13" s="1"/>
  <c r="C531" i="13"/>
  <c r="D531" i="13" s="1"/>
  <c r="C519" i="13"/>
  <c r="D519" i="13" s="1"/>
  <c r="C523" i="13"/>
  <c r="D523" i="13" s="1"/>
  <c r="AE348" i="2"/>
  <c r="AR348" i="2" s="1"/>
  <c r="AB349" i="2"/>
  <c r="AO349" i="2" s="1"/>
  <c r="C489" i="13"/>
  <c r="D489" i="13" s="1"/>
  <c r="C497" i="13"/>
  <c r="D497" i="13" s="1"/>
  <c r="C505" i="13"/>
  <c r="D505" i="13" s="1"/>
  <c r="C513" i="13"/>
  <c r="D513" i="13" s="1"/>
  <c r="C508" i="13"/>
  <c r="D508" i="13" s="1"/>
  <c r="C501" i="13"/>
  <c r="D501" i="13" s="1"/>
  <c r="C495" i="13"/>
  <c r="D495" i="13" s="1"/>
  <c r="C512" i="13"/>
  <c r="D512" i="13" s="1"/>
  <c r="C490" i="13"/>
  <c r="D490" i="13" s="1"/>
  <c r="C498" i="13"/>
  <c r="D498" i="13" s="1"/>
  <c r="C506" i="13"/>
  <c r="D506" i="13" s="1"/>
  <c r="C514" i="13"/>
  <c r="D514" i="13" s="1"/>
  <c r="C491" i="13"/>
  <c r="D491" i="13" s="1"/>
  <c r="C507" i="13"/>
  <c r="D507" i="13" s="1"/>
  <c r="C515" i="13"/>
  <c r="D515" i="13" s="1"/>
  <c r="C488" i="13"/>
  <c r="D488" i="13" s="1"/>
  <c r="C503" i="13"/>
  <c r="D503" i="13" s="1"/>
  <c r="C511" i="13"/>
  <c r="D511" i="13" s="1"/>
  <c r="C496" i="13"/>
  <c r="D496" i="13" s="1"/>
  <c r="C504" i="13"/>
  <c r="D504" i="13" s="1"/>
  <c r="C492" i="13"/>
  <c r="D492" i="13" s="1"/>
  <c r="C500" i="13"/>
  <c r="D500" i="13" s="1"/>
  <c r="C516" i="13"/>
  <c r="D516" i="13" s="1"/>
  <c r="C509" i="13"/>
  <c r="D509" i="13" s="1"/>
  <c r="C502" i="13"/>
  <c r="D502" i="13" s="1"/>
  <c r="C510" i="13"/>
  <c r="D510" i="13" s="1"/>
  <c r="C493" i="13"/>
  <c r="D493" i="13" s="1"/>
  <c r="C494" i="13"/>
  <c r="D494" i="13" s="1"/>
  <c r="Y73" i="2"/>
  <c r="AH73" i="2" s="1"/>
  <c r="X74" i="2"/>
  <c r="AG74" i="2" s="1"/>
  <c r="W75" i="2"/>
  <c r="AF75" i="2" s="1"/>
  <c r="V76" i="2"/>
  <c r="AE76" i="2" s="1"/>
  <c r="AD76" i="2"/>
  <c r="AM76" i="2" s="1"/>
  <c r="AC77" i="2"/>
  <c r="AL77" i="2" s="1"/>
  <c r="AB78" i="2"/>
  <c r="AK78" i="2" s="1"/>
  <c r="AA79" i="2"/>
  <c r="AJ79" i="2" s="1"/>
  <c r="Z80" i="2"/>
  <c r="AI80" i="2" s="1"/>
  <c r="Y81" i="2"/>
  <c r="AH81" i="2" s="1"/>
  <c r="X82" i="2"/>
  <c r="AG82" i="2" s="1"/>
  <c r="W83" i="2"/>
  <c r="AF83" i="2" s="1"/>
  <c r="V84" i="2"/>
  <c r="AE84" i="2" s="1"/>
  <c r="AD84" i="2"/>
  <c r="AM84" i="2" s="1"/>
  <c r="AC85" i="2"/>
  <c r="AL85" i="2" s="1"/>
  <c r="AB86" i="2"/>
  <c r="AK86" i="2" s="1"/>
  <c r="AA87" i="2"/>
  <c r="AJ87" i="2" s="1"/>
  <c r="Z88" i="2"/>
  <c r="AI88" i="2" s="1"/>
  <c r="Y89" i="2"/>
  <c r="AH89" i="2" s="1"/>
  <c r="V92" i="2"/>
  <c r="AE92" i="2" s="1"/>
  <c r="AB73" i="2"/>
  <c r="AK73" i="2" s="1"/>
  <c r="X85" i="2"/>
  <c r="AG85" i="2" s="1"/>
  <c r="AB74" i="2"/>
  <c r="AK74" i="2" s="1"/>
  <c r="Y77" i="2"/>
  <c r="AH77" i="2" s="1"/>
  <c r="AD80" i="2"/>
  <c r="AM80" i="2" s="1"/>
  <c r="Z84" i="2"/>
  <c r="AI84" i="2" s="1"/>
  <c r="V88" i="2"/>
  <c r="AE88" i="2" s="1"/>
  <c r="AC74" i="2"/>
  <c r="AL74" i="2" s="1"/>
  <c r="AA76" i="2"/>
  <c r="AJ76" i="2" s="1"/>
  <c r="X79" i="2"/>
  <c r="AG79" i="2" s="1"/>
  <c r="AB83" i="2"/>
  <c r="AK83" i="2" s="1"/>
  <c r="Y86" i="2"/>
  <c r="AH86" i="2" s="1"/>
  <c r="V89" i="2"/>
  <c r="AE89" i="2" s="1"/>
  <c r="Z73" i="2"/>
  <c r="AI73" i="2" s="1"/>
  <c r="Y74" i="2"/>
  <c r="AH74" i="2" s="1"/>
  <c r="X75" i="2"/>
  <c r="AG75" i="2" s="1"/>
  <c r="W76" i="2"/>
  <c r="AF76" i="2" s="1"/>
  <c r="V77" i="2"/>
  <c r="AE77" i="2" s="1"/>
  <c r="AD77" i="2"/>
  <c r="AM77" i="2" s="1"/>
  <c r="AC78" i="2"/>
  <c r="AL78" i="2" s="1"/>
  <c r="AB79" i="2"/>
  <c r="AK79" i="2" s="1"/>
  <c r="AA80" i="2"/>
  <c r="AJ80" i="2" s="1"/>
  <c r="Z81" i="2"/>
  <c r="AI81" i="2" s="1"/>
  <c r="Y82" i="2"/>
  <c r="AH82" i="2" s="1"/>
  <c r="X83" i="2"/>
  <c r="AG83" i="2" s="1"/>
  <c r="W84" i="2"/>
  <c r="AF84" i="2" s="1"/>
  <c r="V85" i="2"/>
  <c r="AE85" i="2" s="1"/>
  <c r="AD85" i="2"/>
  <c r="AM85" i="2" s="1"/>
  <c r="AC86" i="2"/>
  <c r="AL86" i="2" s="1"/>
  <c r="AB87" i="2"/>
  <c r="AK87" i="2" s="1"/>
  <c r="AA88" i="2"/>
  <c r="AJ88" i="2" s="1"/>
  <c r="Z89" i="2"/>
  <c r="AI89" i="2" s="1"/>
  <c r="AA74" i="2"/>
  <c r="AJ74" i="2" s="1"/>
  <c r="Z75" i="2"/>
  <c r="AI75" i="2" s="1"/>
  <c r="X77" i="2"/>
  <c r="AG77" i="2" s="1"/>
  <c r="W78" i="2"/>
  <c r="AF78" i="2" s="1"/>
  <c r="AD79" i="2"/>
  <c r="AM79" i="2" s="1"/>
  <c r="AB81" i="2"/>
  <c r="AK81" i="2" s="1"/>
  <c r="Z83" i="2"/>
  <c r="AI83" i="2" s="1"/>
  <c r="W86" i="2"/>
  <c r="AF86" i="2" s="1"/>
  <c r="AC88" i="2"/>
  <c r="AL88" i="2" s="1"/>
  <c r="Z76" i="2"/>
  <c r="AI76" i="2" s="1"/>
  <c r="W79" i="2"/>
  <c r="AF79" i="2" s="1"/>
  <c r="AC81" i="2"/>
  <c r="AL81" i="2" s="1"/>
  <c r="AA83" i="2"/>
  <c r="AJ83" i="2" s="1"/>
  <c r="Y85" i="2"/>
  <c r="AH85" i="2" s="1"/>
  <c r="W87" i="2"/>
  <c r="AF87" i="2" s="1"/>
  <c r="AC89" i="2"/>
  <c r="AL89" i="2" s="1"/>
  <c r="AD73" i="2"/>
  <c r="AM73" i="2" s="1"/>
  <c r="Y78" i="2"/>
  <c r="AH78" i="2" s="1"/>
  <c r="V81" i="2"/>
  <c r="AE81" i="2" s="1"/>
  <c r="AC82" i="2"/>
  <c r="AL82" i="2" s="1"/>
  <c r="Z85" i="2"/>
  <c r="AI85" i="2" s="1"/>
  <c r="W88" i="2"/>
  <c r="AF88" i="2" s="1"/>
  <c r="W73" i="2"/>
  <c r="AF73" i="2" s="1"/>
  <c r="AD74" i="2"/>
  <c r="AM74" i="2" s="1"/>
  <c r="AB76" i="2"/>
  <c r="AK76" i="2" s="1"/>
  <c r="Z78" i="2"/>
  <c r="AI78" i="2" s="1"/>
  <c r="X80" i="2"/>
  <c r="AG80" i="2" s="1"/>
  <c r="V82" i="2"/>
  <c r="AE82" i="2" s="1"/>
  <c r="AC83" i="2"/>
  <c r="AL83" i="2" s="1"/>
  <c r="AA85" i="2"/>
  <c r="AJ85" i="2" s="1"/>
  <c r="Y87" i="2"/>
  <c r="AH87" i="2" s="1"/>
  <c r="W89" i="2"/>
  <c r="AF89" i="2" s="1"/>
  <c r="W74" i="2"/>
  <c r="AF74" i="2" s="1"/>
  <c r="AD75" i="2"/>
  <c r="AM75" i="2" s="1"/>
  <c r="AA78" i="2"/>
  <c r="AJ78" i="2" s="1"/>
  <c r="Y80" i="2"/>
  <c r="AH80" i="2" s="1"/>
  <c r="V83" i="2"/>
  <c r="AE83" i="2" s="1"/>
  <c r="AC84" i="2"/>
  <c r="AL84" i="2" s="1"/>
  <c r="AA86" i="2"/>
  <c r="AJ86" i="2" s="1"/>
  <c r="Y88" i="2"/>
  <c r="AH88" i="2" s="1"/>
  <c r="V91" i="2"/>
  <c r="AE91" i="2" s="1"/>
  <c r="AA73" i="2"/>
  <c r="AJ73" i="2" s="1"/>
  <c r="Z74" i="2"/>
  <c r="AI74" i="2" s="1"/>
  <c r="Y75" i="2"/>
  <c r="AH75" i="2" s="1"/>
  <c r="X76" i="2"/>
  <c r="AG76" i="2" s="1"/>
  <c r="W77" i="2"/>
  <c r="AF77" i="2" s="1"/>
  <c r="V78" i="2"/>
  <c r="AE78" i="2" s="1"/>
  <c r="AD78" i="2"/>
  <c r="AM78" i="2" s="1"/>
  <c r="AC79" i="2"/>
  <c r="AL79" i="2" s="1"/>
  <c r="AB80" i="2"/>
  <c r="AK80" i="2" s="1"/>
  <c r="AA81" i="2"/>
  <c r="AJ81" i="2" s="1"/>
  <c r="Z82" i="2"/>
  <c r="AI82" i="2" s="1"/>
  <c r="Y83" i="2"/>
  <c r="AH83" i="2" s="1"/>
  <c r="X84" i="2"/>
  <c r="AG84" i="2" s="1"/>
  <c r="W85" i="2"/>
  <c r="AF85" i="2" s="1"/>
  <c r="V86" i="2"/>
  <c r="AE86" i="2" s="1"/>
  <c r="AD86" i="2"/>
  <c r="AM86" i="2" s="1"/>
  <c r="AC87" i="2"/>
  <c r="AL87" i="2" s="1"/>
  <c r="AB88" i="2"/>
  <c r="AK88" i="2" s="1"/>
  <c r="AA89" i="2"/>
  <c r="AJ89" i="2" s="1"/>
  <c r="Y76" i="2"/>
  <c r="AH76" i="2" s="1"/>
  <c r="V79" i="2"/>
  <c r="AE79" i="2" s="1"/>
  <c r="AC80" i="2"/>
  <c r="AL80" i="2" s="1"/>
  <c r="AA82" i="2"/>
  <c r="AJ82" i="2" s="1"/>
  <c r="Y84" i="2"/>
  <c r="AH84" i="2" s="1"/>
  <c r="V87" i="2"/>
  <c r="AE87" i="2" s="1"/>
  <c r="AD87" i="2"/>
  <c r="AM87" i="2" s="1"/>
  <c r="AB89" i="2"/>
  <c r="AK89" i="2" s="1"/>
  <c r="AC73" i="2"/>
  <c r="AL73" i="2" s="1"/>
  <c r="AA75" i="2"/>
  <c r="AJ75" i="2" s="1"/>
  <c r="X78" i="2"/>
  <c r="AG78" i="2" s="1"/>
  <c r="V80" i="2"/>
  <c r="AE80" i="2" s="1"/>
  <c r="AB82" i="2"/>
  <c r="AK82" i="2" s="1"/>
  <c r="X86" i="2"/>
  <c r="AG86" i="2" s="1"/>
  <c r="AD88" i="2"/>
  <c r="AM88" i="2" s="1"/>
  <c r="V73" i="2"/>
  <c r="AE73" i="2" s="1"/>
  <c r="AB75" i="2"/>
  <c r="AK75" i="2" s="1"/>
  <c r="Z77" i="2"/>
  <c r="AI77" i="2" s="1"/>
  <c r="W80" i="2"/>
  <c r="AF80" i="2" s="1"/>
  <c r="AD81" i="2"/>
  <c r="AM81" i="2" s="1"/>
  <c r="AA84" i="2"/>
  <c r="AJ84" i="2" s="1"/>
  <c r="X87" i="2"/>
  <c r="AG87" i="2" s="1"/>
  <c r="AD89" i="2"/>
  <c r="AM89" i="2" s="1"/>
  <c r="V74" i="2"/>
  <c r="AE74" i="2" s="1"/>
  <c r="AC75" i="2"/>
  <c r="AL75" i="2" s="1"/>
  <c r="AA77" i="2"/>
  <c r="AJ77" i="2" s="1"/>
  <c r="Y79" i="2"/>
  <c r="AH79" i="2" s="1"/>
  <c r="W81" i="2"/>
  <c r="AF81" i="2" s="1"/>
  <c r="AD82" i="2"/>
  <c r="AM82" i="2" s="1"/>
  <c r="AB84" i="2"/>
  <c r="AK84" i="2" s="1"/>
  <c r="Z86" i="2"/>
  <c r="AI86" i="2" s="1"/>
  <c r="X88" i="2"/>
  <c r="AG88" i="2" s="1"/>
  <c r="V90" i="2"/>
  <c r="AE90" i="2" s="1"/>
  <c r="X73" i="2"/>
  <c r="AG73" i="2" s="1"/>
  <c r="V75" i="2"/>
  <c r="AE75" i="2" s="1"/>
  <c r="AC76" i="2"/>
  <c r="AL76" i="2" s="1"/>
  <c r="AB77" i="2"/>
  <c r="AK77" i="2" s="1"/>
  <c r="Z79" i="2"/>
  <c r="AI79" i="2" s="1"/>
  <c r="X81" i="2"/>
  <c r="AG81" i="2" s="1"/>
  <c r="W82" i="2"/>
  <c r="AF82" i="2" s="1"/>
  <c r="AD83" i="2"/>
  <c r="AM83" i="2" s="1"/>
  <c r="AB85" i="2"/>
  <c r="AK85" i="2" s="1"/>
  <c r="Z87" i="2"/>
  <c r="AI87" i="2" s="1"/>
  <c r="X89" i="2"/>
  <c r="AG89" i="2" s="1"/>
  <c r="W91" i="2"/>
  <c r="AF91" i="2" s="1"/>
  <c r="W92" i="2"/>
  <c r="AF92" i="2" s="1"/>
  <c r="W90" i="2"/>
  <c r="AF90" i="2" s="1"/>
  <c r="X90" i="2"/>
  <c r="AG90" i="2" s="1"/>
  <c r="X91" i="2"/>
  <c r="AG91" i="2" s="1"/>
  <c r="X92" i="2"/>
  <c r="AG92" i="2" s="1"/>
  <c r="Y90" i="2"/>
  <c r="AH90" i="2" s="1"/>
  <c r="Y91" i="2"/>
  <c r="AH91" i="2" s="1"/>
  <c r="Y92" i="2"/>
  <c r="AH92" i="2" s="1"/>
  <c r="Z91" i="2"/>
  <c r="AI91" i="2" s="1"/>
  <c r="Z92" i="2"/>
  <c r="AI92" i="2" s="1"/>
  <c r="Z90" i="2"/>
  <c r="AI90" i="2" s="1"/>
  <c r="AA92" i="2"/>
  <c r="AJ92" i="2" s="1"/>
  <c r="AA90" i="2"/>
  <c r="AJ90" i="2" s="1"/>
  <c r="AA91" i="2"/>
  <c r="AJ91" i="2" s="1"/>
  <c r="AB91" i="2"/>
  <c r="AK91" i="2" s="1"/>
  <c r="AB92" i="2"/>
  <c r="AK92" i="2" s="1"/>
  <c r="AB90" i="2"/>
  <c r="AK90" i="2" s="1"/>
  <c r="AC91" i="2"/>
  <c r="AL91" i="2" s="1"/>
  <c r="AC92" i="2"/>
  <c r="AL92" i="2" s="1"/>
  <c r="AC90" i="2"/>
  <c r="AL90" i="2" s="1"/>
  <c r="AD90" i="2"/>
  <c r="AM90" i="2" s="1"/>
  <c r="AD92" i="2"/>
  <c r="AM92" i="2" s="1"/>
  <c r="AD91" i="2"/>
  <c r="AM91" i="2" s="1"/>
  <c r="G232" i="2"/>
  <c r="H232" i="2" s="1"/>
  <c r="G233" i="2"/>
  <c r="H233" i="2" s="1"/>
  <c r="G234" i="2"/>
  <c r="H234" i="2" s="1"/>
  <c r="G228" i="2"/>
  <c r="H228" i="2" s="1"/>
  <c r="G227" i="2"/>
  <c r="H227" i="2" s="1"/>
  <c r="G229" i="2"/>
  <c r="H229" i="2" s="1"/>
  <c r="G231" i="2"/>
  <c r="H231" i="2" s="1"/>
  <c r="G230" i="2"/>
  <c r="H230" i="2" s="1"/>
  <c r="C487" i="13"/>
  <c r="D487" i="13" s="1"/>
  <c r="C473" i="13"/>
  <c r="D473" i="13" s="1"/>
  <c r="C471" i="13"/>
  <c r="D471" i="13" s="1"/>
  <c r="C472" i="13"/>
  <c r="D472" i="13" s="1"/>
  <c r="C481" i="13"/>
  <c r="D481" i="13" s="1"/>
  <c r="C474" i="13"/>
  <c r="D474" i="13" s="1"/>
  <c r="C482" i="13"/>
  <c r="D482" i="13" s="1"/>
  <c r="C475" i="13"/>
  <c r="D475" i="13" s="1"/>
  <c r="C483" i="13"/>
  <c r="D483" i="13" s="1"/>
  <c r="C476" i="13"/>
  <c r="D476" i="13" s="1"/>
  <c r="C485" i="13"/>
  <c r="D485" i="13" s="1"/>
  <c r="C477" i="13"/>
  <c r="D477" i="13" s="1"/>
  <c r="C486" i="13"/>
  <c r="D486" i="13" s="1"/>
  <c r="C478" i="13"/>
  <c r="D478" i="13" s="1"/>
  <c r="C470" i="13"/>
  <c r="D470" i="13" s="1"/>
  <c r="C464" i="13"/>
  <c r="D464" i="13" s="1"/>
  <c r="D443" i="13"/>
  <c r="D420" i="13"/>
  <c r="D397" i="13"/>
  <c r="D401" i="13"/>
  <c r="D422" i="13"/>
  <c r="D430" i="13"/>
  <c r="D429" i="13"/>
  <c r="D456" i="13"/>
  <c r="D386" i="13"/>
  <c r="D395" i="13"/>
  <c r="D418" i="13"/>
  <c r="D439" i="13"/>
  <c r="C337" i="13"/>
  <c r="D337" i="13" s="1"/>
  <c r="C306" i="13"/>
  <c r="D306" i="13" s="1"/>
  <c r="D412" i="13"/>
  <c r="D407" i="13"/>
  <c r="D416" i="13"/>
  <c r="D402" i="13"/>
  <c r="D446" i="13"/>
  <c r="D444" i="13"/>
  <c r="D453" i="13"/>
  <c r="D457" i="13"/>
  <c r="D396" i="13"/>
  <c r="D419" i="13"/>
  <c r="D441" i="13"/>
  <c r="D459" i="13"/>
  <c r="D388" i="13"/>
  <c r="D410" i="13"/>
  <c r="D432" i="13"/>
  <c r="C379" i="13"/>
  <c r="D379" i="13" s="1"/>
  <c r="D461" i="13"/>
  <c r="D455" i="13"/>
  <c r="D462" i="13"/>
  <c r="C246" i="13"/>
  <c r="D246" i="13" s="1"/>
  <c r="D421" i="13"/>
  <c r="D392" i="13"/>
  <c r="D404" i="13"/>
  <c r="D393" i="13"/>
  <c r="D408" i="13"/>
  <c r="D452" i="13"/>
  <c r="D426" i="13"/>
  <c r="D442" i="13"/>
  <c r="D449" i="13"/>
  <c r="D435" i="13"/>
  <c r="D463" i="13"/>
  <c r="D437" i="13"/>
  <c r="D438" i="13"/>
  <c r="D399" i="13"/>
  <c r="D450" i="13"/>
  <c r="D398" i="13"/>
  <c r="D460" i="13"/>
  <c r="D389" i="13"/>
  <c r="D411" i="13"/>
  <c r="D433" i="13"/>
  <c r="D454" i="13"/>
  <c r="C377" i="13"/>
  <c r="D377" i="13" s="1"/>
  <c r="D405" i="13"/>
  <c r="D414" i="13"/>
  <c r="D427" i="13"/>
  <c r="D415" i="13"/>
  <c r="D423" i="13"/>
  <c r="D400" i="13"/>
  <c r="D425" i="13"/>
  <c r="D390" i="13"/>
  <c r="D434" i="13"/>
  <c r="C370" i="13"/>
  <c r="D370" i="13" s="1"/>
  <c r="D391" i="13"/>
  <c r="C362" i="13"/>
  <c r="D362" i="13" s="1"/>
  <c r="D445" i="13"/>
  <c r="C385" i="13"/>
  <c r="D385" i="13" s="1"/>
  <c r="D448" i="13"/>
  <c r="D403" i="13"/>
  <c r="C276" i="13"/>
  <c r="D276" i="13" s="1"/>
  <c r="C292" i="13"/>
  <c r="D292" i="13" s="1"/>
  <c r="C349" i="13"/>
  <c r="D349" i="13" s="1"/>
  <c r="C322" i="13"/>
  <c r="D322" i="13" s="1"/>
  <c r="C261" i="13"/>
  <c r="D261" i="13" s="1"/>
  <c r="C253" i="13"/>
  <c r="D253" i="13" s="1"/>
  <c r="C309" i="13"/>
  <c r="D309" i="13" s="1"/>
  <c r="C265" i="13"/>
  <c r="D265" i="13" s="1"/>
  <c r="C268" i="13"/>
  <c r="D268" i="13" s="1"/>
  <c r="C259" i="13"/>
  <c r="D259" i="13" s="1"/>
  <c r="C266" i="13"/>
  <c r="D266" i="13" s="1"/>
  <c r="C263" i="13"/>
  <c r="D263" i="13" s="1"/>
  <c r="C260" i="13"/>
  <c r="D260" i="13" s="1"/>
  <c r="C264" i="13"/>
  <c r="D264" i="13" s="1"/>
  <c r="C267" i="13"/>
  <c r="D267" i="13" s="1"/>
  <c r="C258" i="13"/>
  <c r="D258" i="13" s="1"/>
  <c r="C262" i="13"/>
  <c r="D262" i="13" s="1"/>
  <c r="C270" i="13"/>
  <c r="D270" i="13" s="1"/>
  <c r="C325" i="13"/>
  <c r="D325" i="13" s="1"/>
  <c r="C257" i="13"/>
  <c r="D257" i="13" s="1"/>
  <c r="C269" i="13"/>
  <c r="D269" i="13" s="1"/>
  <c r="C233" i="13"/>
  <c r="D233" i="13" s="1"/>
  <c r="C241" i="13"/>
  <c r="D241" i="13" s="1"/>
  <c r="C250" i="13"/>
  <c r="D250" i="13" s="1"/>
  <c r="C304" i="13"/>
  <c r="D304" i="13" s="1"/>
  <c r="C315" i="13"/>
  <c r="D315" i="13" s="1"/>
  <c r="C340" i="13"/>
  <c r="D340" i="13" s="1"/>
  <c r="C360" i="13"/>
  <c r="D360" i="13" s="1"/>
  <c r="C369" i="13"/>
  <c r="D369" i="13" s="1"/>
  <c r="C380" i="13"/>
  <c r="D380" i="13" s="1"/>
  <c r="C231" i="13"/>
  <c r="D231" i="13" s="1"/>
  <c r="C287" i="13"/>
  <c r="D287" i="13" s="1"/>
  <c r="C347" i="13"/>
  <c r="D347" i="13" s="1"/>
  <c r="C232" i="13"/>
  <c r="D232" i="13" s="1"/>
  <c r="C249" i="13"/>
  <c r="D249" i="13" s="1"/>
  <c r="C314" i="13"/>
  <c r="D314" i="13" s="1"/>
  <c r="C368" i="13"/>
  <c r="D368" i="13" s="1"/>
  <c r="C234" i="13"/>
  <c r="D234" i="13" s="1"/>
  <c r="C242" i="13"/>
  <c r="D242" i="13" s="1"/>
  <c r="C251" i="13"/>
  <c r="D251" i="13" s="1"/>
  <c r="C305" i="13"/>
  <c r="D305" i="13" s="1"/>
  <c r="C317" i="13"/>
  <c r="D317" i="13" s="1"/>
  <c r="C341" i="13"/>
  <c r="D341" i="13" s="1"/>
  <c r="C361" i="13"/>
  <c r="D361" i="13" s="1"/>
  <c r="C371" i="13"/>
  <c r="D371" i="13" s="1"/>
  <c r="C381" i="13"/>
  <c r="D381" i="13" s="1"/>
  <c r="C235" i="13"/>
  <c r="D235" i="13" s="1"/>
  <c r="C243" i="13"/>
  <c r="D243" i="13" s="1"/>
  <c r="C252" i="13"/>
  <c r="D252" i="13" s="1"/>
  <c r="C307" i="13"/>
  <c r="D307" i="13" s="1"/>
  <c r="C318" i="13"/>
  <c r="D318" i="13" s="1"/>
  <c r="C342" i="13"/>
  <c r="D342" i="13" s="1"/>
  <c r="C363" i="13"/>
  <c r="D363" i="13" s="1"/>
  <c r="C372" i="13"/>
  <c r="D372" i="13" s="1"/>
  <c r="C382" i="13"/>
  <c r="D382" i="13" s="1"/>
  <c r="C255" i="13"/>
  <c r="D255" i="13" s="1"/>
  <c r="C374" i="13"/>
  <c r="D374" i="13" s="1"/>
  <c r="C376" i="13"/>
  <c r="D376" i="13" s="1"/>
  <c r="C303" i="13"/>
  <c r="D303" i="13" s="1"/>
  <c r="C378" i="13"/>
  <c r="D378" i="13" s="1"/>
  <c r="C236" i="13"/>
  <c r="D236" i="13" s="1"/>
  <c r="C244" i="13"/>
  <c r="D244" i="13" s="1"/>
  <c r="C254" i="13"/>
  <c r="D254" i="13" s="1"/>
  <c r="C308" i="13"/>
  <c r="D308" i="13" s="1"/>
  <c r="C319" i="13"/>
  <c r="D319" i="13" s="1"/>
  <c r="C343" i="13"/>
  <c r="D343" i="13" s="1"/>
  <c r="C364" i="13"/>
  <c r="D364" i="13" s="1"/>
  <c r="C373" i="13"/>
  <c r="D373" i="13" s="1"/>
  <c r="C383" i="13"/>
  <c r="D383" i="13" s="1"/>
  <c r="C229" i="13"/>
  <c r="D229" i="13" s="1"/>
  <c r="C237" i="13"/>
  <c r="D237" i="13" s="1"/>
  <c r="C245" i="13"/>
  <c r="D245" i="13" s="1"/>
  <c r="C310" i="13"/>
  <c r="D310" i="13" s="1"/>
  <c r="C335" i="13"/>
  <c r="D335" i="13" s="1"/>
  <c r="C345" i="13"/>
  <c r="D345" i="13" s="1"/>
  <c r="C365" i="13"/>
  <c r="D365" i="13" s="1"/>
  <c r="C384" i="13"/>
  <c r="D384" i="13" s="1"/>
  <c r="C239" i="13"/>
  <c r="D239" i="13" s="1"/>
  <c r="C313" i="13"/>
  <c r="D313" i="13" s="1"/>
  <c r="C367" i="13"/>
  <c r="D367" i="13" s="1"/>
  <c r="C230" i="13"/>
  <c r="D230" i="13" s="1"/>
  <c r="C238" i="13"/>
  <c r="D238" i="13" s="1"/>
  <c r="C247" i="13"/>
  <c r="D247" i="13" s="1"/>
  <c r="C271" i="13"/>
  <c r="D271" i="13" s="1"/>
  <c r="C311" i="13"/>
  <c r="D311" i="13" s="1"/>
  <c r="C336" i="13"/>
  <c r="D336" i="13" s="1"/>
  <c r="C346" i="13"/>
  <c r="D346" i="13" s="1"/>
  <c r="C366" i="13"/>
  <c r="D366" i="13" s="1"/>
  <c r="C375" i="13"/>
  <c r="D375" i="13" s="1"/>
  <c r="C228" i="13"/>
  <c r="D228" i="13" s="1"/>
  <c r="C248" i="13"/>
  <c r="D248" i="13" s="1"/>
  <c r="C338" i="13"/>
  <c r="D338" i="13" s="1"/>
  <c r="C469" i="13"/>
  <c r="D469" i="13" s="1"/>
  <c r="C240" i="13"/>
  <c r="D240" i="13" s="1"/>
  <c r="C339" i="13"/>
  <c r="D339" i="13" s="1"/>
  <c r="C359" i="13"/>
  <c r="D359" i="13" s="1"/>
  <c r="C299" i="13"/>
  <c r="D299" i="13" s="1"/>
  <c r="C294" i="13"/>
  <c r="D294" i="13" s="1"/>
  <c r="C354" i="13"/>
  <c r="D354" i="13" s="1"/>
  <c r="C333" i="13"/>
  <c r="D333" i="13" s="1"/>
  <c r="C355" i="13"/>
  <c r="D355" i="13" s="1"/>
  <c r="C331" i="13"/>
  <c r="D331" i="13" s="1"/>
  <c r="C320" i="13"/>
  <c r="D320" i="13" s="1"/>
  <c r="C351" i="13"/>
  <c r="D351" i="13" s="1"/>
  <c r="C286" i="13"/>
  <c r="D286" i="13" s="1"/>
  <c r="C285" i="13"/>
  <c r="D285" i="13" s="1"/>
  <c r="C282" i="13"/>
  <c r="D282" i="13" s="1"/>
  <c r="C274" i="13"/>
  <c r="D274" i="13" s="1"/>
  <c r="C326" i="13"/>
  <c r="D326" i="13" s="1"/>
  <c r="C272" i="13"/>
  <c r="D272" i="13" s="1"/>
  <c r="C273" i="13"/>
  <c r="D273" i="13" s="1"/>
  <c r="C324" i="13"/>
  <c r="D324" i="13" s="1"/>
  <c r="C358" i="13"/>
  <c r="D358" i="13" s="1"/>
  <c r="C297" i="13"/>
  <c r="D297" i="13" s="1"/>
  <c r="C348" i="13"/>
  <c r="D348" i="13" s="1"/>
  <c r="C301" i="13"/>
  <c r="D301" i="13" s="1"/>
  <c r="C293" i="13"/>
  <c r="D293" i="13" s="1"/>
  <c r="C288" i="13"/>
  <c r="D288" i="13" s="1"/>
  <c r="C334" i="13"/>
  <c r="D334" i="13" s="1"/>
  <c r="C350" i="13"/>
  <c r="D350" i="13" s="1"/>
  <c r="C329" i="13"/>
  <c r="D329" i="13" s="1"/>
  <c r="C330" i="13"/>
  <c r="D330" i="13" s="1"/>
  <c r="C283" i="13"/>
  <c r="D283" i="13" s="1"/>
  <c r="C353" i="13"/>
  <c r="D353" i="13" s="1"/>
  <c r="C357" i="13"/>
  <c r="D357" i="13" s="1"/>
  <c r="C291" i="13"/>
  <c r="D291" i="13" s="1"/>
  <c r="C281" i="13"/>
  <c r="D281" i="13" s="1"/>
  <c r="C277" i="13"/>
  <c r="D277" i="13" s="1"/>
  <c r="C321" i="13"/>
  <c r="D321" i="13" s="1"/>
  <c r="C289" i="13"/>
  <c r="D289" i="13" s="1"/>
  <c r="C278" i="13"/>
  <c r="D278" i="13" s="1"/>
  <c r="C302" i="13"/>
  <c r="D302" i="13" s="1"/>
  <c r="C323" i="13"/>
  <c r="D323" i="13" s="1"/>
  <c r="C298" i="13"/>
  <c r="D298" i="13" s="1"/>
  <c r="C295" i="13"/>
  <c r="D295" i="13" s="1"/>
  <c r="C352" i="13"/>
  <c r="D352" i="13" s="1"/>
  <c r="C284" i="13"/>
  <c r="D284" i="13" s="1"/>
  <c r="C290" i="13"/>
  <c r="D290" i="13" s="1"/>
  <c r="C275" i="13"/>
  <c r="D275" i="13" s="1"/>
  <c r="C327" i="13"/>
  <c r="D327" i="13" s="1"/>
  <c r="C300" i="13"/>
  <c r="D300" i="13" s="1"/>
  <c r="L299" i="2"/>
  <c r="Q299" i="2" s="1"/>
  <c r="M299" i="2"/>
  <c r="R299" i="2" s="1"/>
  <c r="N299" i="2"/>
  <c r="S299" i="2" s="1"/>
  <c r="O299" i="2"/>
  <c r="T299" i="2" s="1"/>
  <c r="P299" i="2"/>
  <c r="U299" i="2" s="1"/>
  <c r="C191" i="13"/>
  <c r="C199" i="13"/>
  <c r="C208" i="13"/>
  <c r="C224" i="13"/>
  <c r="C192" i="13"/>
  <c r="C209" i="13"/>
  <c r="C225" i="13"/>
  <c r="C185" i="13"/>
  <c r="C201" i="13"/>
  <c r="C226" i="13"/>
  <c r="C211" i="13"/>
  <c r="C187" i="13"/>
  <c r="C195" i="13"/>
  <c r="C203" i="13"/>
  <c r="C212" i="13"/>
  <c r="C194" i="13"/>
  <c r="C188" i="13"/>
  <c r="C196" i="13"/>
  <c r="C204" i="13"/>
  <c r="C213" i="13"/>
  <c r="C184" i="13"/>
  <c r="C200" i="13"/>
  <c r="C193" i="13"/>
  <c r="C210" i="13"/>
  <c r="C189" i="13"/>
  <c r="C197" i="13"/>
  <c r="C206" i="13"/>
  <c r="C190" i="13"/>
  <c r="C198" i="13"/>
  <c r="C207" i="13"/>
  <c r="C186" i="13"/>
  <c r="C202" i="13"/>
  <c r="C111" i="13"/>
  <c r="C115" i="13"/>
  <c r="C112" i="13"/>
  <c r="C116" i="13"/>
  <c r="C120" i="13"/>
  <c r="C107" i="13"/>
  <c r="C127" i="13"/>
  <c r="C108" i="13"/>
  <c r="C113" i="13"/>
  <c r="C117" i="13"/>
  <c r="C121" i="13"/>
  <c r="C125" i="13"/>
  <c r="C110" i="13"/>
  <c r="C114" i="13"/>
  <c r="C118" i="13"/>
  <c r="C122" i="13"/>
  <c r="C106" i="13"/>
  <c r="C119" i="13"/>
  <c r="C123" i="13"/>
  <c r="C126" i="13"/>
  <c r="C109" i="13"/>
  <c r="L319" i="2"/>
  <c r="L318" i="2"/>
  <c r="L317" i="2"/>
  <c r="L316" i="2"/>
  <c r="L323" i="2"/>
  <c r="L315" i="2"/>
  <c r="L322" i="2"/>
  <c r="L314" i="2"/>
  <c r="L320" i="2"/>
  <c r="L321" i="2"/>
  <c r="G246" i="2"/>
  <c r="D138" i="2"/>
  <c r="E138" i="2" s="1"/>
  <c r="D146" i="2"/>
  <c r="E146" i="2" s="1"/>
  <c r="D131" i="2"/>
  <c r="E131" i="2" s="1"/>
  <c r="D139" i="2"/>
  <c r="E139" i="2" s="1"/>
  <c r="D147" i="2"/>
  <c r="E147" i="2" s="1"/>
  <c r="D149" i="2"/>
  <c r="E149" i="2" s="1"/>
  <c r="D142" i="2"/>
  <c r="E142" i="2" s="1"/>
  <c r="D143" i="2"/>
  <c r="E143" i="2" s="1"/>
  <c r="D136" i="2"/>
  <c r="E136" i="2" s="1"/>
  <c r="D130" i="2"/>
  <c r="E130" i="2" s="1"/>
  <c r="D132" i="2"/>
  <c r="E132" i="2" s="1"/>
  <c r="D140" i="2"/>
  <c r="E140" i="2" s="1"/>
  <c r="D148" i="2"/>
  <c r="E148" i="2" s="1"/>
  <c r="D144" i="2"/>
  <c r="E144" i="2" s="1"/>
  <c r="D145" i="2"/>
  <c r="E145" i="2" s="1"/>
  <c r="D133" i="2"/>
  <c r="E133" i="2" s="1"/>
  <c r="D141" i="2"/>
  <c r="E141" i="2" s="1"/>
  <c r="D134" i="2"/>
  <c r="E134" i="2" s="1"/>
  <c r="D135" i="2"/>
  <c r="E135" i="2" s="1"/>
  <c r="D137" i="2"/>
  <c r="E137" i="2" s="1"/>
  <c r="D151" i="2"/>
  <c r="E151" i="2" s="1"/>
  <c r="D129" i="2"/>
  <c r="E129" i="2" s="1"/>
  <c r="R522" i="4"/>
  <c r="S521" i="4"/>
  <c r="V123" i="2"/>
  <c r="W123" i="2"/>
  <c r="W122" i="2"/>
  <c r="AB122" i="2"/>
  <c r="AC122" i="2"/>
  <c r="Y122" i="2"/>
  <c r="AD122" i="2"/>
  <c r="Z122" i="2"/>
  <c r="V122" i="2"/>
  <c r="AA122" i="2"/>
  <c r="X122" i="2"/>
  <c r="AC72" i="2"/>
  <c r="Y72" i="2"/>
  <c r="AD72" i="2"/>
  <c r="X72" i="2"/>
  <c r="AB72" i="2"/>
  <c r="W72" i="2"/>
  <c r="AA72" i="2"/>
  <c r="V72" i="2"/>
  <c r="Z72" i="2"/>
  <c r="G386" i="2"/>
  <c r="G390" i="2"/>
  <c r="G394" i="2"/>
  <c r="G392" i="2"/>
  <c r="G383" i="2"/>
  <c r="G391" i="2"/>
  <c r="G385" i="2"/>
  <c r="G389" i="2"/>
  <c r="G393" i="2"/>
  <c r="G388" i="2"/>
  <c r="G387" i="2"/>
  <c r="G382" i="2"/>
  <c r="G384" i="2"/>
  <c r="AB346" i="2"/>
  <c r="AH345" i="2"/>
  <c r="AB342" i="2"/>
  <c r="AH346" i="2"/>
  <c r="AB343" i="2"/>
  <c r="AB345" i="2"/>
  <c r="L289" i="2"/>
  <c r="P289" i="2"/>
  <c r="L290" i="2"/>
  <c r="P290" i="2"/>
  <c r="M291" i="2"/>
  <c r="M292" i="2"/>
  <c r="N293" i="2"/>
  <c r="N294" i="2"/>
  <c r="O295" i="2"/>
  <c r="O296" i="2"/>
  <c r="L297" i="2"/>
  <c r="P297" i="2"/>
  <c r="L298" i="2"/>
  <c r="P298" i="2"/>
  <c r="P288" i="2"/>
  <c r="M290" i="2"/>
  <c r="N292" i="2"/>
  <c r="O294" i="2"/>
  <c r="L296" i="2"/>
  <c r="O289" i="2"/>
  <c r="O290" i="2"/>
  <c r="L291" i="2"/>
  <c r="P291" i="2"/>
  <c r="L292" i="2"/>
  <c r="P292" i="2"/>
  <c r="M293" i="2"/>
  <c r="M294" i="2"/>
  <c r="N295" i="2"/>
  <c r="N296" i="2"/>
  <c r="O297" i="2"/>
  <c r="O298" i="2"/>
  <c r="O288" i="2"/>
  <c r="M289" i="2"/>
  <c r="O293" i="2"/>
  <c r="P295" i="2"/>
  <c r="M297" i="2"/>
  <c r="N289" i="2"/>
  <c r="N290" i="2"/>
  <c r="O291" i="2"/>
  <c r="O292" i="2"/>
  <c r="L293" i="2"/>
  <c r="P293" i="2"/>
  <c r="L294" i="2"/>
  <c r="P294" i="2"/>
  <c r="M295" i="2"/>
  <c r="M296" i="2"/>
  <c r="N297" i="2"/>
  <c r="N298" i="2"/>
  <c r="N288" i="2"/>
  <c r="L288" i="2"/>
  <c r="N291" i="2"/>
  <c r="L295" i="2"/>
  <c r="P296" i="2"/>
  <c r="M298" i="2"/>
  <c r="M288" i="2"/>
  <c r="AB329" i="2"/>
  <c r="AF329" i="2"/>
  <c r="AJ329" i="2"/>
  <c r="AN329" i="2"/>
  <c r="AE330" i="2"/>
  <c r="AI330" i="2"/>
  <c r="AM330" i="2"/>
  <c r="AD331" i="2"/>
  <c r="AH331" i="2"/>
  <c r="AL331" i="2"/>
  <c r="AC332" i="2"/>
  <c r="AG332" i="2"/>
  <c r="AK332" i="2"/>
  <c r="AB333" i="2"/>
  <c r="AF333" i="2"/>
  <c r="AJ333" i="2"/>
  <c r="AN333" i="2"/>
  <c r="AE334" i="2"/>
  <c r="AI334" i="2"/>
  <c r="AM334" i="2"/>
  <c r="AD335" i="2"/>
  <c r="AH335" i="2"/>
  <c r="AL335" i="2"/>
  <c r="AC336" i="2"/>
  <c r="AG336" i="2"/>
  <c r="AK336" i="2"/>
  <c r="AB337" i="2"/>
  <c r="AF337" i="2"/>
  <c r="AJ337" i="2"/>
  <c r="AN337" i="2"/>
  <c r="AE338" i="2"/>
  <c r="AI338" i="2"/>
  <c r="AM338" i="2"/>
  <c r="AD339" i="2"/>
  <c r="AH339" i="2"/>
  <c r="AL339" i="2"/>
  <c r="AD328" i="2"/>
  <c r="AH328" i="2"/>
  <c r="AL328" i="2"/>
  <c r="AC329" i="2"/>
  <c r="AG329" i="2"/>
  <c r="AK329" i="2"/>
  <c r="AB330" i="2"/>
  <c r="AF330" i="2"/>
  <c r="AJ330" i="2"/>
  <c r="AE331" i="2"/>
  <c r="AI331" i="2"/>
  <c r="AM331" i="2"/>
  <c r="AH332" i="2"/>
  <c r="AL332" i="2"/>
  <c r="AG333" i="2"/>
  <c r="AB334" i="2"/>
  <c r="AF334" i="2"/>
  <c r="AN334" i="2"/>
  <c r="AI335" i="2"/>
  <c r="AM335" i="2"/>
  <c r="AH336" i="2"/>
  <c r="AL336" i="2"/>
  <c r="AC337" i="2"/>
  <c r="AK337" i="2"/>
  <c r="AF338" i="2"/>
  <c r="AN338" i="2"/>
  <c r="AE339" i="2"/>
  <c r="AM339" i="2"/>
  <c r="AI328" i="2"/>
  <c r="AM328" i="2"/>
  <c r="AB341" i="2"/>
  <c r="AE329" i="2"/>
  <c r="AI329" i="2"/>
  <c r="AM329" i="2"/>
  <c r="AD330" i="2"/>
  <c r="AH330" i="2"/>
  <c r="AL330" i="2"/>
  <c r="AC331" i="2"/>
  <c r="AG331" i="2"/>
  <c r="AK331" i="2"/>
  <c r="AB332" i="2"/>
  <c r="AF332" i="2"/>
  <c r="AJ332" i="2"/>
  <c r="AN332" i="2"/>
  <c r="AE333" i="2"/>
  <c r="AI333" i="2"/>
  <c r="AM333" i="2"/>
  <c r="AD334" i="2"/>
  <c r="AH334" i="2"/>
  <c r="AL334" i="2"/>
  <c r="AC335" i="2"/>
  <c r="AG335" i="2"/>
  <c r="AK335" i="2"/>
  <c r="AB336" i="2"/>
  <c r="AF336" i="2"/>
  <c r="AJ336" i="2"/>
  <c r="AN336" i="2"/>
  <c r="AE337" i="2"/>
  <c r="AI337" i="2"/>
  <c r="AM337" i="2"/>
  <c r="AD338" i="2"/>
  <c r="AH338" i="2"/>
  <c r="AL338" i="2"/>
  <c r="AC339" i="2"/>
  <c r="AG339" i="2"/>
  <c r="AK339" i="2"/>
  <c r="AC328" i="2"/>
  <c r="AG328" i="2"/>
  <c r="AK328" i="2"/>
  <c r="AB328" i="2"/>
  <c r="AN330" i="2"/>
  <c r="AD332" i="2"/>
  <c r="AC333" i="2"/>
  <c r="AK333" i="2"/>
  <c r="AJ334" i="2"/>
  <c r="AE335" i="2"/>
  <c r="AD336" i="2"/>
  <c r="AG337" i="2"/>
  <c r="AB338" i="2"/>
  <c r="AJ338" i="2"/>
  <c r="AI339" i="2"/>
  <c r="AE328" i="2"/>
  <c r="AH341" i="2"/>
  <c r="AD329" i="2"/>
  <c r="AH329" i="2"/>
  <c r="AL329" i="2"/>
  <c r="AC330" i="2"/>
  <c r="AG330" i="2"/>
  <c r="AK330" i="2"/>
  <c r="AB331" i="2"/>
  <c r="AF331" i="2"/>
  <c r="AJ331" i="2"/>
  <c r="AN331" i="2"/>
  <c r="AE332" i="2"/>
  <c r="AI332" i="2"/>
  <c r="AM332" i="2"/>
  <c r="AD333" i="2"/>
  <c r="AH333" i="2"/>
  <c r="AL333" i="2"/>
  <c r="AC334" i="2"/>
  <c r="AG334" i="2"/>
  <c r="AK334" i="2"/>
  <c r="AB335" i="2"/>
  <c r="AF335" i="2"/>
  <c r="AJ335" i="2"/>
  <c r="AN335" i="2"/>
  <c r="AE336" i="2"/>
  <c r="AI336" i="2"/>
  <c r="AM336" i="2"/>
  <c r="AD337" i="2"/>
  <c r="AH337" i="2"/>
  <c r="AL337" i="2"/>
  <c r="AC338" i="2"/>
  <c r="AG338" i="2"/>
  <c r="AK338" i="2"/>
  <c r="AB339" i="2"/>
  <c r="AF339" i="2"/>
  <c r="AJ339" i="2"/>
  <c r="AN339" i="2"/>
  <c r="AF328" i="2"/>
  <c r="AJ328" i="2"/>
  <c r="AN328" i="2"/>
  <c r="G250" i="2"/>
  <c r="G252" i="2"/>
  <c r="F318" i="2"/>
  <c r="F322" i="2"/>
  <c r="F315" i="2"/>
  <c r="F323" i="2"/>
  <c r="F317" i="2"/>
  <c r="F321" i="2"/>
  <c r="F316" i="2"/>
  <c r="F320" i="2"/>
  <c r="F319" i="2"/>
  <c r="F314" i="2"/>
  <c r="G255" i="2"/>
  <c r="G249" i="2"/>
  <c r="G257" i="2"/>
  <c r="G254" i="2"/>
  <c r="G261" i="2"/>
  <c r="G253" i="2"/>
  <c r="G256" i="2"/>
  <c r="G260" i="2"/>
  <c r="G251" i="2"/>
  <c r="G262" i="2"/>
  <c r="C111" i="8"/>
  <c r="E499" i="13" s="1"/>
  <c r="C112" i="8"/>
  <c r="C113" i="8"/>
  <c r="C114" i="8"/>
  <c r="C115" i="8"/>
  <c r="C116" i="8"/>
  <c r="C117" i="8"/>
  <c r="C118" i="8"/>
  <c r="E533" i="13" s="1"/>
  <c r="C120" i="8"/>
  <c r="C121" i="8"/>
  <c r="C122" i="8"/>
  <c r="C123" i="8"/>
  <c r="C110" i="8"/>
  <c r="AL9" i="3"/>
  <c r="AL6" i="3"/>
  <c r="AL5" i="3"/>
  <c r="K419" i="4"/>
  <c r="N419" i="4"/>
  <c r="Q419" i="4"/>
  <c r="K420" i="4"/>
  <c r="N420" i="4"/>
  <c r="Q420" i="4"/>
  <c r="K421" i="4"/>
  <c r="N421" i="4"/>
  <c r="Q421" i="4"/>
  <c r="K422" i="4"/>
  <c r="N422" i="4"/>
  <c r="Q422" i="4"/>
  <c r="K423" i="4"/>
  <c r="N423" i="4"/>
  <c r="Q423" i="4"/>
  <c r="K424" i="4"/>
  <c r="N424" i="4"/>
  <c r="Q424" i="4"/>
  <c r="K404" i="4"/>
  <c r="N404" i="4"/>
  <c r="Q404" i="4"/>
  <c r="K405" i="4"/>
  <c r="N405" i="4"/>
  <c r="Q405" i="4"/>
  <c r="K406" i="4"/>
  <c r="N406" i="4"/>
  <c r="Q406" i="4"/>
  <c r="K407" i="4"/>
  <c r="N407" i="4"/>
  <c r="Q407" i="4"/>
  <c r="K408" i="4"/>
  <c r="N408" i="4"/>
  <c r="Q408" i="4"/>
  <c r="K409" i="4"/>
  <c r="N409" i="4"/>
  <c r="Q409" i="4"/>
  <c r="K410" i="4"/>
  <c r="N410" i="4"/>
  <c r="Q410" i="4"/>
  <c r="K411" i="4"/>
  <c r="N411" i="4"/>
  <c r="Q411" i="4"/>
  <c r="K412" i="4"/>
  <c r="N412" i="4"/>
  <c r="Q412" i="4"/>
  <c r="K413" i="4"/>
  <c r="N413" i="4"/>
  <c r="Q413" i="4"/>
  <c r="K414" i="4"/>
  <c r="N414" i="4"/>
  <c r="Q414" i="4"/>
  <c r="K415" i="4"/>
  <c r="N415" i="4"/>
  <c r="Q415" i="4"/>
  <c r="K416" i="4"/>
  <c r="N416" i="4"/>
  <c r="Q416" i="4"/>
  <c r="K417" i="4"/>
  <c r="N417" i="4"/>
  <c r="Q417" i="4"/>
  <c r="K418" i="4"/>
  <c r="N418" i="4"/>
  <c r="Q418" i="4"/>
  <c r="Q403" i="4"/>
  <c r="N403" i="4"/>
  <c r="K403" i="4"/>
  <c r="AP72" i="1"/>
  <c r="AP73" i="1" s="1"/>
  <c r="AP74" i="1" s="1"/>
  <c r="AP75" i="1" s="1"/>
  <c r="AP76" i="1" s="1"/>
  <c r="AP77" i="1" s="1"/>
  <c r="AP78" i="1" s="1"/>
  <c r="AP79" i="1" s="1"/>
  <c r="AP80" i="1" s="1"/>
  <c r="AP81" i="1" s="1"/>
  <c r="AP82" i="1" s="1"/>
  <c r="AP83" i="1" s="1"/>
  <c r="AP84" i="1" s="1"/>
  <c r="AP85" i="1" s="1"/>
  <c r="AP86" i="1" s="1"/>
  <c r="AP87" i="1" s="1"/>
  <c r="AP88" i="1" s="1"/>
  <c r="AP89" i="1" s="1"/>
  <c r="AP90" i="1" s="1"/>
  <c r="AP91" i="1" s="1"/>
  <c r="AP92" i="1" s="1"/>
  <c r="B42" i="3"/>
  <c r="B41" i="3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69" i="4"/>
  <c r="E938" i="13" l="1"/>
  <c r="F938" i="13"/>
  <c r="E955" i="13"/>
  <c r="F955" i="13"/>
  <c r="E929" i="13"/>
  <c r="F929" i="13"/>
  <c r="E154" i="13"/>
  <c r="F154" i="13"/>
  <c r="E935" i="13"/>
  <c r="F935" i="13"/>
  <c r="E960" i="13"/>
  <c r="F960" i="13"/>
  <c r="E930" i="13"/>
  <c r="F930" i="13"/>
  <c r="E312" i="13"/>
  <c r="F312" i="13"/>
  <c r="E959" i="13"/>
  <c r="F959" i="13"/>
  <c r="E131" i="15" s="1"/>
  <c r="R427" i="4" s="1"/>
  <c r="E954" i="13"/>
  <c r="F954" i="13"/>
  <c r="E950" i="13"/>
  <c r="F950" i="13"/>
  <c r="E182" i="13"/>
  <c r="F182" i="13"/>
  <c r="E947" i="13"/>
  <c r="F947" i="13"/>
  <c r="E956" i="13"/>
  <c r="F956" i="13"/>
  <c r="E937" i="13"/>
  <c r="F937" i="13"/>
  <c r="E951" i="13"/>
  <c r="F951" i="13"/>
  <c r="E155" i="13"/>
  <c r="F155" i="13"/>
  <c r="E942" i="13"/>
  <c r="F942" i="13"/>
  <c r="E949" i="13"/>
  <c r="F949" i="13"/>
  <c r="E939" i="13"/>
  <c r="F939" i="13"/>
  <c r="E156" i="13"/>
  <c r="F156" i="13"/>
  <c r="E819" i="13"/>
  <c r="E741" i="13"/>
  <c r="E887" i="13"/>
  <c r="E727" i="13"/>
  <c r="E796" i="13"/>
  <c r="E808" i="13"/>
  <c r="E881" i="13"/>
  <c r="E924" i="13"/>
  <c r="E856" i="13"/>
  <c r="E814" i="13"/>
  <c r="E920" i="13"/>
  <c r="E885" i="13"/>
  <c r="E862" i="13"/>
  <c r="E805" i="13"/>
  <c r="E883" i="13"/>
  <c r="E795" i="13"/>
  <c r="E854" i="13"/>
  <c r="E845" i="13"/>
  <c r="E841" i="13"/>
  <c r="E768" i="13"/>
  <c r="E781" i="13"/>
  <c r="E922" i="13"/>
  <c r="E872" i="13"/>
  <c r="E761" i="13"/>
  <c r="E843" i="13"/>
  <c r="E759" i="13"/>
  <c r="E788" i="13"/>
  <c r="E874" i="13"/>
  <c r="E818" i="13"/>
  <c r="E886" i="13"/>
  <c r="E738" i="13"/>
  <c r="E864" i="13"/>
  <c r="E770" i="13"/>
  <c r="E873" i="13"/>
  <c r="E901" i="13"/>
  <c r="E810" i="13"/>
  <c r="E779" i="13"/>
  <c r="E921" i="13"/>
  <c r="E875" i="13"/>
  <c r="E846" i="13"/>
  <c r="E735" i="13"/>
  <c r="E828" i="13"/>
  <c r="E767" i="13"/>
  <c r="E800" i="13"/>
  <c r="E754" i="13"/>
  <c r="E769" i="13"/>
  <c r="E893" i="13"/>
  <c r="E838" i="13"/>
  <c r="E760" i="13"/>
  <c r="E746" i="13"/>
  <c r="E792" i="13"/>
  <c r="E877" i="13"/>
  <c r="E783" i="13"/>
  <c r="E837" i="13"/>
  <c r="E734" i="13"/>
  <c r="E907" i="13"/>
  <c r="E890" i="13"/>
  <c r="E925" i="13"/>
  <c r="E897" i="13"/>
  <c r="E765" i="13"/>
  <c r="E762" i="13"/>
  <c r="E894" i="13"/>
  <c r="E757" i="13"/>
  <c r="E803" i="13"/>
  <c r="E786" i="13"/>
  <c r="E784" i="13"/>
  <c r="E869" i="13"/>
  <c r="E815" i="13"/>
  <c r="E878" i="13"/>
  <c r="E906" i="13"/>
  <c r="E772" i="13"/>
  <c r="E903" i="13"/>
  <c r="E863" i="13"/>
  <c r="E817" i="13"/>
  <c r="E730" i="13"/>
  <c r="E780" i="13"/>
  <c r="E731" i="13"/>
  <c r="E739" i="13"/>
  <c r="E911" i="13"/>
  <c r="E855" i="13"/>
  <c r="E847" i="13"/>
  <c r="E844" i="13"/>
  <c r="E824" i="13"/>
  <c r="E747" i="13"/>
  <c r="E793" i="13"/>
  <c r="E836" i="13"/>
  <c r="E916" i="13"/>
  <c r="E915" i="13"/>
  <c r="E820" i="13"/>
  <c r="E850" i="13"/>
  <c r="E834" i="13"/>
  <c r="E764" i="13"/>
  <c r="E742" i="13"/>
  <c r="E755" i="13"/>
  <c r="E743" i="13"/>
  <c r="E876" i="13"/>
  <c r="E799" i="13"/>
  <c r="E866" i="13"/>
  <c r="E751" i="13"/>
  <c r="E802" i="13"/>
  <c r="E880" i="13"/>
  <c r="E825" i="13"/>
  <c r="E918" i="13"/>
  <c r="E771" i="13"/>
  <c r="E879" i="13"/>
  <c r="E830" i="13"/>
  <c r="E860" i="13"/>
  <c r="E891" i="13"/>
  <c r="E827" i="13"/>
  <c r="E826" i="13"/>
  <c r="E867" i="13"/>
  <c r="E871" i="13"/>
  <c r="E728" i="13"/>
  <c r="E791" i="13"/>
  <c r="E832" i="13"/>
  <c r="E790" i="13"/>
  <c r="E913" i="13"/>
  <c r="E748" i="13"/>
  <c r="E756" i="13"/>
  <c r="E794" i="13"/>
  <c r="E801" i="13"/>
  <c r="E809" i="13"/>
  <c r="E917" i="13"/>
  <c r="E823" i="13"/>
  <c r="E745" i="13"/>
  <c r="E749" i="13"/>
  <c r="E736" i="13"/>
  <c r="E816" i="13"/>
  <c r="E737" i="13"/>
  <c r="E831" i="13"/>
  <c r="E833" i="13"/>
  <c r="E859" i="13"/>
  <c r="E811" i="13"/>
  <c r="E798" i="13"/>
  <c r="E752" i="13"/>
  <c r="E851" i="13"/>
  <c r="E776" i="13"/>
  <c r="E848" i="13"/>
  <c r="E806" i="13"/>
  <c r="E807" i="13"/>
  <c r="E870" i="13"/>
  <c r="E889" i="13"/>
  <c r="E797" i="13"/>
  <c r="E835" i="13"/>
  <c r="E857" i="13"/>
  <c r="E733" i="13"/>
  <c r="E910" i="13"/>
  <c r="E839" i="13"/>
  <c r="E774" i="13"/>
  <c r="E804" i="13"/>
  <c r="E892" i="13"/>
  <c r="E744" i="13"/>
  <c r="E821" i="13"/>
  <c r="E773" i="13"/>
  <c r="E896" i="13"/>
  <c r="E812" i="13"/>
  <c r="E888" i="13"/>
  <c r="E822" i="13"/>
  <c r="E861" i="13"/>
  <c r="E750" i="13"/>
  <c r="E895" i="13"/>
  <c r="E777" i="13"/>
  <c r="E842" i="13"/>
  <c r="E829" i="13"/>
  <c r="E898" i="13"/>
  <c r="E732" i="13"/>
  <c r="E858" i="13"/>
  <c r="E900" i="13"/>
  <c r="E853" i="13"/>
  <c r="E882" i="13"/>
  <c r="E905" i="13"/>
  <c r="E840" i="13"/>
  <c r="E766" i="13"/>
  <c r="E884" i="13"/>
  <c r="E740" i="13"/>
  <c r="E753" i="13"/>
  <c r="E912" i="13"/>
  <c r="E899" i="13"/>
  <c r="E904" i="13"/>
  <c r="E729" i="13"/>
  <c r="E852" i="13"/>
  <c r="E785" i="13"/>
  <c r="E775" i="13"/>
  <c r="E763" i="13"/>
  <c r="E758" i="13"/>
  <c r="E849" i="13"/>
  <c r="E914" i="13"/>
  <c r="E813" i="13"/>
  <c r="E865" i="13"/>
  <c r="E902" i="13"/>
  <c r="E789" i="13"/>
  <c r="E782" i="13"/>
  <c r="E923" i="13"/>
  <c r="E919" i="13"/>
  <c r="E787" i="13"/>
  <c r="E778" i="13"/>
  <c r="E909" i="13"/>
  <c r="E908" i="13"/>
  <c r="E868" i="13"/>
  <c r="E943" i="13"/>
  <c r="F943" i="13"/>
  <c r="E953" i="13"/>
  <c r="F953" i="13"/>
  <c r="E944" i="13"/>
  <c r="F944" i="13"/>
  <c r="E934" i="13"/>
  <c r="F934" i="13"/>
  <c r="E941" i="13"/>
  <c r="F941" i="13"/>
  <c r="E931" i="13"/>
  <c r="F931" i="13"/>
  <c r="E593" i="13"/>
  <c r="F593" i="13"/>
  <c r="E932" i="13"/>
  <c r="F932" i="13"/>
  <c r="E280" i="13"/>
  <c r="F280" i="13"/>
  <c r="E961" i="13"/>
  <c r="F961" i="13"/>
  <c r="E936" i="13"/>
  <c r="F936" i="13"/>
  <c r="E129" i="13"/>
  <c r="F129" i="13"/>
  <c r="E933" i="13"/>
  <c r="F933" i="13"/>
  <c r="E958" i="13"/>
  <c r="F958" i="13"/>
  <c r="E592" i="13"/>
  <c r="F592" i="13"/>
  <c r="E130" i="13"/>
  <c r="F130" i="13"/>
  <c r="E328" i="13"/>
  <c r="F328" i="13"/>
  <c r="E957" i="13"/>
  <c r="F957" i="13"/>
  <c r="E928" i="13"/>
  <c r="F928" i="13"/>
  <c r="E181" i="13"/>
  <c r="F181" i="13"/>
  <c r="E948" i="13"/>
  <c r="F948" i="13"/>
  <c r="E128" i="13"/>
  <c r="F128" i="13"/>
  <c r="I236" i="2"/>
  <c r="D236" i="2"/>
  <c r="R199" i="4" s="1"/>
  <c r="S199" i="4" s="1"/>
  <c r="E387" i="13"/>
  <c r="E440" i="13"/>
  <c r="E436" i="13"/>
  <c r="E394" i="13"/>
  <c r="E428" i="13"/>
  <c r="E406" i="13"/>
  <c r="E458" i="13"/>
  <c r="E424" i="13"/>
  <c r="E417" i="13"/>
  <c r="E447" i="13"/>
  <c r="E413" i="13"/>
  <c r="E451" i="13"/>
  <c r="E296" i="13"/>
  <c r="F296" i="13"/>
  <c r="E945" i="13"/>
  <c r="F945" i="13"/>
  <c r="E952" i="13"/>
  <c r="F952" i="13"/>
  <c r="E927" i="13"/>
  <c r="F927" i="13"/>
  <c r="E940" i="13"/>
  <c r="F940" i="13"/>
  <c r="E946" i="13"/>
  <c r="F946" i="13"/>
  <c r="I235" i="2"/>
  <c r="D235" i="2"/>
  <c r="R198" i="4" s="1"/>
  <c r="S198" i="4" s="1"/>
  <c r="E227" i="13"/>
  <c r="E587" i="13"/>
  <c r="F587" i="13"/>
  <c r="E717" i="13"/>
  <c r="F717" i="13"/>
  <c r="G271" i="2"/>
  <c r="C271" i="2"/>
  <c r="E545" i="13"/>
  <c r="F545" i="13"/>
  <c r="E651" i="13"/>
  <c r="F651" i="13"/>
  <c r="E599" i="13"/>
  <c r="F599" i="13"/>
  <c r="E705" i="13"/>
  <c r="F705" i="13"/>
  <c r="E621" i="13"/>
  <c r="F621" i="13"/>
  <c r="E332" i="13"/>
  <c r="F332" i="13"/>
  <c r="E145" i="13"/>
  <c r="F145" i="13"/>
  <c r="E613" i="13"/>
  <c r="F613" i="13"/>
  <c r="E576" i="13"/>
  <c r="F576" i="13"/>
  <c r="E553" i="13"/>
  <c r="F553" i="13"/>
  <c r="E537" i="13"/>
  <c r="F537" i="13"/>
  <c r="E591" i="13"/>
  <c r="F591" i="13"/>
  <c r="G265" i="2"/>
  <c r="C265" i="2"/>
  <c r="E594" i="13"/>
  <c r="F594" i="13"/>
  <c r="E567" i="13"/>
  <c r="F567" i="13"/>
  <c r="E534" i="13"/>
  <c r="F534" i="13"/>
  <c r="E584" i="13"/>
  <c r="F584" i="13"/>
  <c r="E642" i="13"/>
  <c r="F642" i="13"/>
  <c r="E627" i="13"/>
  <c r="F627" i="13"/>
  <c r="E624" i="13"/>
  <c r="F624" i="13"/>
  <c r="E687" i="13"/>
  <c r="F687" i="13"/>
  <c r="E601" i="13"/>
  <c r="F601" i="13"/>
  <c r="E638" i="13"/>
  <c r="F638" i="13"/>
  <c r="E689" i="13"/>
  <c r="F689" i="13"/>
  <c r="E709" i="13"/>
  <c r="F709" i="13"/>
  <c r="E605" i="13"/>
  <c r="F605" i="13"/>
  <c r="E660" i="13"/>
  <c r="F660" i="13"/>
  <c r="E344" i="13"/>
  <c r="F344" i="13"/>
  <c r="G278" i="2"/>
  <c r="C278" i="2"/>
  <c r="E147" i="13"/>
  <c r="F147" i="13"/>
  <c r="E161" i="13"/>
  <c r="F161" i="13"/>
  <c r="E166" i="13"/>
  <c r="F166" i="13"/>
  <c r="E152" i="13"/>
  <c r="F152" i="13"/>
  <c r="E163" i="13"/>
  <c r="F163" i="13"/>
  <c r="E172" i="13"/>
  <c r="F172" i="13"/>
  <c r="E632" i="13"/>
  <c r="F632" i="13"/>
  <c r="E675" i="13"/>
  <c r="F675" i="13"/>
  <c r="E634" i="13"/>
  <c r="F634" i="13"/>
  <c r="E635" i="13"/>
  <c r="F635" i="13"/>
  <c r="E678" i="13"/>
  <c r="F678" i="13"/>
  <c r="E699" i="13"/>
  <c r="F699" i="13"/>
  <c r="G279" i="2"/>
  <c r="C279" i="2"/>
  <c r="E174" i="13"/>
  <c r="F174" i="13"/>
  <c r="E171" i="13"/>
  <c r="F171" i="13"/>
  <c r="E180" i="13"/>
  <c r="F180" i="13"/>
  <c r="E550" i="13"/>
  <c r="F550" i="13"/>
  <c r="E570" i="13"/>
  <c r="F570" i="13"/>
  <c r="E543" i="13"/>
  <c r="F543" i="13"/>
  <c r="E568" i="13"/>
  <c r="F568" i="13"/>
  <c r="G267" i="2"/>
  <c r="C267" i="2"/>
  <c r="E547" i="13"/>
  <c r="F547" i="13"/>
  <c r="E541" i="13"/>
  <c r="F541" i="13"/>
  <c r="E546" i="13"/>
  <c r="F546" i="13"/>
  <c r="E569" i="13"/>
  <c r="F569" i="13"/>
  <c r="E626" i="13"/>
  <c r="F626" i="13"/>
  <c r="E712" i="13"/>
  <c r="F712" i="13"/>
  <c r="E616" i="13"/>
  <c r="F616" i="13"/>
  <c r="E671" i="13"/>
  <c r="F671" i="13"/>
  <c r="E595" i="13"/>
  <c r="F595" i="13"/>
  <c r="E622" i="13"/>
  <c r="F622" i="13"/>
  <c r="E673" i="13"/>
  <c r="F673" i="13"/>
  <c r="E693" i="13"/>
  <c r="F693" i="13"/>
  <c r="E597" i="13"/>
  <c r="F597" i="13"/>
  <c r="E644" i="13"/>
  <c r="F644" i="13"/>
  <c r="E316" i="13"/>
  <c r="F316" i="13"/>
  <c r="G275" i="2"/>
  <c r="C275" i="2"/>
  <c r="E175" i="13"/>
  <c r="F175" i="13"/>
  <c r="E148" i="13"/>
  <c r="F148" i="13"/>
  <c r="E158" i="13"/>
  <c r="F158" i="13"/>
  <c r="E136" i="13"/>
  <c r="F136" i="13"/>
  <c r="E131" i="13"/>
  <c r="F131" i="13"/>
  <c r="E150" i="13"/>
  <c r="F150" i="13"/>
  <c r="E652" i="13"/>
  <c r="F652" i="13"/>
  <c r="E681" i="13"/>
  <c r="F681" i="13"/>
  <c r="E655" i="13"/>
  <c r="F655" i="13"/>
  <c r="E656" i="13"/>
  <c r="F656" i="13"/>
  <c r="E698" i="13"/>
  <c r="F698" i="13"/>
  <c r="E614" i="13"/>
  <c r="F614" i="13"/>
  <c r="G274" i="2"/>
  <c r="C274" i="2"/>
  <c r="E611" i="13"/>
  <c r="F611" i="13"/>
  <c r="E554" i="13"/>
  <c r="F554" i="13"/>
  <c r="E563" i="13"/>
  <c r="F563" i="13"/>
  <c r="E586" i="13"/>
  <c r="F586" i="13"/>
  <c r="E552" i="13"/>
  <c r="F552" i="13"/>
  <c r="E559" i="13"/>
  <c r="F559" i="13"/>
  <c r="E578" i="13"/>
  <c r="F578" i="13"/>
  <c r="E589" i="13"/>
  <c r="F589" i="13"/>
  <c r="E585" i="13"/>
  <c r="F585" i="13"/>
  <c r="G268" i="2"/>
  <c r="C268" i="2"/>
  <c r="E618" i="13"/>
  <c r="F618" i="13"/>
  <c r="E704" i="13"/>
  <c r="F704" i="13"/>
  <c r="E600" i="13"/>
  <c r="F600" i="13"/>
  <c r="E663" i="13"/>
  <c r="F663" i="13"/>
  <c r="E710" i="13"/>
  <c r="F710" i="13"/>
  <c r="E606" i="13"/>
  <c r="F606" i="13"/>
  <c r="E665" i="13"/>
  <c r="F665" i="13"/>
  <c r="E685" i="13"/>
  <c r="F685" i="13"/>
  <c r="E715" i="13"/>
  <c r="F715" i="13"/>
  <c r="E628" i="13"/>
  <c r="F628" i="13"/>
  <c r="G277" i="2"/>
  <c r="C277" i="2"/>
  <c r="E167" i="13"/>
  <c r="F167" i="13"/>
  <c r="E140" i="13"/>
  <c r="F140" i="13"/>
  <c r="E173" i="13"/>
  <c r="F173" i="13"/>
  <c r="E164" i="13"/>
  <c r="F164" i="13"/>
  <c r="E159" i="13"/>
  <c r="F159" i="13"/>
  <c r="E142" i="13"/>
  <c r="F142" i="13"/>
  <c r="E674" i="13"/>
  <c r="F674" i="13"/>
  <c r="E722" i="13"/>
  <c r="F722" i="13"/>
  <c r="E676" i="13"/>
  <c r="F676" i="13"/>
  <c r="E677" i="13"/>
  <c r="F677" i="13"/>
  <c r="E719" i="13"/>
  <c r="F719" i="13"/>
  <c r="E631" i="13"/>
  <c r="F631" i="13"/>
  <c r="E564" i="13"/>
  <c r="F564" i="13"/>
  <c r="E653" i="13"/>
  <c r="F653" i="13"/>
  <c r="E571" i="13"/>
  <c r="F571" i="13"/>
  <c r="E549" i="13"/>
  <c r="F549" i="13"/>
  <c r="E575" i="13"/>
  <c r="F575" i="13"/>
  <c r="E540" i="13"/>
  <c r="F540" i="13"/>
  <c r="G266" i="2"/>
  <c r="C266" i="2"/>
  <c r="E555" i="13"/>
  <c r="F555" i="13"/>
  <c r="E573" i="13"/>
  <c r="F573" i="13"/>
  <c r="E577" i="13"/>
  <c r="F577" i="13"/>
  <c r="E603" i="13"/>
  <c r="F603" i="13"/>
  <c r="E602" i="13"/>
  <c r="F602" i="13"/>
  <c r="E688" i="13"/>
  <c r="F688" i="13"/>
  <c r="E643" i="13"/>
  <c r="F643" i="13"/>
  <c r="E647" i="13"/>
  <c r="F647" i="13"/>
  <c r="E694" i="13"/>
  <c r="F694" i="13"/>
  <c r="E598" i="13"/>
  <c r="F598" i="13"/>
  <c r="E649" i="13"/>
  <c r="F649" i="13"/>
  <c r="E669" i="13"/>
  <c r="F669" i="13"/>
  <c r="E716" i="13"/>
  <c r="F716" i="13"/>
  <c r="E620" i="13"/>
  <c r="F620" i="13"/>
  <c r="G283" i="2"/>
  <c r="C283" i="2"/>
  <c r="G284" i="2"/>
  <c r="C284" i="2"/>
  <c r="E149" i="13"/>
  <c r="F149" i="13"/>
  <c r="E132" i="13"/>
  <c r="F132" i="13"/>
  <c r="E165" i="13"/>
  <c r="F165" i="13"/>
  <c r="E151" i="13"/>
  <c r="F151" i="13"/>
  <c r="E146" i="13"/>
  <c r="F146" i="13"/>
  <c r="E134" i="13"/>
  <c r="F134" i="13"/>
  <c r="E680" i="13"/>
  <c r="F680" i="13"/>
  <c r="E654" i="13"/>
  <c r="F654" i="13"/>
  <c r="E697" i="13"/>
  <c r="F697" i="13"/>
  <c r="E718" i="13"/>
  <c r="F718" i="13"/>
  <c r="E615" i="13"/>
  <c r="F615" i="13"/>
  <c r="E659" i="13"/>
  <c r="F659" i="13"/>
  <c r="E679" i="13"/>
  <c r="F679" i="13"/>
  <c r="E583" i="13"/>
  <c r="F583" i="13"/>
  <c r="E582" i="13"/>
  <c r="F582" i="13"/>
  <c r="E561" i="13"/>
  <c r="F561" i="13"/>
  <c r="E588" i="13"/>
  <c r="F588" i="13"/>
  <c r="E535" i="13"/>
  <c r="F535" i="13"/>
  <c r="G270" i="2"/>
  <c r="C270" i="2"/>
  <c r="E566" i="13"/>
  <c r="F566" i="13"/>
  <c r="E562" i="13"/>
  <c r="F562" i="13"/>
  <c r="E706" i="13"/>
  <c r="F706" i="13"/>
  <c r="E707" i="13"/>
  <c r="F707" i="13"/>
  <c r="E672" i="13"/>
  <c r="F672" i="13"/>
  <c r="E714" i="13"/>
  <c r="F714" i="13"/>
  <c r="E639" i="13"/>
  <c r="F639" i="13"/>
  <c r="E686" i="13"/>
  <c r="F686" i="13"/>
  <c r="E683" i="13"/>
  <c r="F683" i="13"/>
  <c r="E641" i="13"/>
  <c r="F641" i="13"/>
  <c r="E661" i="13"/>
  <c r="F661" i="13"/>
  <c r="E708" i="13"/>
  <c r="F708" i="13"/>
  <c r="E604" i="13"/>
  <c r="F604" i="13"/>
  <c r="G282" i="2"/>
  <c r="C282" i="2"/>
  <c r="G276" i="2"/>
  <c r="C276" i="2"/>
  <c r="E141" i="13"/>
  <c r="F141" i="13"/>
  <c r="E176" i="13"/>
  <c r="F176" i="13"/>
  <c r="E157" i="13"/>
  <c r="F157" i="13"/>
  <c r="E143" i="13"/>
  <c r="F143" i="13"/>
  <c r="E153" i="13"/>
  <c r="F153" i="13"/>
  <c r="E178" i="13"/>
  <c r="F178" i="13"/>
  <c r="E701" i="13"/>
  <c r="F701" i="13"/>
  <c r="E696" i="13"/>
  <c r="F696" i="13"/>
  <c r="E703" i="13"/>
  <c r="F703" i="13"/>
  <c r="E725" i="13"/>
  <c r="F725" i="13"/>
  <c r="E630" i="13"/>
  <c r="F630" i="13"/>
  <c r="E700" i="13"/>
  <c r="F700" i="13"/>
  <c r="E572" i="13"/>
  <c r="F572" i="13"/>
  <c r="G272" i="2"/>
  <c r="C272" i="2"/>
  <c r="E574" i="13"/>
  <c r="F574" i="13"/>
  <c r="E650" i="13"/>
  <c r="F650" i="13"/>
  <c r="E695" i="13"/>
  <c r="F695" i="13"/>
  <c r="E646" i="13"/>
  <c r="F646" i="13"/>
  <c r="E668" i="13"/>
  <c r="F668" i="13"/>
  <c r="E169" i="13"/>
  <c r="F169" i="13"/>
  <c r="E657" i="13"/>
  <c r="F657" i="13"/>
  <c r="D403" i="3" s="1"/>
  <c r="E565" i="13"/>
  <c r="F565" i="13"/>
  <c r="E581" i="13"/>
  <c r="F581" i="13"/>
  <c r="E536" i="13"/>
  <c r="F536" i="13"/>
  <c r="E580" i="13"/>
  <c r="F580" i="13"/>
  <c r="E579" i="13"/>
  <c r="F579" i="13"/>
  <c r="E560" i="13"/>
  <c r="F560" i="13"/>
  <c r="E558" i="13"/>
  <c r="F558" i="13"/>
  <c r="G269" i="2"/>
  <c r="C269" i="2"/>
  <c r="E690" i="13"/>
  <c r="F690" i="13"/>
  <c r="E691" i="13"/>
  <c r="F691" i="13"/>
  <c r="E664" i="13"/>
  <c r="F664" i="13"/>
  <c r="D388" i="3" s="1"/>
  <c r="R349" i="4" s="1"/>
  <c r="E666" i="13"/>
  <c r="F666" i="13"/>
  <c r="D390" i="3" s="1"/>
  <c r="R351" i="4" s="1"/>
  <c r="E623" i="13"/>
  <c r="F623" i="13"/>
  <c r="E670" i="13"/>
  <c r="F670" i="13"/>
  <c r="E619" i="13"/>
  <c r="F619" i="13"/>
  <c r="E625" i="13"/>
  <c r="F625" i="13"/>
  <c r="E645" i="13"/>
  <c r="F645" i="13"/>
  <c r="E692" i="13"/>
  <c r="F692" i="13"/>
  <c r="E596" i="13"/>
  <c r="F596" i="13"/>
  <c r="G281" i="2"/>
  <c r="C281" i="2"/>
  <c r="E484" i="13"/>
  <c r="F484" i="13"/>
  <c r="E133" i="13"/>
  <c r="F133" i="13"/>
  <c r="E168" i="13"/>
  <c r="F168" i="13"/>
  <c r="E139" i="13"/>
  <c r="F139" i="13"/>
  <c r="E135" i="13"/>
  <c r="F135" i="13"/>
  <c r="E137" i="13"/>
  <c r="F137" i="13"/>
  <c r="E170" i="13"/>
  <c r="F170" i="13"/>
  <c r="E612" i="13"/>
  <c r="F612" i="13"/>
  <c r="E702" i="13"/>
  <c r="F702" i="13"/>
  <c r="E724" i="13"/>
  <c r="F724" i="13"/>
  <c r="E609" i="13"/>
  <c r="F609" i="13"/>
  <c r="E637" i="13"/>
  <c r="F637" i="13"/>
  <c r="E720" i="13"/>
  <c r="F720" i="13"/>
  <c r="G273" i="2"/>
  <c r="C273" i="2"/>
  <c r="E640" i="13"/>
  <c r="F640" i="13"/>
  <c r="E610" i="13"/>
  <c r="F610" i="13"/>
  <c r="E539" i="13"/>
  <c r="F539" i="13"/>
  <c r="E538" i="13"/>
  <c r="F538" i="13"/>
  <c r="E548" i="13"/>
  <c r="F548" i="13"/>
  <c r="E542" i="13"/>
  <c r="F542" i="13"/>
  <c r="E557" i="13"/>
  <c r="F557" i="13"/>
  <c r="E556" i="13"/>
  <c r="F556" i="13"/>
  <c r="E590" i="13"/>
  <c r="F590" i="13"/>
  <c r="E551" i="13"/>
  <c r="F551" i="13"/>
  <c r="E544" i="13"/>
  <c r="F544" i="13"/>
  <c r="E682" i="13"/>
  <c r="F682" i="13"/>
  <c r="E667" i="13"/>
  <c r="F667" i="13"/>
  <c r="D391" i="3" s="1"/>
  <c r="R352" i="4" s="1"/>
  <c r="E648" i="13"/>
  <c r="F648" i="13"/>
  <c r="E711" i="13"/>
  <c r="F711" i="13"/>
  <c r="E607" i="13"/>
  <c r="F607" i="13"/>
  <c r="E662" i="13"/>
  <c r="F662" i="13"/>
  <c r="D386" i="3" s="1"/>
  <c r="R347" i="4" s="1"/>
  <c r="E713" i="13"/>
  <c r="F713" i="13"/>
  <c r="E617" i="13"/>
  <c r="F617" i="13"/>
  <c r="E629" i="13"/>
  <c r="F629" i="13"/>
  <c r="E684" i="13"/>
  <c r="F684" i="13"/>
  <c r="E356" i="13"/>
  <c r="F356" i="13"/>
  <c r="G280" i="2"/>
  <c r="C280" i="2"/>
  <c r="E177" i="13"/>
  <c r="F177" i="13"/>
  <c r="E160" i="13"/>
  <c r="F160" i="13"/>
  <c r="E138" i="13"/>
  <c r="F138" i="13"/>
  <c r="E179" i="13"/>
  <c r="F179" i="13"/>
  <c r="E144" i="13"/>
  <c r="F144" i="13"/>
  <c r="E162" i="13"/>
  <c r="F162" i="13"/>
  <c r="E633" i="13"/>
  <c r="F633" i="13"/>
  <c r="E723" i="13"/>
  <c r="F723" i="13"/>
  <c r="E608" i="13"/>
  <c r="F608" i="13"/>
  <c r="E636" i="13"/>
  <c r="F636" i="13"/>
  <c r="E658" i="13"/>
  <c r="F658" i="13"/>
  <c r="E721" i="13"/>
  <c r="F721" i="13"/>
  <c r="E219" i="13"/>
  <c r="F219" i="13"/>
  <c r="E216" i="13"/>
  <c r="F216" i="13"/>
  <c r="E222" i="13"/>
  <c r="F222" i="13"/>
  <c r="E220" i="13"/>
  <c r="F220" i="13"/>
  <c r="E217" i="13"/>
  <c r="F217" i="13"/>
  <c r="E124" i="13"/>
  <c r="F124" i="13"/>
  <c r="E218" i="13"/>
  <c r="F218" i="13"/>
  <c r="E214" i="13"/>
  <c r="F214" i="13"/>
  <c r="E215" i="13"/>
  <c r="F215" i="13"/>
  <c r="E223" i="13"/>
  <c r="F223" i="13"/>
  <c r="E221" i="13"/>
  <c r="F221" i="13"/>
  <c r="E279" i="13"/>
  <c r="N324" i="2"/>
  <c r="J324" i="2"/>
  <c r="H324" i="2"/>
  <c r="D324" i="2"/>
  <c r="A400" i="4"/>
  <c r="AP93" i="1"/>
  <c r="E466" i="13"/>
  <c r="V303" i="2"/>
  <c r="V308" i="2"/>
  <c r="V301" i="2"/>
  <c r="V306" i="2"/>
  <c r="V307" i="2"/>
  <c r="E465" i="13"/>
  <c r="V305" i="2"/>
  <c r="AQ182" i="2"/>
  <c r="AP182" i="2"/>
  <c r="V304" i="2"/>
  <c r="V300" i="2"/>
  <c r="AL182" i="2"/>
  <c r="AK182" i="2"/>
  <c r="AN182" i="2"/>
  <c r="AM182" i="2"/>
  <c r="V302" i="2"/>
  <c r="I259" i="2"/>
  <c r="D259" i="2"/>
  <c r="R212" i="4" s="1"/>
  <c r="S212" i="4" s="1"/>
  <c r="I258" i="2"/>
  <c r="D258" i="2"/>
  <c r="R211" i="4" s="1"/>
  <c r="BB349" i="2"/>
  <c r="B349" i="2"/>
  <c r="E518" i="13"/>
  <c r="F518" i="13"/>
  <c r="D348" i="2"/>
  <c r="BD348" i="2"/>
  <c r="E519" i="13"/>
  <c r="F519" i="13"/>
  <c r="F348" i="2"/>
  <c r="BF348" i="2"/>
  <c r="F522" i="13"/>
  <c r="E522" i="13"/>
  <c r="F349" i="2"/>
  <c r="BF349" i="2"/>
  <c r="E529" i="13"/>
  <c r="F529" i="13"/>
  <c r="E349" i="2"/>
  <c r="BE349" i="2"/>
  <c r="E526" i="13"/>
  <c r="F526" i="13"/>
  <c r="F523" i="13"/>
  <c r="C353" i="2" s="1"/>
  <c r="R249" i="4" s="1"/>
  <c r="S249" i="4" s="1"/>
  <c r="E523" i="13"/>
  <c r="C349" i="2"/>
  <c r="BC349" i="2"/>
  <c r="BC348" i="2"/>
  <c r="C348" i="2"/>
  <c r="F527" i="13"/>
  <c r="E527" i="13"/>
  <c r="E532" i="13"/>
  <c r="F532" i="13"/>
  <c r="C355" i="2" s="1"/>
  <c r="R251" i="4" s="1"/>
  <c r="S251" i="4" s="1"/>
  <c r="E525" i="13"/>
  <c r="F525" i="13"/>
  <c r="F531" i="13"/>
  <c r="C354" i="2" s="1"/>
  <c r="R250" i="4" s="1"/>
  <c r="E531" i="13"/>
  <c r="B348" i="2"/>
  <c r="BB348" i="2"/>
  <c r="F524" i="13"/>
  <c r="C352" i="2" s="1"/>
  <c r="R248" i="4" s="1"/>
  <c r="E524" i="13"/>
  <c r="E348" i="2"/>
  <c r="BE348" i="2"/>
  <c r="E528" i="13"/>
  <c r="F528" i="13"/>
  <c r="BD349" i="2"/>
  <c r="D349" i="2"/>
  <c r="E530" i="13"/>
  <c r="F530" i="13"/>
  <c r="E520" i="13"/>
  <c r="F520" i="13"/>
  <c r="F521" i="13"/>
  <c r="E521" i="13"/>
  <c r="B307" i="2"/>
  <c r="E295" i="13"/>
  <c r="F295" i="13"/>
  <c r="E281" i="13"/>
  <c r="F281" i="13"/>
  <c r="E351" i="13"/>
  <c r="F351" i="13"/>
  <c r="E359" i="13"/>
  <c r="F359" i="13"/>
  <c r="E366" i="13"/>
  <c r="F366" i="13"/>
  <c r="E367" i="13"/>
  <c r="F367" i="13"/>
  <c r="E245" i="13"/>
  <c r="F245" i="13"/>
  <c r="E308" i="13"/>
  <c r="F308" i="13"/>
  <c r="E255" i="13"/>
  <c r="F255" i="13"/>
  <c r="E243" i="13"/>
  <c r="F243" i="13"/>
  <c r="E251" i="13"/>
  <c r="F251" i="13"/>
  <c r="E287" i="13"/>
  <c r="F287" i="13"/>
  <c r="E250" i="13"/>
  <c r="F250" i="13"/>
  <c r="E258" i="13"/>
  <c r="F258" i="13"/>
  <c r="E265" i="13"/>
  <c r="F265" i="13"/>
  <c r="E403" i="13"/>
  <c r="F403" i="13"/>
  <c r="E390" i="13"/>
  <c r="F390" i="13"/>
  <c r="E377" i="13"/>
  <c r="F377" i="13"/>
  <c r="E399" i="13"/>
  <c r="F399" i="13"/>
  <c r="E452" i="13"/>
  <c r="F452" i="13"/>
  <c r="E455" i="13"/>
  <c r="F455" i="13"/>
  <c r="E419" i="13"/>
  <c r="F419" i="13"/>
  <c r="E416" i="13"/>
  <c r="F416" i="13"/>
  <c r="E386" i="13"/>
  <c r="F386" i="13"/>
  <c r="E443" i="13"/>
  <c r="F443" i="13"/>
  <c r="E485" i="13"/>
  <c r="F485" i="13"/>
  <c r="E472" i="13"/>
  <c r="F472" i="13"/>
  <c r="I227" i="2"/>
  <c r="D227" i="2"/>
  <c r="R190" i="4" s="1"/>
  <c r="S190" i="4" s="1"/>
  <c r="AU90" i="2"/>
  <c r="AS92" i="2"/>
  <c r="AP91" i="2"/>
  <c r="AV83" i="2"/>
  <c r="AN90" i="2"/>
  <c r="M90" i="2"/>
  <c r="AU75" i="2"/>
  <c r="AT75" i="2"/>
  <c r="AU73" i="2"/>
  <c r="AQ76" i="2"/>
  <c r="AQ83" i="2"/>
  <c r="AP76" i="2"/>
  <c r="AN83" i="2"/>
  <c r="M83" i="2"/>
  <c r="AU83" i="2"/>
  <c r="AR85" i="2"/>
  <c r="AS83" i="2"/>
  <c r="AV79" i="2"/>
  <c r="AU86" i="2"/>
  <c r="AT79" i="2"/>
  <c r="AN89" i="2"/>
  <c r="M89" i="2"/>
  <c r="AV80" i="2"/>
  <c r="AS87" i="2"/>
  <c r="AR80" i="2"/>
  <c r="AQ73" i="2"/>
  <c r="E492" i="13"/>
  <c r="F492" i="13"/>
  <c r="E501" i="13"/>
  <c r="F501" i="13"/>
  <c r="E324" i="13"/>
  <c r="F324" i="13"/>
  <c r="B308" i="2"/>
  <c r="E298" i="13"/>
  <c r="F298" i="13"/>
  <c r="E291" i="13"/>
  <c r="F291" i="13"/>
  <c r="E334" i="13"/>
  <c r="F334" i="13"/>
  <c r="E273" i="13"/>
  <c r="F273" i="13"/>
  <c r="E320" i="13"/>
  <c r="F320" i="13"/>
  <c r="E339" i="13"/>
  <c r="F339" i="13"/>
  <c r="E346" i="13"/>
  <c r="F346" i="13"/>
  <c r="E313" i="13"/>
  <c r="F313" i="13"/>
  <c r="E237" i="13"/>
  <c r="F237" i="13"/>
  <c r="E254" i="13"/>
  <c r="F254" i="13"/>
  <c r="E382" i="13"/>
  <c r="F382" i="13"/>
  <c r="E235" i="13"/>
  <c r="F235" i="13"/>
  <c r="E242" i="13"/>
  <c r="F242" i="13"/>
  <c r="E231" i="13"/>
  <c r="F231" i="13"/>
  <c r="E241" i="13"/>
  <c r="F241" i="13"/>
  <c r="E267" i="13"/>
  <c r="F267" i="13"/>
  <c r="E309" i="13"/>
  <c r="F309" i="13"/>
  <c r="E448" i="13"/>
  <c r="F448" i="13"/>
  <c r="E425" i="13"/>
  <c r="F425" i="13"/>
  <c r="E454" i="13"/>
  <c r="F454" i="13"/>
  <c r="E438" i="13"/>
  <c r="F438" i="13"/>
  <c r="E408" i="13"/>
  <c r="F408" i="13"/>
  <c r="E461" i="13"/>
  <c r="F461" i="13"/>
  <c r="E396" i="13"/>
  <c r="F396" i="13"/>
  <c r="E407" i="13"/>
  <c r="F407" i="13"/>
  <c r="E456" i="13"/>
  <c r="F456" i="13"/>
  <c r="F466" i="13"/>
  <c r="C428" i="2" s="1"/>
  <c r="R400" i="4" s="1"/>
  <c r="S400" i="4" s="1"/>
  <c r="E476" i="13"/>
  <c r="F476" i="13"/>
  <c r="E480" i="13"/>
  <c r="F480" i="13"/>
  <c r="I228" i="2"/>
  <c r="D228" i="2"/>
  <c r="R191" i="4" s="1"/>
  <c r="S191" i="4" s="1"/>
  <c r="AU92" i="2"/>
  <c r="AR90" i="2"/>
  <c r="AP90" i="2"/>
  <c r="AO82" i="2"/>
  <c r="AP88" i="2"/>
  <c r="AN74" i="2"/>
  <c r="M74" i="2"/>
  <c r="AN73" i="2"/>
  <c r="M73" i="2"/>
  <c r="AT89" i="2"/>
  <c r="AS89" i="2"/>
  <c r="AR82" i="2"/>
  <c r="AQ75" i="2"/>
  <c r="AQ80" i="2"/>
  <c r="AN82" i="2"/>
  <c r="M82" i="2"/>
  <c r="AU82" i="2"/>
  <c r="AU81" i="2"/>
  <c r="AO78" i="2"/>
  <c r="AV85" i="2"/>
  <c r="AU78" i="2"/>
  <c r="AQ86" i="2"/>
  <c r="AQ77" i="2"/>
  <c r="P77" i="2"/>
  <c r="AT86" i="2"/>
  <c r="AS79" i="2"/>
  <c r="E494" i="13"/>
  <c r="F494" i="13"/>
  <c r="E504" i="13"/>
  <c r="F504" i="13"/>
  <c r="E491" i="13"/>
  <c r="F491" i="13"/>
  <c r="E508" i="13"/>
  <c r="F508" i="13"/>
  <c r="E350" i="13"/>
  <c r="F350" i="13"/>
  <c r="E300" i="13"/>
  <c r="F300" i="13"/>
  <c r="E323" i="13"/>
  <c r="F323" i="13"/>
  <c r="E357" i="13"/>
  <c r="F357" i="13"/>
  <c r="E288" i="13"/>
  <c r="F288" i="13"/>
  <c r="E272" i="13"/>
  <c r="F272" i="13"/>
  <c r="E331" i="13"/>
  <c r="F331" i="13"/>
  <c r="E240" i="13"/>
  <c r="F240" i="13"/>
  <c r="E336" i="13"/>
  <c r="F336" i="13"/>
  <c r="E239" i="13"/>
  <c r="F239" i="13"/>
  <c r="E229" i="13"/>
  <c r="F229" i="13"/>
  <c r="E244" i="13"/>
  <c r="F244" i="13"/>
  <c r="E372" i="13"/>
  <c r="F372" i="13"/>
  <c r="E381" i="13"/>
  <c r="F381" i="13"/>
  <c r="E234" i="13"/>
  <c r="F234" i="13"/>
  <c r="E380" i="13"/>
  <c r="F380" i="13"/>
  <c r="E233" i="13"/>
  <c r="F233" i="13"/>
  <c r="E264" i="13"/>
  <c r="F264" i="13"/>
  <c r="E253" i="13"/>
  <c r="F253" i="13"/>
  <c r="E385" i="13"/>
  <c r="F385" i="13"/>
  <c r="E400" i="13"/>
  <c r="F400" i="13"/>
  <c r="E433" i="13"/>
  <c r="F433" i="13"/>
  <c r="E437" i="13"/>
  <c r="F437" i="13"/>
  <c r="E393" i="13"/>
  <c r="F393" i="13"/>
  <c r="E379" i="13"/>
  <c r="F379" i="13"/>
  <c r="E412" i="13"/>
  <c r="F412" i="13"/>
  <c r="E429" i="13"/>
  <c r="F429" i="13"/>
  <c r="F465" i="13"/>
  <c r="C427" i="2" s="1"/>
  <c r="R399" i="4" s="1"/>
  <c r="S399" i="4" s="1"/>
  <c r="E483" i="13"/>
  <c r="F483" i="13"/>
  <c r="E471" i="13"/>
  <c r="F471" i="13"/>
  <c r="I234" i="2"/>
  <c r="D234" i="2"/>
  <c r="R197" i="4" s="1"/>
  <c r="S197" i="4" s="1"/>
  <c r="AU91" i="2"/>
  <c r="AR92" i="2"/>
  <c r="AO90" i="2"/>
  <c r="AP81" i="2"/>
  <c r="AR86" i="2"/>
  <c r="AV89" i="2"/>
  <c r="AV88" i="2"/>
  <c r="AV87" i="2"/>
  <c r="AT88" i="2"/>
  <c r="AS81" i="2"/>
  <c r="AR74" i="2"/>
  <c r="AS78" i="2"/>
  <c r="AP80" i="2"/>
  <c r="AN81" i="2"/>
  <c r="M81" i="2"/>
  <c r="AO79" i="2"/>
  <c r="AP77" i="2"/>
  <c r="O77" i="2"/>
  <c r="AN85" i="2"/>
  <c r="AV77" i="2"/>
  <c r="U77" i="2"/>
  <c r="AT83" i="2"/>
  <c r="AT74" i="2"/>
  <c r="AU85" i="2"/>
  <c r="AT78" i="2"/>
  <c r="E493" i="13"/>
  <c r="F493" i="13"/>
  <c r="E496" i="13"/>
  <c r="F496" i="13"/>
  <c r="E514" i="13"/>
  <c r="F514" i="13"/>
  <c r="C423" i="2" s="1"/>
  <c r="R116" i="4" s="1"/>
  <c r="S116" i="4" s="1"/>
  <c r="E513" i="13"/>
  <c r="F513" i="13"/>
  <c r="Z299" i="2"/>
  <c r="F299" i="2"/>
  <c r="E293" i="13"/>
  <c r="F293" i="13"/>
  <c r="E326" i="13"/>
  <c r="F326" i="13"/>
  <c r="E469" i="13"/>
  <c r="F469" i="13"/>
  <c r="E311" i="13"/>
  <c r="F311" i="13"/>
  <c r="E384" i="13"/>
  <c r="F384" i="13"/>
  <c r="E383" i="13"/>
  <c r="F383" i="13"/>
  <c r="E236" i="13"/>
  <c r="F236" i="13"/>
  <c r="E363" i="13"/>
  <c r="F363" i="13"/>
  <c r="E371" i="13"/>
  <c r="F371" i="13"/>
  <c r="E368" i="13"/>
  <c r="F368" i="13"/>
  <c r="E369" i="13"/>
  <c r="F369" i="13"/>
  <c r="E269" i="13"/>
  <c r="F269" i="13"/>
  <c r="E260" i="13"/>
  <c r="F260" i="13"/>
  <c r="E261" i="13"/>
  <c r="F261" i="13"/>
  <c r="E445" i="13"/>
  <c r="F445" i="13"/>
  <c r="E423" i="13"/>
  <c r="F423" i="13"/>
  <c r="E411" i="13"/>
  <c r="F411" i="13"/>
  <c r="E463" i="13"/>
  <c r="F463" i="13"/>
  <c r="E404" i="13"/>
  <c r="F404" i="13"/>
  <c r="E432" i="13"/>
  <c r="F432" i="13"/>
  <c r="E457" i="13"/>
  <c r="F457" i="13"/>
  <c r="E306" i="13"/>
  <c r="F306" i="13"/>
  <c r="E430" i="13"/>
  <c r="F430" i="13"/>
  <c r="E464" i="13"/>
  <c r="F464" i="13"/>
  <c r="E475" i="13"/>
  <c r="F475" i="13"/>
  <c r="E473" i="13"/>
  <c r="F473" i="13"/>
  <c r="I233" i="2"/>
  <c r="D233" i="2"/>
  <c r="R196" i="4" s="1"/>
  <c r="S196" i="4" s="1"/>
  <c r="AT90" i="2"/>
  <c r="AR91" i="2"/>
  <c r="AO92" i="2"/>
  <c r="AR79" i="2"/>
  <c r="AT84" i="2"/>
  <c r="AP87" i="2"/>
  <c r="AP86" i="2"/>
  <c r="AN87" i="2"/>
  <c r="M87" i="2"/>
  <c r="AU87" i="2"/>
  <c r="AT80" i="2"/>
  <c r="AS73" i="2"/>
  <c r="AV75" i="2"/>
  <c r="AR78" i="2"/>
  <c r="AQ78" i="2"/>
  <c r="AR76" i="2"/>
  <c r="AR75" i="2"/>
  <c r="AO84" i="2"/>
  <c r="AN77" i="2"/>
  <c r="M77" i="2"/>
  <c r="AP79" i="2"/>
  <c r="AP85" i="2"/>
  <c r="AV84" i="2"/>
  <c r="AU77" i="2"/>
  <c r="T77" i="2"/>
  <c r="E510" i="13"/>
  <c r="F510" i="13"/>
  <c r="E511" i="13"/>
  <c r="F511" i="13"/>
  <c r="E506" i="13"/>
  <c r="F506" i="13"/>
  <c r="E505" i="13"/>
  <c r="F505" i="13"/>
  <c r="E355" i="13"/>
  <c r="F355" i="13"/>
  <c r="Y299" i="2"/>
  <c r="E299" i="2"/>
  <c r="E275" i="13"/>
  <c r="F275" i="13"/>
  <c r="E278" i="13"/>
  <c r="F278" i="13"/>
  <c r="E301" i="13"/>
  <c r="F301" i="13"/>
  <c r="E274" i="13"/>
  <c r="F274" i="13"/>
  <c r="E333" i="13"/>
  <c r="F333" i="13"/>
  <c r="E338" i="13"/>
  <c r="F338" i="13"/>
  <c r="E271" i="13"/>
  <c r="F271" i="13"/>
  <c r="E365" i="13"/>
  <c r="F365" i="13"/>
  <c r="E373" i="13"/>
  <c r="F373" i="13"/>
  <c r="E378" i="13"/>
  <c r="F378" i="13"/>
  <c r="E342" i="13"/>
  <c r="F342" i="13"/>
  <c r="E361" i="13"/>
  <c r="F361" i="13"/>
  <c r="E314" i="13"/>
  <c r="F314" i="13"/>
  <c r="E360" i="13"/>
  <c r="F360" i="13"/>
  <c r="E257" i="13"/>
  <c r="F257" i="13"/>
  <c r="E263" i="13"/>
  <c r="F263" i="13"/>
  <c r="E322" i="13"/>
  <c r="F322" i="13"/>
  <c r="E362" i="13"/>
  <c r="F362" i="13"/>
  <c r="E415" i="13"/>
  <c r="F415" i="13"/>
  <c r="E389" i="13"/>
  <c r="F389" i="13"/>
  <c r="E435" i="13"/>
  <c r="F435" i="13"/>
  <c r="E392" i="13"/>
  <c r="F392" i="13"/>
  <c r="E410" i="13"/>
  <c r="F410" i="13"/>
  <c r="E453" i="13"/>
  <c r="F453" i="13"/>
  <c r="E337" i="13"/>
  <c r="F337" i="13"/>
  <c r="E422" i="13"/>
  <c r="F422" i="13"/>
  <c r="E470" i="13"/>
  <c r="F470" i="13"/>
  <c r="E479" i="13"/>
  <c r="F479" i="13"/>
  <c r="E487" i="13"/>
  <c r="F487" i="13"/>
  <c r="I232" i="2"/>
  <c r="D232" i="2"/>
  <c r="R195" i="4" s="1"/>
  <c r="S195" i="4" s="1"/>
  <c r="AT92" i="2"/>
  <c r="AQ92" i="2"/>
  <c r="AO91" i="2"/>
  <c r="AT77" i="2"/>
  <c r="S77" i="2"/>
  <c r="AV82" i="2"/>
  <c r="AS84" i="2"/>
  <c r="AT82" i="2"/>
  <c r="AQ84" i="2"/>
  <c r="AV86" i="2"/>
  <c r="AU79" i="2"/>
  <c r="AN91" i="2"/>
  <c r="M91" i="2"/>
  <c r="AO74" i="2"/>
  <c r="AT76" i="2"/>
  <c r="AV73" i="2"/>
  <c r="AU88" i="2"/>
  <c r="AS74" i="2"/>
  <c r="AP83" i="2"/>
  <c r="AO76" i="2"/>
  <c r="AS76" i="2"/>
  <c r="AT73" i="2"/>
  <c r="AN84" i="2"/>
  <c r="M84" i="2"/>
  <c r="AV76" i="2"/>
  <c r="E502" i="13"/>
  <c r="F502" i="13"/>
  <c r="E503" i="13"/>
  <c r="F503" i="13"/>
  <c r="E498" i="13"/>
  <c r="F498" i="13"/>
  <c r="E497" i="13"/>
  <c r="F497" i="13"/>
  <c r="E327" i="13"/>
  <c r="F327" i="13"/>
  <c r="X299" i="2"/>
  <c r="D299" i="2"/>
  <c r="E290" i="13"/>
  <c r="F290" i="13"/>
  <c r="E289" i="13"/>
  <c r="F289" i="13"/>
  <c r="E283" i="13"/>
  <c r="F283" i="13"/>
  <c r="E348" i="13"/>
  <c r="F348" i="13"/>
  <c r="E282" i="13"/>
  <c r="F282" i="13"/>
  <c r="E354" i="13"/>
  <c r="F354" i="13"/>
  <c r="E248" i="13"/>
  <c r="F248" i="13"/>
  <c r="E247" i="13"/>
  <c r="F247" i="13"/>
  <c r="E345" i="13"/>
  <c r="F345" i="13"/>
  <c r="E364" i="13"/>
  <c r="F364" i="13"/>
  <c r="E303" i="13"/>
  <c r="F303" i="13"/>
  <c r="E318" i="13"/>
  <c r="F318" i="13"/>
  <c r="E341" i="13"/>
  <c r="F341" i="13"/>
  <c r="E249" i="13"/>
  <c r="F249" i="13"/>
  <c r="E340" i="13"/>
  <c r="F340" i="13"/>
  <c r="E325" i="13"/>
  <c r="F325" i="13"/>
  <c r="E266" i="13"/>
  <c r="F266" i="13"/>
  <c r="E349" i="13"/>
  <c r="F349" i="13"/>
  <c r="E391" i="13"/>
  <c r="F391" i="13"/>
  <c r="E427" i="13"/>
  <c r="F427" i="13"/>
  <c r="E460" i="13"/>
  <c r="F460" i="13"/>
  <c r="E449" i="13"/>
  <c r="F449" i="13"/>
  <c r="E421" i="13"/>
  <c r="F421" i="13"/>
  <c r="E388" i="13"/>
  <c r="F388" i="13"/>
  <c r="E444" i="13"/>
  <c r="F444" i="13"/>
  <c r="E439" i="13"/>
  <c r="F439" i="13"/>
  <c r="E401" i="13"/>
  <c r="F401" i="13"/>
  <c r="E478" i="13"/>
  <c r="F478" i="13"/>
  <c r="E482" i="13"/>
  <c r="F482" i="13"/>
  <c r="I230" i="2"/>
  <c r="D230" i="2"/>
  <c r="R193" i="4" s="1"/>
  <c r="S193" i="4" s="1"/>
  <c r="AV91" i="2"/>
  <c r="AT91" i="2"/>
  <c r="AQ91" i="2"/>
  <c r="AP89" i="2"/>
  <c r="AU76" i="2"/>
  <c r="AO81" i="2"/>
  <c r="AV81" i="2"/>
  <c r="AN80" i="2"/>
  <c r="M80" i="2"/>
  <c r="AS82" i="2"/>
  <c r="AN86" i="2"/>
  <c r="M86" i="2"/>
  <c r="AV78" i="2"/>
  <c r="AQ88" i="2"/>
  <c r="AO89" i="2"/>
  <c r="AV74" i="2"/>
  <c r="AU89" i="2"/>
  <c r="AO86" i="2"/>
  <c r="AR89" i="2"/>
  <c r="AQ82" i="2"/>
  <c r="AP75" i="2"/>
  <c r="AU74" i="2"/>
  <c r="AN92" i="2"/>
  <c r="M92" i="2"/>
  <c r="AO83" i="2"/>
  <c r="AN76" i="2"/>
  <c r="M76" i="2"/>
  <c r="E509" i="13"/>
  <c r="F509" i="13"/>
  <c r="E488" i="13"/>
  <c r="F488" i="13"/>
  <c r="E490" i="13"/>
  <c r="F490" i="13"/>
  <c r="E489" i="13"/>
  <c r="F489" i="13"/>
  <c r="E302" i="13"/>
  <c r="F302" i="13"/>
  <c r="W299" i="2"/>
  <c r="C299" i="2"/>
  <c r="E284" i="13"/>
  <c r="F284" i="13"/>
  <c r="E321" i="13"/>
  <c r="F321" i="13"/>
  <c r="E330" i="13"/>
  <c r="F330" i="13"/>
  <c r="E297" i="13"/>
  <c r="F297" i="13"/>
  <c r="E285" i="13"/>
  <c r="F285" i="13"/>
  <c r="E294" i="13"/>
  <c r="F294" i="13"/>
  <c r="E228" i="13"/>
  <c r="F228" i="13"/>
  <c r="E238" i="13"/>
  <c r="F238" i="13"/>
  <c r="E335" i="13"/>
  <c r="F335" i="13"/>
  <c r="E343" i="13"/>
  <c r="F343" i="13"/>
  <c r="E376" i="13"/>
  <c r="F376" i="13"/>
  <c r="E307" i="13"/>
  <c r="F307" i="13"/>
  <c r="E317" i="13"/>
  <c r="F317" i="13"/>
  <c r="E232" i="13"/>
  <c r="F232" i="13"/>
  <c r="E315" i="13"/>
  <c r="F315" i="13"/>
  <c r="E270" i="13"/>
  <c r="F270" i="13"/>
  <c r="E259" i="13"/>
  <c r="F259" i="13"/>
  <c r="E292" i="13"/>
  <c r="F292" i="13"/>
  <c r="E370" i="13"/>
  <c r="F370" i="13"/>
  <c r="E414" i="13"/>
  <c r="F414" i="13"/>
  <c r="E398" i="13"/>
  <c r="F398" i="13"/>
  <c r="E442" i="13"/>
  <c r="F442" i="13"/>
  <c r="E246" i="13"/>
  <c r="F246" i="13"/>
  <c r="E459" i="13"/>
  <c r="F459" i="13"/>
  <c r="E446" i="13"/>
  <c r="F446" i="13"/>
  <c r="E418" i="13"/>
  <c r="F418" i="13"/>
  <c r="E397" i="13"/>
  <c r="F397" i="13"/>
  <c r="E486" i="13"/>
  <c r="F486" i="13"/>
  <c r="E474" i="13"/>
  <c r="F474" i="13"/>
  <c r="I231" i="2"/>
  <c r="D231" i="2"/>
  <c r="R194" i="4" s="1"/>
  <c r="S194" i="4" s="1"/>
  <c r="AV92" i="2"/>
  <c r="AS91" i="2"/>
  <c r="AQ90" i="2"/>
  <c r="AR87" i="2"/>
  <c r="AN75" i="2"/>
  <c r="M75" i="2"/>
  <c r="AQ79" i="2"/>
  <c r="AO80" i="2"/>
  <c r="AP78" i="2"/>
  <c r="AU80" i="2"/>
  <c r="AO85" i="2"/>
  <c r="AN78" i="2"/>
  <c r="M78" i="2"/>
  <c r="AS86" i="2"/>
  <c r="AQ87" i="2"/>
  <c r="AO73" i="2"/>
  <c r="AO87" i="2"/>
  <c r="AR83" i="2"/>
  <c r="AS88" i="2"/>
  <c r="AR81" i="2"/>
  <c r="AQ74" i="2"/>
  <c r="AN88" i="2"/>
  <c r="M88" i="2"/>
  <c r="AQ89" i="2"/>
  <c r="AP82" i="2"/>
  <c r="AO75" i="2"/>
  <c r="E516" i="13"/>
  <c r="F516" i="13"/>
  <c r="E515" i="13"/>
  <c r="F515" i="13"/>
  <c r="E512" i="13"/>
  <c r="F512" i="13"/>
  <c r="E353" i="13"/>
  <c r="F353" i="13"/>
  <c r="V299" i="2"/>
  <c r="B299" i="2"/>
  <c r="E352" i="13"/>
  <c r="F352" i="13"/>
  <c r="E277" i="13"/>
  <c r="F277" i="13"/>
  <c r="E329" i="13"/>
  <c r="F329" i="13"/>
  <c r="E358" i="13"/>
  <c r="F358" i="13"/>
  <c r="E286" i="13"/>
  <c r="F286" i="13"/>
  <c r="E299" i="13"/>
  <c r="F299" i="13"/>
  <c r="E375" i="13"/>
  <c r="F375" i="13"/>
  <c r="E230" i="13"/>
  <c r="F230" i="13"/>
  <c r="E310" i="13"/>
  <c r="F310" i="13"/>
  <c r="E319" i="13"/>
  <c r="F319" i="13"/>
  <c r="E374" i="13"/>
  <c r="F374" i="13"/>
  <c r="E252" i="13"/>
  <c r="F252" i="13"/>
  <c r="E305" i="13"/>
  <c r="F305" i="13"/>
  <c r="E347" i="13"/>
  <c r="F347" i="13"/>
  <c r="E304" i="13"/>
  <c r="F304" i="13"/>
  <c r="E262" i="13"/>
  <c r="F262" i="13"/>
  <c r="E268" i="13"/>
  <c r="F268" i="13"/>
  <c r="E276" i="13"/>
  <c r="F276" i="13"/>
  <c r="E434" i="13"/>
  <c r="F434" i="13"/>
  <c r="E405" i="13"/>
  <c r="F405" i="13"/>
  <c r="E450" i="13"/>
  <c r="F450" i="13"/>
  <c r="E426" i="13"/>
  <c r="F426" i="13"/>
  <c r="E462" i="13"/>
  <c r="F462" i="13"/>
  <c r="E441" i="13"/>
  <c r="F441" i="13"/>
  <c r="E402" i="13"/>
  <c r="F402" i="13"/>
  <c r="E395" i="13"/>
  <c r="F395" i="13"/>
  <c r="E420" i="13"/>
  <c r="F420" i="13"/>
  <c r="E477" i="13"/>
  <c r="F477" i="13"/>
  <c r="E481" i="13"/>
  <c r="F481" i="13"/>
  <c r="I229" i="2"/>
  <c r="D229" i="2"/>
  <c r="R192" i="4" s="1"/>
  <c r="S192" i="4" s="1"/>
  <c r="AV90" i="2"/>
  <c r="AS90" i="2"/>
  <c r="AP92" i="2"/>
  <c r="AT85" i="2"/>
  <c r="AP73" i="2"/>
  <c r="AS77" i="2"/>
  <c r="R77" i="2"/>
  <c r="AR77" i="2"/>
  <c r="Q77" i="2"/>
  <c r="AS75" i="2"/>
  <c r="AN79" i="2"/>
  <c r="M79" i="2"/>
  <c r="AP84" i="2"/>
  <c r="AO77" i="2"/>
  <c r="N77" i="2"/>
  <c r="AU84" i="2"/>
  <c r="AS85" i="2"/>
  <c r="AO88" i="2"/>
  <c r="AQ85" i="2"/>
  <c r="AT81" i="2"/>
  <c r="AT87" i="2"/>
  <c r="AS80" i="2"/>
  <c r="AR73" i="2"/>
  <c r="AR84" i="2"/>
  <c r="AR88" i="2"/>
  <c r="AQ81" i="2"/>
  <c r="AP74" i="2"/>
  <c r="E500" i="13"/>
  <c r="F500" i="13"/>
  <c r="E507" i="13"/>
  <c r="F507" i="13"/>
  <c r="C416" i="2" s="1"/>
  <c r="R109" i="4" s="1"/>
  <c r="S109" i="4" s="1"/>
  <c r="E495" i="13"/>
  <c r="F495" i="13"/>
  <c r="D189" i="13"/>
  <c r="E189" i="13" s="1"/>
  <c r="D212" i="13"/>
  <c r="E212" i="13" s="1"/>
  <c r="D225" i="13"/>
  <c r="E225" i="13" s="1"/>
  <c r="D207" i="13"/>
  <c r="E207" i="13" s="1"/>
  <c r="D213" i="13"/>
  <c r="E213" i="13" s="1"/>
  <c r="D203" i="13"/>
  <c r="E203" i="13" s="1"/>
  <c r="D209" i="13"/>
  <c r="E209" i="13" s="1"/>
  <c r="D198" i="13"/>
  <c r="E198" i="13" s="1"/>
  <c r="D210" i="13"/>
  <c r="E210" i="13" s="1"/>
  <c r="D204" i="13"/>
  <c r="E204" i="13" s="1"/>
  <c r="D195" i="13"/>
  <c r="E195" i="13" s="1"/>
  <c r="D192" i="13"/>
  <c r="E192" i="13" s="1"/>
  <c r="D190" i="13"/>
  <c r="E190" i="13" s="1"/>
  <c r="D193" i="13"/>
  <c r="E193" i="13" s="1"/>
  <c r="D196" i="13"/>
  <c r="E196" i="13" s="1"/>
  <c r="D187" i="13"/>
  <c r="E187" i="13" s="1"/>
  <c r="D224" i="13"/>
  <c r="E224" i="13" s="1"/>
  <c r="D188" i="13"/>
  <c r="E188" i="13" s="1"/>
  <c r="D211" i="13"/>
  <c r="E211" i="13" s="1"/>
  <c r="D200" i="13"/>
  <c r="E200" i="13" s="1"/>
  <c r="D226" i="13"/>
  <c r="E226" i="13" s="1"/>
  <c r="D208" i="13"/>
  <c r="E208" i="13" s="1"/>
  <c r="D202" i="13"/>
  <c r="E202" i="13" s="1"/>
  <c r="D206" i="13"/>
  <c r="E206" i="13" s="1"/>
  <c r="D184" i="13"/>
  <c r="E184" i="13" s="1"/>
  <c r="D194" i="13"/>
  <c r="E194" i="13" s="1"/>
  <c r="D201" i="13"/>
  <c r="E201" i="13" s="1"/>
  <c r="D199" i="13"/>
  <c r="E199" i="13" s="1"/>
  <c r="D186" i="13"/>
  <c r="E186" i="13" s="1"/>
  <c r="D197" i="13"/>
  <c r="E197" i="13" s="1"/>
  <c r="D185" i="13"/>
  <c r="E185" i="13" s="1"/>
  <c r="D191" i="13"/>
  <c r="E191" i="13" s="1"/>
  <c r="D126" i="13"/>
  <c r="E126" i="13" s="1"/>
  <c r="D122" i="13"/>
  <c r="E122" i="13" s="1"/>
  <c r="D125" i="13"/>
  <c r="E125" i="13" s="1"/>
  <c r="D108" i="13"/>
  <c r="E108" i="13" s="1"/>
  <c r="D120" i="13"/>
  <c r="E120" i="13" s="1"/>
  <c r="D111" i="13"/>
  <c r="E111" i="13" s="1"/>
  <c r="D109" i="13"/>
  <c r="E109" i="13" s="1"/>
  <c r="D106" i="13"/>
  <c r="F106" i="13" s="1"/>
  <c r="D110" i="13"/>
  <c r="E110" i="13" s="1"/>
  <c r="D113" i="13"/>
  <c r="E113" i="13" s="1"/>
  <c r="D115" i="13"/>
  <c r="E115" i="13" s="1"/>
  <c r="D119" i="13"/>
  <c r="E119" i="13" s="1"/>
  <c r="D114" i="13"/>
  <c r="E114" i="13" s="1"/>
  <c r="D117" i="13"/>
  <c r="E117" i="13" s="1"/>
  <c r="D107" i="13"/>
  <c r="E107" i="13" s="1"/>
  <c r="D112" i="13"/>
  <c r="E112" i="13" s="1"/>
  <c r="D123" i="13"/>
  <c r="E123" i="13" s="1"/>
  <c r="D118" i="13"/>
  <c r="E118" i="13" s="1"/>
  <c r="D121" i="13"/>
  <c r="E121" i="13" s="1"/>
  <c r="D127" i="13"/>
  <c r="E127" i="13" s="1"/>
  <c r="D116" i="13"/>
  <c r="E116" i="13" s="1"/>
  <c r="F137" i="2"/>
  <c r="F131" i="2"/>
  <c r="M314" i="2"/>
  <c r="N314" i="2" s="1"/>
  <c r="F145" i="2"/>
  <c r="H246" i="2"/>
  <c r="I246" i="2" s="1"/>
  <c r="M322" i="2"/>
  <c r="N322" i="2" s="1"/>
  <c r="F151" i="2"/>
  <c r="F144" i="2"/>
  <c r="F136" i="2"/>
  <c r="M315" i="2"/>
  <c r="N315" i="2" s="1"/>
  <c r="F150" i="2"/>
  <c r="F143" i="2"/>
  <c r="M323" i="2"/>
  <c r="N323" i="2" s="1"/>
  <c r="F129" i="2"/>
  <c r="F135" i="2"/>
  <c r="F134" i="2"/>
  <c r="F148" i="2"/>
  <c r="F142" i="2"/>
  <c r="F146" i="2"/>
  <c r="M316" i="2"/>
  <c r="N316" i="2" s="1"/>
  <c r="F141" i="2"/>
  <c r="F140" i="2"/>
  <c r="F149" i="2"/>
  <c r="F138" i="2"/>
  <c r="M317" i="2"/>
  <c r="N317" i="2" s="1"/>
  <c r="F133" i="2"/>
  <c r="F132" i="2"/>
  <c r="F147" i="2"/>
  <c r="M321" i="2"/>
  <c r="N321" i="2" s="1"/>
  <c r="M318" i="2"/>
  <c r="N318" i="2" s="1"/>
  <c r="F139" i="2"/>
  <c r="M320" i="2"/>
  <c r="N320" i="2" s="1"/>
  <c r="M319" i="2"/>
  <c r="N319" i="2" s="1"/>
  <c r="R523" i="4"/>
  <c r="S522" i="4"/>
  <c r="F130" i="2"/>
  <c r="AE123" i="2"/>
  <c r="AN123" i="2" s="1"/>
  <c r="AF123" i="2"/>
  <c r="AO123" i="2" s="1"/>
  <c r="AF122" i="2"/>
  <c r="AO122" i="2" s="1"/>
  <c r="AI122" i="2"/>
  <c r="AR122" i="2" s="1"/>
  <c r="AK122" i="2"/>
  <c r="AT122" i="2" s="1"/>
  <c r="AM122" i="2"/>
  <c r="AV122" i="2" s="1"/>
  <c r="AE122" i="2"/>
  <c r="AN122" i="2" s="1"/>
  <c r="AL122" i="2"/>
  <c r="AU122" i="2" s="1"/>
  <c r="AG122" i="2"/>
  <c r="AP122" i="2" s="1"/>
  <c r="AJ122" i="2"/>
  <c r="AS122" i="2" s="1"/>
  <c r="AH122" i="2"/>
  <c r="AQ122" i="2" s="1"/>
  <c r="AL169" i="2"/>
  <c r="AK169" i="2"/>
  <c r="AJ72" i="2"/>
  <c r="AS72" i="2" s="1"/>
  <c r="AK72" i="2"/>
  <c r="AT72" i="2" s="1"/>
  <c r="AI72" i="2"/>
  <c r="AR72" i="2" s="1"/>
  <c r="AM72" i="2"/>
  <c r="AV72" i="2" s="1"/>
  <c r="AH72" i="2"/>
  <c r="AQ72" i="2" s="1"/>
  <c r="AG72" i="2"/>
  <c r="AP72" i="2" s="1"/>
  <c r="AE72" i="2"/>
  <c r="AN72" i="2" s="1"/>
  <c r="AF72" i="2"/>
  <c r="AO72" i="2" s="1"/>
  <c r="AL72" i="2"/>
  <c r="AU72" i="2" s="1"/>
  <c r="H386" i="2"/>
  <c r="I386" i="2" s="1"/>
  <c r="D386" i="2" s="1"/>
  <c r="H388" i="2"/>
  <c r="I388" i="2" s="1"/>
  <c r="D388" i="2" s="1"/>
  <c r="H391" i="2"/>
  <c r="I391" i="2" s="1"/>
  <c r="D391" i="2" s="1"/>
  <c r="H390" i="2"/>
  <c r="I390" i="2" s="1"/>
  <c r="D390" i="2" s="1"/>
  <c r="H383" i="2"/>
  <c r="I383" i="2" s="1"/>
  <c r="D383" i="2" s="1"/>
  <c r="H387" i="2"/>
  <c r="I387" i="2" s="1"/>
  <c r="D387" i="2" s="1"/>
  <c r="H385" i="2"/>
  <c r="I385" i="2" s="1"/>
  <c r="D385" i="2" s="1"/>
  <c r="H394" i="2"/>
  <c r="I394" i="2" s="1"/>
  <c r="D394" i="2" s="1"/>
  <c r="H384" i="2"/>
  <c r="I384" i="2" s="1"/>
  <c r="D384" i="2" s="1"/>
  <c r="H393" i="2"/>
  <c r="I393" i="2" s="1"/>
  <c r="D393" i="2" s="1"/>
  <c r="H382" i="2"/>
  <c r="I382" i="2" s="1"/>
  <c r="D382" i="2" s="1"/>
  <c r="H389" i="2"/>
  <c r="I389" i="2" s="1"/>
  <c r="D389" i="2" s="1"/>
  <c r="H392" i="2"/>
  <c r="I392" i="2" s="1"/>
  <c r="H252" i="2"/>
  <c r="H250" i="2"/>
  <c r="AU346" i="2"/>
  <c r="BH346" i="2" s="1"/>
  <c r="B304" i="2"/>
  <c r="AO343" i="2"/>
  <c r="BB343" i="2" s="1"/>
  <c r="AO346" i="2"/>
  <c r="BB346" i="2" s="1"/>
  <c r="B346" i="2" s="1"/>
  <c r="R247" i="4" s="1"/>
  <c r="S247" i="4" s="1"/>
  <c r="AO345" i="2"/>
  <c r="BB345" i="2" s="1"/>
  <c r="AU345" i="2"/>
  <c r="BH345" i="2" s="1"/>
  <c r="AO342" i="2"/>
  <c r="BB342" i="2" s="1"/>
  <c r="B303" i="2"/>
  <c r="Q288" i="2"/>
  <c r="V288" i="2" s="1"/>
  <c r="B288" i="2" s="1"/>
  <c r="S289" i="2"/>
  <c r="X289" i="2" s="1"/>
  <c r="D289" i="2" s="1"/>
  <c r="R293" i="2"/>
  <c r="Q298" i="2"/>
  <c r="Q289" i="2"/>
  <c r="S291" i="2"/>
  <c r="X291" i="2" s="1"/>
  <c r="D291" i="2" s="1"/>
  <c r="R296" i="2"/>
  <c r="U293" i="2"/>
  <c r="Z293" i="2" s="1"/>
  <c r="F293" i="2" s="1"/>
  <c r="S290" i="2"/>
  <c r="X290" i="2" s="1"/>
  <c r="D290" i="2" s="1"/>
  <c r="R297" i="2"/>
  <c r="T288" i="2"/>
  <c r="Y288" i="2" s="1"/>
  <c r="E288" i="2" s="1"/>
  <c r="T298" i="2"/>
  <c r="Y298" i="2" s="1"/>
  <c r="E298" i="2" s="1"/>
  <c r="R294" i="2"/>
  <c r="U291" i="2"/>
  <c r="Z291" i="2" s="1"/>
  <c r="F291" i="2" s="1"/>
  <c r="S292" i="2"/>
  <c r="X292" i="2" s="1"/>
  <c r="D292" i="2" s="1"/>
  <c r="U298" i="2"/>
  <c r="Z298" i="2" s="1"/>
  <c r="F298" i="2" s="1"/>
  <c r="T296" i="2"/>
  <c r="Y296" i="2" s="1"/>
  <c r="E296" i="2" s="1"/>
  <c r="R292" i="2"/>
  <c r="U289" i="2"/>
  <c r="Z289" i="2" s="1"/>
  <c r="F289" i="2" s="1"/>
  <c r="R295" i="2"/>
  <c r="T295" i="2"/>
  <c r="Y295" i="2" s="1"/>
  <c r="E295" i="2" s="1"/>
  <c r="Q295" i="2"/>
  <c r="S297" i="2"/>
  <c r="X297" i="2" s="1"/>
  <c r="D297" i="2" s="1"/>
  <c r="Q294" i="2"/>
  <c r="T291" i="2"/>
  <c r="Y291" i="2" s="1"/>
  <c r="E291" i="2" s="1"/>
  <c r="R289" i="2"/>
  <c r="B300" i="2"/>
  <c r="S295" i="2"/>
  <c r="X295" i="2" s="1"/>
  <c r="D295" i="2" s="1"/>
  <c r="Q292" i="2"/>
  <c r="T289" i="2"/>
  <c r="Y289" i="2" s="1"/>
  <c r="E289" i="2" s="1"/>
  <c r="T294" i="2"/>
  <c r="Y294" i="2" s="1"/>
  <c r="E294" i="2" s="1"/>
  <c r="Q297" i="2"/>
  <c r="S293" i="2"/>
  <c r="X293" i="2" s="1"/>
  <c r="D293" i="2" s="1"/>
  <c r="Q290" i="2"/>
  <c r="R298" i="2"/>
  <c r="Q293" i="2"/>
  <c r="U295" i="2"/>
  <c r="Z295" i="2" s="1"/>
  <c r="F295" i="2" s="1"/>
  <c r="T297" i="2"/>
  <c r="Y297" i="2" s="1"/>
  <c r="E297" i="2" s="1"/>
  <c r="Q291" i="2"/>
  <c r="R290" i="2"/>
  <c r="R291" i="2"/>
  <c r="R288" i="2"/>
  <c r="W288" i="2" s="1"/>
  <c r="C288" i="2" s="1"/>
  <c r="U296" i="2"/>
  <c r="Z296" i="2" s="1"/>
  <c r="F296" i="2" s="1"/>
  <c r="S288" i="2"/>
  <c r="X288" i="2" s="1"/>
  <c r="D288" i="2" s="1"/>
  <c r="S298" i="2"/>
  <c r="X298" i="2" s="1"/>
  <c r="D298" i="2" s="1"/>
  <c r="U294" i="2"/>
  <c r="Z294" i="2" s="1"/>
  <c r="F294" i="2" s="1"/>
  <c r="T292" i="2"/>
  <c r="Y292" i="2" s="1"/>
  <c r="E292" i="2" s="1"/>
  <c r="T293" i="2"/>
  <c r="Y293" i="2" s="1"/>
  <c r="E293" i="2" s="1"/>
  <c r="S296" i="2"/>
  <c r="X296" i="2" s="1"/>
  <c r="D296" i="2" s="1"/>
  <c r="U292" i="2"/>
  <c r="Z292" i="2" s="1"/>
  <c r="F292" i="2" s="1"/>
  <c r="T290" i="2"/>
  <c r="Y290" i="2" s="1"/>
  <c r="E290" i="2" s="1"/>
  <c r="Q296" i="2"/>
  <c r="U288" i="2"/>
  <c r="Z288" i="2" s="1"/>
  <c r="F288" i="2" s="1"/>
  <c r="U297" i="2"/>
  <c r="Z297" i="2" s="1"/>
  <c r="F297" i="2" s="1"/>
  <c r="S294" i="2"/>
  <c r="X294" i="2" s="1"/>
  <c r="D294" i="2" s="1"/>
  <c r="U290" i="2"/>
  <c r="Z290" i="2" s="1"/>
  <c r="F290" i="2" s="1"/>
  <c r="AQ329" i="2"/>
  <c r="BD329" i="2" s="1"/>
  <c r="D329" i="2" s="1"/>
  <c r="AU329" i="2"/>
  <c r="BH329" i="2" s="1"/>
  <c r="H329" i="2" s="1"/>
  <c r="AY329" i="2"/>
  <c r="BL329" i="2" s="1"/>
  <c r="L329" i="2" s="1"/>
  <c r="AP330" i="2"/>
  <c r="BC330" i="2" s="1"/>
  <c r="C330" i="2" s="1"/>
  <c r="AT330" i="2"/>
  <c r="BG330" i="2" s="1"/>
  <c r="G330" i="2" s="1"/>
  <c r="AX330" i="2"/>
  <c r="BK330" i="2" s="1"/>
  <c r="K330" i="2" s="1"/>
  <c r="AO331" i="2"/>
  <c r="BB331" i="2" s="1"/>
  <c r="B331" i="2" s="1"/>
  <c r="AS331" i="2"/>
  <c r="BF331" i="2" s="1"/>
  <c r="F331" i="2" s="1"/>
  <c r="AW331" i="2"/>
  <c r="BJ331" i="2" s="1"/>
  <c r="J331" i="2" s="1"/>
  <c r="BA331" i="2"/>
  <c r="BN331" i="2" s="1"/>
  <c r="N331" i="2" s="1"/>
  <c r="AR332" i="2"/>
  <c r="BE332" i="2" s="1"/>
  <c r="E332" i="2" s="1"/>
  <c r="AV332" i="2"/>
  <c r="BI332" i="2" s="1"/>
  <c r="I332" i="2" s="1"/>
  <c r="AZ332" i="2"/>
  <c r="BM332" i="2" s="1"/>
  <c r="M332" i="2" s="1"/>
  <c r="AQ333" i="2"/>
  <c r="BD333" i="2" s="1"/>
  <c r="D333" i="2" s="1"/>
  <c r="AU333" i="2"/>
  <c r="BH333" i="2" s="1"/>
  <c r="H333" i="2" s="1"/>
  <c r="AY333" i="2"/>
  <c r="BL333" i="2" s="1"/>
  <c r="L333" i="2" s="1"/>
  <c r="AP334" i="2"/>
  <c r="BC334" i="2" s="1"/>
  <c r="C334" i="2" s="1"/>
  <c r="AT334" i="2"/>
  <c r="BG334" i="2" s="1"/>
  <c r="G334" i="2" s="1"/>
  <c r="AX334" i="2"/>
  <c r="BK334" i="2" s="1"/>
  <c r="K334" i="2" s="1"/>
  <c r="AO335" i="2"/>
  <c r="BB335" i="2" s="1"/>
  <c r="B335" i="2" s="1"/>
  <c r="AS335" i="2"/>
  <c r="BF335" i="2" s="1"/>
  <c r="F335" i="2" s="1"/>
  <c r="AW335" i="2"/>
  <c r="BJ335" i="2" s="1"/>
  <c r="J335" i="2" s="1"/>
  <c r="BA335" i="2"/>
  <c r="BN335" i="2" s="1"/>
  <c r="N335" i="2" s="1"/>
  <c r="AR336" i="2"/>
  <c r="BE336" i="2" s="1"/>
  <c r="E336" i="2" s="1"/>
  <c r="AV336" i="2"/>
  <c r="BI336" i="2" s="1"/>
  <c r="I336" i="2" s="1"/>
  <c r="AZ336" i="2"/>
  <c r="BM336" i="2" s="1"/>
  <c r="M336" i="2" s="1"/>
  <c r="AQ337" i="2"/>
  <c r="BD337" i="2" s="1"/>
  <c r="D337" i="2" s="1"/>
  <c r="AU337" i="2"/>
  <c r="BH337" i="2" s="1"/>
  <c r="H337" i="2" s="1"/>
  <c r="AY337" i="2"/>
  <c r="BL337" i="2" s="1"/>
  <c r="L337" i="2" s="1"/>
  <c r="AP338" i="2"/>
  <c r="BC338" i="2" s="1"/>
  <c r="C338" i="2" s="1"/>
  <c r="AT338" i="2"/>
  <c r="BG338" i="2" s="1"/>
  <c r="G338" i="2" s="1"/>
  <c r="AX338" i="2"/>
  <c r="BK338" i="2" s="1"/>
  <c r="K338" i="2" s="1"/>
  <c r="AO339" i="2"/>
  <c r="BB339" i="2" s="1"/>
  <c r="B339" i="2" s="1"/>
  <c r="AS339" i="2"/>
  <c r="BF339" i="2" s="1"/>
  <c r="F339" i="2" s="1"/>
  <c r="AW339" i="2"/>
  <c r="BJ339" i="2" s="1"/>
  <c r="J339" i="2" s="1"/>
  <c r="BA339" i="2"/>
  <c r="BN339" i="2" s="1"/>
  <c r="N339" i="2" s="1"/>
  <c r="AS328" i="2"/>
  <c r="BF328" i="2" s="1"/>
  <c r="F328" i="2" s="1"/>
  <c r="AW328" i="2"/>
  <c r="BJ328" i="2" s="1"/>
  <c r="J328" i="2" s="1"/>
  <c r="BA328" i="2"/>
  <c r="BN328" i="2" s="1"/>
  <c r="N328" i="2" s="1"/>
  <c r="AR329" i="2"/>
  <c r="BE329" i="2" s="1"/>
  <c r="E329" i="2" s="1"/>
  <c r="AZ329" i="2"/>
  <c r="BM329" i="2" s="1"/>
  <c r="M329" i="2" s="1"/>
  <c r="AU330" i="2"/>
  <c r="BH330" i="2" s="1"/>
  <c r="H330" i="2" s="1"/>
  <c r="AP331" i="2"/>
  <c r="BC331" i="2" s="1"/>
  <c r="C331" i="2" s="1"/>
  <c r="AX331" i="2"/>
  <c r="BK331" i="2" s="1"/>
  <c r="K331" i="2" s="1"/>
  <c r="AS332" i="2"/>
  <c r="BF332" i="2" s="1"/>
  <c r="F332" i="2" s="1"/>
  <c r="BA332" i="2"/>
  <c r="BN332" i="2" s="1"/>
  <c r="N332" i="2" s="1"/>
  <c r="AV333" i="2"/>
  <c r="BI333" i="2" s="1"/>
  <c r="I333" i="2" s="1"/>
  <c r="AQ334" i="2"/>
  <c r="BD334" i="2" s="1"/>
  <c r="D334" i="2" s="1"/>
  <c r="AY334" i="2"/>
  <c r="BL334" i="2" s="1"/>
  <c r="L334" i="2" s="1"/>
  <c r="AT335" i="2"/>
  <c r="BG335" i="2" s="1"/>
  <c r="G335" i="2" s="1"/>
  <c r="AO336" i="2"/>
  <c r="BB336" i="2" s="1"/>
  <c r="B336" i="2" s="1"/>
  <c r="AW336" i="2"/>
  <c r="BJ336" i="2" s="1"/>
  <c r="J336" i="2" s="1"/>
  <c r="AV337" i="2"/>
  <c r="BI337" i="2" s="1"/>
  <c r="I337" i="2" s="1"/>
  <c r="AQ338" i="2"/>
  <c r="BD338" i="2" s="1"/>
  <c r="D338" i="2" s="1"/>
  <c r="AY338" i="2"/>
  <c r="BL338" i="2" s="1"/>
  <c r="L338" i="2" s="1"/>
  <c r="AT339" i="2"/>
  <c r="BG339" i="2" s="1"/>
  <c r="G339" i="2" s="1"/>
  <c r="AP328" i="2"/>
  <c r="BC328" i="2" s="1"/>
  <c r="C328" i="2" s="1"/>
  <c r="AX328" i="2"/>
  <c r="BK328" i="2" s="1"/>
  <c r="K328" i="2" s="1"/>
  <c r="AP329" i="2"/>
  <c r="BC329" i="2" s="1"/>
  <c r="C329" i="2" s="1"/>
  <c r="AT329" i="2"/>
  <c r="BG329" i="2" s="1"/>
  <c r="G329" i="2" s="1"/>
  <c r="AX329" i="2"/>
  <c r="BK329" i="2" s="1"/>
  <c r="K329" i="2" s="1"/>
  <c r="AO330" i="2"/>
  <c r="BB330" i="2" s="1"/>
  <c r="B330" i="2" s="1"/>
  <c r="AS330" i="2"/>
  <c r="BF330" i="2" s="1"/>
  <c r="F330" i="2" s="1"/>
  <c r="AW330" i="2"/>
  <c r="BJ330" i="2" s="1"/>
  <c r="J330" i="2" s="1"/>
  <c r="BA330" i="2"/>
  <c r="BN330" i="2" s="1"/>
  <c r="N330" i="2" s="1"/>
  <c r="AR331" i="2"/>
  <c r="BE331" i="2" s="1"/>
  <c r="E331" i="2" s="1"/>
  <c r="AV331" i="2"/>
  <c r="BI331" i="2" s="1"/>
  <c r="I331" i="2" s="1"/>
  <c r="AZ331" i="2"/>
  <c r="BM331" i="2" s="1"/>
  <c r="M331" i="2" s="1"/>
  <c r="AQ332" i="2"/>
  <c r="BD332" i="2" s="1"/>
  <c r="D332" i="2" s="1"/>
  <c r="AU332" i="2"/>
  <c r="BH332" i="2" s="1"/>
  <c r="H332" i="2" s="1"/>
  <c r="AY332" i="2"/>
  <c r="BL332" i="2" s="1"/>
  <c r="L332" i="2" s="1"/>
  <c r="AP333" i="2"/>
  <c r="BC333" i="2" s="1"/>
  <c r="C333" i="2" s="1"/>
  <c r="AT333" i="2"/>
  <c r="BG333" i="2" s="1"/>
  <c r="G333" i="2" s="1"/>
  <c r="AX333" i="2"/>
  <c r="BK333" i="2" s="1"/>
  <c r="K333" i="2" s="1"/>
  <c r="AO334" i="2"/>
  <c r="BB334" i="2" s="1"/>
  <c r="B334" i="2" s="1"/>
  <c r="AS334" i="2"/>
  <c r="BF334" i="2" s="1"/>
  <c r="F334" i="2" s="1"/>
  <c r="AW334" i="2"/>
  <c r="BJ334" i="2" s="1"/>
  <c r="J334" i="2" s="1"/>
  <c r="BA334" i="2"/>
  <c r="BN334" i="2" s="1"/>
  <c r="N334" i="2" s="1"/>
  <c r="AR335" i="2"/>
  <c r="BE335" i="2" s="1"/>
  <c r="E335" i="2" s="1"/>
  <c r="AV335" i="2"/>
  <c r="BI335" i="2" s="1"/>
  <c r="I335" i="2" s="1"/>
  <c r="AZ335" i="2"/>
  <c r="BM335" i="2" s="1"/>
  <c r="M335" i="2" s="1"/>
  <c r="AQ336" i="2"/>
  <c r="BD336" i="2" s="1"/>
  <c r="D336" i="2" s="1"/>
  <c r="AU336" i="2"/>
  <c r="BH336" i="2" s="1"/>
  <c r="H336" i="2" s="1"/>
  <c r="AY336" i="2"/>
  <c r="BL336" i="2" s="1"/>
  <c r="L336" i="2" s="1"/>
  <c r="AP337" i="2"/>
  <c r="BC337" i="2" s="1"/>
  <c r="C337" i="2" s="1"/>
  <c r="AT337" i="2"/>
  <c r="BG337" i="2" s="1"/>
  <c r="G337" i="2" s="1"/>
  <c r="AX337" i="2"/>
  <c r="BK337" i="2" s="1"/>
  <c r="K337" i="2" s="1"/>
  <c r="AO338" i="2"/>
  <c r="BB338" i="2" s="1"/>
  <c r="B338" i="2" s="1"/>
  <c r="AS338" i="2"/>
  <c r="BF338" i="2" s="1"/>
  <c r="F338" i="2" s="1"/>
  <c r="AW338" i="2"/>
  <c r="BJ338" i="2" s="1"/>
  <c r="J338" i="2" s="1"/>
  <c r="BA338" i="2"/>
  <c r="BN338" i="2" s="1"/>
  <c r="N338" i="2" s="1"/>
  <c r="AR339" i="2"/>
  <c r="BE339" i="2" s="1"/>
  <c r="E339" i="2" s="1"/>
  <c r="AV339" i="2"/>
  <c r="BI339" i="2" s="1"/>
  <c r="I339" i="2" s="1"/>
  <c r="AZ339" i="2"/>
  <c r="BM339" i="2" s="1"/>
  <c r="M339" i="2" s="1"/>
  <c r="AR328" i="2"/>
  <c r="BE328" i="2" s="1"/>
  <c r="E328" i="2" s="1"/>
  <c r="AV328" i="2"/>
  <c r="BI328" i="2" s="1"/>
  <c r="I328" i="2" s="1"/>
  <c r="AZ328" i="2"/>
  <c r="BM328" i="2" s="1"/>
  <c r="M328" i="2" s="1"/>
  <c r="AV329" i="2"/>
  <c r="BI329" i="2" s="1"/>
  <c r="I329" i="2" s="1"/>
  <c r="AQ330" i="2"/>
  <c r="BD330" i="2" s="1"/>
  <c r="D330" i="2" s="1"/>
  <c r="AY330" i="2"/>
  <c r="BL330" i="2" s="1"/>
  <c r="L330" i="2" s="1"/>
  <c r="AT331" i="2"/>
  <c r="BG331" i="2" s="1"/>
  <c r="G331" i="2" s="1"/>
  <c r="AO332" i="2"/>
  <c r="BB332" i="2" s="1"/>
  <c r="B332" i="2" s="1"/>
  <c r="AW332" i="2"/>
  <c r="BJ332" i="2" s="1"/>
  <c r="J332" i="2" s="1"/>
  <c r="AR333" i="2"/>
  <c r="BE333" i="2" s="1"/>
  <c r="E333" i="2" s="1"/>
  <c r="AZ333" i="2"/>
  <c r="BM333" i="2" s="1"/>
  <c r="M333" i="2" s="1"/>
  <c r="AU334" i="2"/>
  <c r="BH334" i="2" s="1"/>
  <c r="H334" i="2" s="1"/>
  <c r="AP335" i="2"/>
  <c r="BC335" i="2" s="1"/>
  <c r="C335" i="2" s="1"/>
  <c r="AX335" i="2"/>
  <c r="BK335" i="2" s="1"/>
  <c r="K335" i="2" s="1"/>
  <c r="AS336" i="2"/>
  <c r="BF336" i="2" s="1"/>
  <c r="F336" i="2" s="1"/>
  <c r="AR337" i="2"/>
  <c r="BE337" i="2" s="1"/>
  <c r="E337" i="2" s="1"/>
  <c r="AZ337" i="2"/>
  <c r="BM337" i="2" s="1"/>
  <c r="M337" i="2" s="1"/>
  <c r="AU338" i="2"/>
  <c r="BH338" i="2" s="1"/>
  <c r="H338" i="2" s="1"/>
  <c r="AP339" i="2"/>
  <c r="BC339" i="2" s="1"/>
  <c r="C339" i="2" s="1"/>
  <c r="AX339" i="2"/>
  <c r="BK339" i="2" s="1"/>
  <c r="K339" i="2" s="1"/>
  <c r="AT328" i="2"/>
  <c r="BG328" i="2" s="1"/>
  <c r="G328" i="2" s="1"/>
  <c r="AO329" i="2"/>
  <c r="BB329" i="2" s="1"/>
  <c r="B329" i="2" s="1"/>
  <c r="AS329" i="2"/>
  <c r="BF329" i="2" s="1"/>
  <c r="F329" i="2" s="1"/>
  <c r="AW329" i="2"/>
  <c r="BJ329" i="2" s="1"/>
  <c r="J329" i="2" s="1"/>
  <c r="BA329" i="2"/>
  <c r="BN329" i="2" s="1"/>
  <c r="N329" i="2" s="1"/>
  <c r="AR330" i="2"/>
  <c r="BE330" i="2" s="1"/>
  <c r="E330" i="2" s="1"/>
  <c r="AV330" i="2"/>
  <c r="BI330" i="2" s="1"/>
  <c r="I330" i="2" s="1"/>
  <c r="AZ330" i="2"/>
  <c r="BM330" i="2" s="1"/>
  <c r="M330" i="2" s="1"/>
  <c r="AQ331" i="2"/>
  <c r="BD331" i="2" s="1"/>
  <c r="D331" i="2" s="1"/>
  <c r="AU331" i="2"/>
  <c r="BH331" i="2" s="1"/>
  <c r="H331" i="2" s="1"/>
  <c r="AY331" i="2"/>
  <c r="BL331" i="2" s="1"/>
  <c r="L331" i="2" s="1"/>
  <c r="AP332" i="2"/>
  <c r="BC332" i="2" s="1"/>
  <c r="C332" i="2" s="1"/>
  <c r="AT332" i="2"/>
  <c r="BG332" i="2" s="1"/>
  <c r="G332" i="2" s="1"/>
  <c r="AX332" i="2"/>
  <c r="BK332" i="2" s="1"/>
  <c r="K332" i="2" s="1"/>
  <c r="AO333" i="2"/>
  <c r="BB333" i="2" s="1"/>
  <c r="B333" i="2" s="1"/>
  <c r="AS333" i="2"/>
  <c r="BF333" i="2" s="1"/>
  <c r="F333" i="2" s="1"/>
  <c r="AW333" i="2"/>
  <c r="BJ333" i="2" s="1"/>
  <c r="J333" i="2" s="1"/>
  <c r="BA333" i="2"/>
  <c r="BN333" i="2" s="1"/>
  <c r="N333" i="2" s="1"/>
  <c r="AR334" i="2"/>
  <c r="BE334" i="2" s="1"/>
  <c r="E334" i="2" s="1"/>
  <c r="AV334" i="2"/>
  <c r="BI334" i="2" s="1"/>
  <c r="I334" i="2" s="1"/>
  <c r="AZ334" i="2"/>
  <c r="BM334" i="2" s="1"/>
  <c r="M334" i="2" s="1"/>
  <c r="AQ335" i="2"/>
  <c r="BD335" i="2" s="1"/>
  <c r="D335" i="2" s="1"/>
  <c r="AU335" i="2"/>
  <c r="BH335" i="2" s="1"/>
  <c r="H335" i="2" s="1"/>
  <c r="AY335" i="2"/>
  <c r="BL335" i="2" s="1"/>
  <c r="L335" i="2" s="1"/>
  <c r="AP336" i="2"/>
  <c r="BC336" i="2" s="1"/>
  <c r="C336" i="2" s="1"/>
  <c r="AT336" i="2"/>
  <c r="BG336" i="2" s="1"/>
  <c r="G336" i="2" s="1"/>
  <c r="AX336" i="2"/>
  <c r="BK336" i="2" s="1"/>
  <c r="K336" i="2" s="1"/>
  <c r="AO337" i="2"/>
  <c r="BB337" i="2" s="1"/>
  <c r="B337" i="2" s="1"/>
  <c r="AS337" i="2"/>
  <c r="BF337" i="2" s="1"/>
  <c r="F337" i="2" s="1"/>
  <c r="AW337" i="2"/>
  <c r="BJ337" i="2" s="1"/>
  <c r="J337" i="2" s="1"/>
  <c r="BA337" i="2"/>
  <c r="BN337" i="2" s="1"/>
  <c r="N337" i="2" s="1"/>
  <c r="AR338" i="2"/>
  <c r="BE338" i="2" s="1"/>
  <c r="E338" i="2" s="1"/>
  <c r="AV338" i="2"/>
  <c r="BI338" i="2" s="1"/>
  <c r="I338" i="2" s="1"/>
  <c r="AZ338" i="2"/>
  <c r="BM338" i="2" s="1"/>
  <c r="M338" i="2" s="1"/>
  <c r="AQ339" i="2"/>
  <c r="BD339" i="2" s="1"/>
  <c r="D339" i="2" s="1"/>
  <c r="AU339" i="2"/>
  <c r="BH339" i="2" s="1"/>
  <c r="H339" i="2" s="1"/>
  <c r="AY339" i="2"/>
  <c r="BL339" i="2" s="1"/>
  <c r="L339" i="2" s="1"/>
  <c r="AQ328" i="2"/>
  <c r="BD328" i="2" s="1"/>
  <c r="D328" i="2" s="1"/>
  <c r="AU328" i="2"/>
  <c r="BH328" i="2" s="1"/>
  <c r="H328" i="2" s="1"/>
  <c r="AY328" i="2"/>
  <c r="BL328" i="2" s="1"/>
  <c r="L328" i="2" s="1"/>
  <c r="BA336" i="2"/>
  <c r="BN336" i="2" s="1"/>
  <c r="N336" i="2" s="1"/>
  <c r="AO341" i="2"/>
  <c r="BB341" i="2" s="1"/>
  <c r="B341" i="2" s="1"/>
  <c r="R242" i="4" s="1"/>
  <c r="S242" i="4" s="1"/>
  <c r="AU341" i="2"/>
  <c r="BH341" i="2" s="1"/>
  <c r="H341" i="2" s="1"/>
  <c r="R243" i="4" s="1"/>
  <c r="S243" i="4" s="1"/>
  <c r="AO328" i="2"/>
  <c r="BB328" i="2" s="1"/>
  <c r="B328" i="2" s="1"/>
  <c r="G317" i="2"/>
  <c r="G322" i="2"/>
  <c r="G319" i="2"/>
  <c r="G318" i="2"/>
  <c r="G315" i="2"/>
  <c r="G321" i="2"/>
  <c r="G316" i="2"/>
  <c r="G323" i="2"/>
  <c r="G320" i="2"/>
  <c r="G314" i="2"/>
  <c r="H262" i="2"/>
  <c r="I262" i="2" s="1"/>
  <c r="H253" i="2"/>
  <c r="I253" i="2" s="1"/>
  <c r="H249" i="2"/>
  <c r="I249" i="2" s="1"/>
  <c r="H251" i="2"/>
  <c r="I251" i="2" s="1"/>
  <c r="H256" i="2"/>
  <c r="I256" i="2" s="1"/>
  <c r="H261" i="2"/>
  <c r="I261" i="2" s="1"/>
  <c r="H254" i="2"/>
  <c r="I254" i="2" s="1"/>
  <c r="H255" i="2"/>
  <c r="I255" i="2" s="1"/>
  <c r="H260" i="2"/>
  <c r="I260" i="2" s="1"/>
  <c r="H257" i="2"/>
  <c r="I257" i="2" s="1"/>
  <c r="AD164" i="2"/>
  <c r="B164" i="2" s="1"/>
  <c r="V403" i="4"/>
  <c r="V415" i="4"/>
  <c r="V411" i="4"/>
  <c r="V407" i="4"/>
  <c r="V422" i="4"/>
  <c r="V421" i="4"/>
  <c r="V416" i="4"/>
  <c r="V412" i="4"/>
  <c r="V408" i="4"/>
  <c r="V404" i="4"/>
  <c r="V424" i="4"/>
  <c r="V423" i="4"/>
  <c r="V420" i="4"/>
  <c r="V419" i="4"/>
  <c r="V418" i="4"/>
  <c r="V417" i="4"/>
  <c r="V414" i="4"/>
  <c r="V413" i="4"/>
  <c r="V410" i="4"/>
  <c r="V409" i="4"/>
  <c r="V406" i="4"/>
  <c r="V405" i="4"/>
  <c r="N383" i="4"/>
  <c r="V383" i="4" s="1"/>
  <c r="N381" i="4"/>
  <c r="N390" i="4"/>
  <c r="N388" i="4"/>
  <c r="N386" i="4"/>
  <c r="N378" i="4"/>
  <c r="N376" i="4"/>
  <c r="N374" i="4"/>
  <c r="N372" i="4"/>
  <c r="N371" i="4"/>
  <c r="N369" i="4"/>
  <c r="N384" i="4"/>
  <c r="N382" i="4"/>
  <c r="N379" i="4"/>
  <c r="N370" i="4"/>
  <c r="A399" i="4"/>
  <c r="N389" i="4"/>
  <c r="N387" i="4"/>
  <c r="N385" i="4"/>
  <c r="N380" i="4"/>
  <c r="N377" i="4"/>
  <c r="N375" i="4"/>
  <c r="N373" i="4"/>
  <c r="C324" i="2" l="1"/>
  <c r="D332" i="3"/>
  <c r="Z254" i="4" s="1"/>
  <c r="D392" i="3"/>
  <c r="R353" i="4" s="1"/>
  <c r="D396" i="3"/>
  <c r="R357" i="4" s="1"/>
  <c r="S357" i="4" s="1"/>
  <c r="D389" i="3"/>
  <c r="R350" i="4" s="1"/>
  <c r="D395" i="3"/>
  <c r="R356" i="4" s="1"/>
  <c r="D393" i="3"/>
  <c r="R354" i="4" s="1"/>
  <c r="D387" i="3"/>
  <c r="R348" i="4" s="1"/>
  <c r="D385" i="3"/>
  <c r="R346" i="4" s="1"/>
  <c r="D404" i="3"/>
  <c r="R365" i="4" s="1"/>
  <c r="D401" i="3"/>
  <c r="R362" i="4" s="1"/>
  <c r="R364" i="4"/>
  <c r="D486" i="3"/>
  <c r="Z403" i="4" s="1"/>
  <c r="D405" i="3"/>
  <c r="R366" i="4" s="1"/>
  <c r="S366" i="4" s="1"/>
  <c r="D402" i="3"/>
  <c r="R363" i="4" s="1"/>
  <c r="D394" i="3"/>
  <c r="R355" i="4" s="1"/>
  <c r="D400" i="3"/>
  <c r="R361" i="4" s="1"/>
  <c r="D398" i="3"/>
  <c r="R359" i="4" s="1"/>
  <c r="D397" i="3"/>
  <c r="R358" i="4" s="1"/>
  <c r="D399" i="3"/>
  <c r="R360" i="4" s="1"/>
  <c r="C421" i="2"/>
  <c r="R114" i="4" s="1"/>
  <c r="S114" i="4" s="1"/>
  <c r="C425" i="2"/>
  <c r="R118" i="4" s="1"/>
  <c r="S118" i="4" s="1"/>
  <c r="C424" i="2"/>
  <c r="R117" i="4" s="1"/>
  <c r="S117" i="4" s="1"/>
  <c r="C420" i="2"/>
  <c r="R113" i="4" s="1"/>
  <c r="S113" i="4" s="1"/>
  <c r="AP94" i="1"/>
  <c r="N391" i="4"/>
  <c r="V391" i="4" s="1"/>
  <c r="C77" i="2"/>
  <c r="R69" i="4" s="1"/>
  <c r="C308" i="2"/>
  <c r="D308" i="2" s="1"/>
  <c r="E308" i="2" s="1"/>
  <c r="F308" i="2" s="1"/>
  <c r="C307" i="2"/>
  <c r="D307" i="2" s="1"/>
  <c r="E307" i="2" s="1"/>
  <c r="F307" i="2" s="1"/>
  <c r="C415" i="2"/>
  <c r="R108" i="4" s="1"/>
  <c r="S108" i="4" s="1"/>
  <c r="C417" i="2"/>
  <c r="R110" i="4" s="1"/>
  <c r="S110" i="4" s="1"/>
  <c r="C418" i="2"/>
  <c r="R111" i="4" s="1"/>
  <c r="S111" i="4" s="1"/>
  <c r="C419" i="2"/>
  <c r="R112" i="4" s="1"/>
  <c r="S112" i="4" s="1"/>
  <c r="C412" i="2"/>
  <c r="R105" i="4" s="1"/>
  <c r="S105" i="4" s="1"/>
  <c r="C422" i="2"/>
  <c r="R115" i="4" s="1"/>
  <c r="S115" i="4" s="1"/>
  <c r="C414" i="2"/>
  <c r="R107" i="4" s="1"/>
  <c r="S107" i="4" s="1"/>
  <c r="C413" i="2"/>
  <c r="R106" i="4" s="1"/>
  <c r="S106" i="4" s="1"/>
  <c r="D416" i="3"/>
  <c r="Z369" i="4" s="1"/>
  <c r="C300" i="2"/>
  <c r="D300" i="2" s="1"/>
  <c r="E300" i="2" s="1"/>
  <c r="F300" i="2" s="1"/>
  <c r="C304" i="2"/>
  <c r="D304" i="2" s="1"/>
  <c r="E304" i="2" s="1"/>
  <c r="F304" i="2" s="1"/>
  <c r="C303" i="2"/>
  <c r="D303" i="2" s="1"/>
  <c r="E303" i="2" s="1"/>
  <c r="F303" i="2" s="1"/>
  <c r="N92" i="2"/>
  <c r="U75" i="2"/>
  <c r="Q86" i="2"/>
  <c r="S74" i="2"/>
  <c r="S75" i="2"/>
  <c r="T81" i="2"/>
  <c r="O76" i="2"/>
  <c r="P83" i="2"/>
  <c r="O90" i="2"/>
  <c r="T92" i="2"/>
  <c r="Q85" i="2"/>
  <c r="S87" i="2"/>
  <c r="O83" i="2"/>
  <c r="U78" i="2"/>
  <c r="R89" i="2"/>
  <c r="T90" i="2"/>
  <c r="T85" i="2"/>
  <c r="P88" i="2"/>
  <c r="O81" i="2"/>
  <c r="T74" i="2"/>
  <c r="Q73" i="2"/>
  <c r="Q81" i="2"/>
  <c r="U76" i="2"/>
  <c r="S92" i="2"/>
  <c r="Q82" i="2"/>
  <c r="P87" i="2"/>
  <c r="S91" i="2"/>
  <c r="R83" i="2"/>
  <c r="Q75" i="2"/>
  <c r="C75" i="2" s="1"/>
  <c r="N86" i="2"/>
  <c r="R85" i="2"/>
  <c r="Q91" i="2"/>
  <c r="N73" i="2"/>
  <c r="U73" i="2"/>
  <c r="O92" i="2"/>
  <c r="Q88" i="2"/>
  <c r="P81" i="2"/>
  <c r="U83" i="2"/>
  <c r="T75" i="2"/>
  <c r="N81" i="2"/>
  <c r="U81" i="2"/>
  <c r="N75" i="2"/>
  <c r="T73" i="2"/>
  <c r="T88" i="2"/>
  <c r="U91" i="2"/>
  <c r="C91" i="2" s="1"/>
  <c r="O73" i="2"/>
  <c r="U89" i="2"/>
  <c r="P89" i="2"/>
  <c r="N89" i="2"/>
  <c r="R86" i="2"/>
  <c r="N80" i="2"/>
  <c r="Q76" i="2"/>
  <c r="C76" i="2" s="1"/>
  <c r="P91" i="2"/>
  <c r="Q92" i="2"/>
  <c r="N88" i="2"/>
  <c r="P92" i="2"/>
  <c r="R92" i="2"/>
  <c r="Q84" i="2"/>
  <c r="R87" i="2"/>
  <c r="Q80" i="2"/>
  <c r="N91" i="2"/>
  <c r="U74" i="2"/>
  <c r="R84" i="2"/>
  <c r="R88" i="2"/>
  <c r="R73" i="2"/>
  <c r="P73" i="2"/>
  <c r="R91" i="2"/>
  <c r="P75" i="2"/>
  <c r="U86" i="2"/>
  <c r="U85" i="2"/>
  <c r="P85" i="2"/>
  <c r="U87" i="2"/>
  <c r="T80" i="2"/>
  <c r="N90" i="2"/>
  <c r="N74" i="2"/>
  <c r="R75" i="2"/>
  <c r="O91" i="2"/>
  <c r="N83" i="2"/>
  <c r="S85" i="2"/>
  <c r="S84" i="2"/>
  <c r="O87" i="2"/>
  <c r="R81" i="2"/>
  <c r="R90" i="2"/>
  <c r="R74" i="2"/>
  <c r="N78" i="2"/>
  <c r="T82" i="2"/>
  <c r="T83" i="2"/>
  <c r="O89" i="2"/>
  <c r="Q89" i="2"/>
  <c r="P74" i="2"/>
  <c r="Q83" i="2"/>
  <c r="U88" i="2"/>
  <c r="P84" i="2"/>
  <c r="O74" i="2"/>
  <c r="S86" i="2"/>
  <c r="N82" i="2"/>
  <c r="R76" i="2"/>
  <c r="O85" i="2"/>
  <c r="O86" i="2"/>
  <c r="P90" i="2"/>
  <c r="U92" i="2"/>
  <c r="C92" i="2" s="1"/>
  <c r="T84" i="2"/>
  <c r="S76" i="2"/>
  <c r="U82" i="2"/>
  <c r="U90" i="2"/>
  <c r="C90" i="2" s="1"/>
  <c r="T78" i="2"/>
  <c r="N84" i="2"/>
  <c r="Q90" i="2"/>
  <c r="U80" i="2"/>
  <c r="P86" i="2"/>
  <c r="T87" i="2"/>
  <c r="N87" i="2"/>
  <c r="S90" i="2"/>
  <c r="Q74" i="2"/>
  <c r="C74" i="2" s="1"/>
  <c r="Q78" i="2"/>
  <c r="S83" i="2"/>
  <c r="N76" i="2"/>
  <c r="T86" i="2"/>
  <c r="O84" i="2"/>
  <c r="U84" i="2"/>
  <c r="T76" i="2"/>
  <c r="Q87" i="2"/>
  <c r="C87" i="2" s="1"/>
  <c r="O88" i="2"/>
  <c r="S73" i="2"/>
  <c r="S88" i="2"/>
  <c r="N79" i="2"/>
  <c r="S81" i="2"/>
  <c r="T91" i="2"/>
  <c r="P76" i="2"/>
  <c r="O75" i="2"/>
  <c r="S89" i="2"/>
  <c r="T89" i="2"/>
  <c r="S80" i="2"/>
  <c r="R80" i="2"/>
  <c r="P80" i="2"/>
  <c r="O80" i="2"/>
  <c r="S78" i="2"/>
  <c r="R78" i="2"/>
  <c r="P78" i="2"/>
  <c r="O78" i="2"/>
  <c r="S82" i="2"/>
  <c r="R82" i="2"/>
  <c r="R79" i="2"/>
  <c r="Q79" i="2"/>
  <c r="O79" i="2"/>
  <c r="S79" i="2"/>
  <c r="P79" i="2"/>
  <c r="U79" i="2"/>
  <c r="T79" i="2"/>
  <c r="P82" i="2"/>
  <c r="O82" i="2"/>
  <c r="N85" i="2"/>
  <c r="M85" i="2"/>
  <c r="C85" i="2" s="1"/>
  <c r="W403" i="4"/>
  <c r="F55" i="14" s="1"/>
  <c r="P53" i="14" s="1"/>
  <c r="F122" i="13"/>
  <c r="E106" i="13"/>
  <c r="F213" i="13"/>
  <c r="W291" i="2"/>
  <c r="C291" i="2"/>
  <c r="V292" i="2"/>
  <c r="B292" i="2"/>
  <c r="W294" i="2"/>
  <c r="C294" i="2"/>
  <c r="V289" i="2"/>
  <c r="B289" i="2"/>
  <c r="S347" i="4" s="1"/>
  <c r="V290" i="2"/>
  <c r="B290" i="2"/>
  <c r="W289" i="2"/>
  <c r="C289" i="2"/>
  <c r="V295" i="2"/>
  <c r="B295" i="2"/>
  <c r="W292" i="2"/>
  <c r="C292" i="2"/>
  <c r="W297" i="2"/>
  <c r="C297" i="2"/>
  <c r="V291" i="2"/>
  <c r="B291" i="2"/>
  <c r="S349" i="4" s="1"/>
  <c r="W298" i="2"/>
  <c r="C298" i="2"/>
  <c r="W296" i="2"/>
  <c r="C296" i="2"/>
  <c r="W293" i="2"/>
  <c r="C293" i="2"/>
  <c r="V296" i="2"/>
  <c r="B296" i="2"/>
  <c r="W290" i="2"/>
  <c r="C290" i="2"/>
  <c r="V293" i="2"/>
  <c r="B293" i="2"/>
  <c r="S351" i="4" s="1"/>
  <c r="V297" i="2"/>
  <c r="B297" i="2"/>
  <c r="V294" i="2"/>
  <c r="B294" i="2"/>
  <c r="S352" i="4" s="1"/>
  <c r="W295" i="2"/>
  <c r="C295" i="2"/>
  <c r="V298" i="2"/>
  <c r="B298" i="2"/>
  <c r="J317" i="2"/>
  <c r="C140" i="2"/>
  <c r="R469" i="4" s="1"/>
  <c r="S469" i="4" s="1"/>
  <c r="C129" i="2"/>
  <c r="R458" i="4" s="1"/>
  <c r="S458" i="4" s="1"/>
  <c r="J315" i="2"/>
  <c r="C138" i="2"/>
  <c r="R467" i="4" s="1"/>
  <c r="S467" i="4" s="1"/>
  <c r="C141" i="2"/>
  <c r="R470" i="4" s="1"/>
  <c r="S470" i="4" s="1"/>
  <c r="C151" i="2"/>
  <c r="R480" i="4" s="1"/>
  <c r="F107" i="13"/>
  <c r="F114" i="13"/>
  <c r="F115" i="13"/>
  <c r="C148" i="2"/>
  <c r="R477" i="4" s="1"/>
  <c r="S477" i="4" s="1"/>
  <c r="J316" i="2"/>
  <c r="C144" i="2"/>
  <c r="R473" i="4" s="1"/>
  <c r="S473" i="4" s="1"/>
  <c r="C149" i="2"/>
  <c r="R478" i="4" s="1"/>
  <c r="S478" i="4" s="1"/>
  <c r="C130" i="2"/>
  <c r="R459" i="4" s="1"/>
  <c r="S459" i="4" s="1"/>
  <c r="J314" i="2"/>
  <c r="F117" i="13"/>
  <c r="F119" i="13"/>
  <c r="D392" i="2"/>
  <c r="O122" i="2"/>
  <c r="F212" i="13"/>
  <c r="F189" i="13"/>
  <c r="R122" i="2"/>
  <c r="F192" i="13"/>
  <c r="N123" i="2"/>
  <c r="J320" i="2"/>
  <c r="C145" i="2"/>
  <c r="R474" i="4" s="1"/>
  <c r="S474" i="4" s="1"/>
  <c r="J323" i="2"/>
  <c r="F116" i="13"/>
  <c r="F118" i="13"/>
  <c r="F112" i="13"/>
  <c r="F110" i="13"/>
  <c r="F109" i="13"/>
  <c r="AS407" i="2" s="1"/>
  <c r="F120" i="13"/>
  <c r="F204" i="13"/>
  <c r="F207" i="13"/>
  <c r="S122" i="2"/>
  <c r="M123" i="2"/>
  <c r="J319" i="2"/>
  <c r="C131" i="2"/>
  <c r="R460" i="4" s="1"/>
  <c r="S460" i="4" s="1"/>
  <c r="C150" i="2"/>
  <c r="R479" i="4" s="1"/>
  <c r="F123" i="13"/>
  <c r="F198" i="13"/>
  <c r="F111" i="13"/>
  <c r="F209" i="13"/>
  <c r="T72" i="2"/>
  <c r="M72" i="2"/>
  <c r="O72" i="2"/>
  <c r="P72" i="2"/>
  <c r="Q72" i="2"/>
  <c r="S72" i="2"/>
  <c r="P122" i="2"/>
  <c r="M122" i="2"/>
  <c r="C122" i="2" s="1"/>
  <c r="N122" i="2"/>
  <c r="C135" i="2"/>
  <c r="R464" i="4" s="1"/>
  <c r="S464" i="4" s="1"/>
  <c r="C139" i="2"/>
  <c r="R468" i="4" s="1"/>
  <c r="S468" i="4" s="1"/>
  <c r="J321" i="2"/>
  <c r="C137" i="2"/>
  <c r="R466" i="4" s="1"/>
  <c r="S466" i="4" s="1"/>
  <c r="S211" i="4"/>
  <c r="C132" i="2"/>
  <c r="R461" i="4" s="1"/>
  <c r="S461" i="4" s="1"/>
  <c r="C146" i="2"/>
  <c r="R475" i="4" s="1"/>
  <c r="S475" i="4" s="1"/>
  <c r="D246" i="2"/>
  <c r="C136" i="2"/>
  <c r="R465" i="4" s="1"/>
  <c r="S465" i="4" s="1"/>
  <c r="C143" i="2"/>
  <c r="R472" i="4" s="1"/>
  <c r="S472" i="4" s="1"/>
  <c r="C133" i="2"/>
  <c r="R462" i="4" s="1"/>
  <c r="S462" i="4" s="1"/>
  <c r="F121" i="13"/>
  <c r="F113" i="13"/>
  <c r="F108" i="13"/>
  <c r="F191" i="13"/>
  <c r="F197" i="13"/>
  <c r="F199" i="13"/>
  <c r="F194" i="13"/>
  <c r="F206" i="13"/>
  <c r="F208" i="13"/>
  <c r="F211" i="13"/>
  <c r="F224" i="13"/>
  <c r="F196" i="13"/>
  <c r="F190" i="13"/>
  <c r="F195" i="13"/>
  <c r="F210" i="13"/>
  <c r="F203" i="13"/>
  <c r="F225" i="13"/>
  <c r="N72" i="2"/>
  <c r="U72" i="2"/>
  <c r="R72" i="2"/>
  <c r="T122" i="2"/>
  <c r="U122" i="2"/>
  <c r="Q122" i="2"/>
  <c r="C134" i="2"/>
  <c r="R463" i="4" s="1"/>
  <c r="S463" i="4" s="1"/>
  <c r="J318" i="2"/>
  <c r="C147" i="2"/>
  <c r="R476" i="4" s="1"/>
  <c r="S476" i="4" s="1"/>
  <c r="J322" i="2"/>
  <c r="C142" i="2"/>
  <c r="R471" i="4" s="1"/>
  <c r="S471" i="4" s="1"/>
  <c r="F127" i="13"/>
  <c r="F125" i="13"/>
  <c r="F126" i="13"/>
  <c r="F185" i="13"/>
  <c r="F186" i="13"/>
  <c r="F201" i="13"/>
  <c r="F184" i="13"/>
  <c r="F202" i="13"/>
  <c r="F226" i="13"/>
  <c r="F200" i="13"/>
  <c r="F188" i="13"/>
  <c r="F187" i="13"/>
  <c r="F193" i="13"/>
  <c r="R524" i="4"/>
  <c r="S524" i="4" s="1"/>
  <c r="S523" i="4"/>
  <c r="D252" i="2"/>
  <c r="R205" i="4" s="1"/>
  <c r="I252" i="2"/>
  <c r="D250" i="2"/>
  <c r="R203" i="4" s="1"/>
  <c r="I250" i="2"/>
  <c r="D315" i="2"/>
  <c r="H315" i="2"/>
  <c r="D317" i="2"/>
  <c r="H317" i="2"/>
  <c r="D314" i="2"/>
  <c r="H314" i="2"/>
  <c r="D321" i="2"/>
  <c r="H321" i="2"/>
  <c r="D322" i="2"/>
  <c r="H322" i="2"/>
  <c r="D316" i="2"/>
  <c r="H316" i="2"/>
  <c r="D319" i="2"/>
  <c r="H319" i="2"/>
  <c r="D320" i="2"/>
  <c r="H320" i="2"/>
  <c r="D323" i="2"/>
  <c r="H323" i="2"/>
  <c r="D318" i="2"/>
  <c r="H318" i="2"/>
  <c r="S248" i="4"/>
  <c r="B342" i="2"/>
  <c r="R244" i="4" s="1"/>
  <c r="S244" i="4" s="1"/>
  <c r="H345" i="2"/>
  <c r="R246" i="4" s="1"/>
  <c r="S246" i="4" s="1"/>
  <c r="S250" i="4"/>
  <c r="B305" i="2"/>
  <c r="B301" i="2"/>
  <c r="B345" i="2"/>
  <c r="B306" i="2"/>
  <c r="B343" i="2"/>
  <c r="R245" i="4" s="1"/>
  <c r="S245" i="4" s="1"/>
  <c r="B302" i="2"/>
  <c r="H346" i="2"/>
  <c r="R239" i="4"/>
  <c r="S239" i="4" s="1"/>
  <c r="R230" i="4"/>
  <c r="S230" i="4" s="1"/>
  <c r="R231" i="4"/>
  <c r="S231" i="4" s="1"/>
  <c r="R229" i="4"/>
  <c r="S229" i="4" s="1"/>
  <c r="R228" i="4"/>
  <c r="S228" i="4" s="1"/>
  <c r="R226" i="4"/>
  <c r="S226" i="4" s="1"/>
  <c r="R227" i="4"/>
  <c r="S227" i="4" s="1"/>
  <c r="R236" i="4"/>
  <c r="S236" i="4" s="1"/>
  <c r="R237" i="4"/>
  <c r="S237" i="4" s="1"/>
  <c r="R224" i="4"/>
  <c r="S224" i="4" s="1"/>
  <c r="R225" i="4"/>
  <c r="S225" i="4" s="1"/>
  <c r="R218" i="4"/>
  <c r="R219" i="4"/>
  <c r="S219" i="4" s="1"/>
  <c r="R234" i="4"/>
  <c r="S234" i="4" s="1"/>
  <c r="R235" i="4"/>
  <c r="S235" i="4" s="1"/>
  <c r="R240" i="4"/>
  <c r="S240" i="4" s="1"/>
  <c r="R241" i="4"/>
  <c r="S241" i="4" s="1"/>
  <c r="R223" i="4"/>
  <c r="S223" i="4" s="1"/>
  <c r="R222" i="4"/>
  <c r="S222" i="4" s="1"/>
  <c r="R233" i="4"/>
  <c r="S233" i="4" s="1"/>
  <c r="R232" i="4"/>
  <c r="S232" i="4" s="1"/>
  <c r="R221" i="4"/>
  <c r="S221" i="4" s="1"/>
  <c r="R220" i="4"/>
  <c r="S220" i="4" s="1"/>
  <c r="B325" i="2"/>
  <c r="R238" i="4"/>
  <c r="S238" i="4" s="1"/>
  <c r="D256" i="2"/>
  <c r="R209" i="4" s="1"/>
  <c r="D251" i="2"/>
  <c r="R204" i="4" s="1"/>
  <c r="D249" i="2"/>
  <c r="R202" i="4" s="1"/>
  <c r="D257" i="2"/>
  <c r="R210" i="4" s="1"/>
  <c r="D254" i="2"/>
  <c r="R207" i="4" s="1"/>
  <c r="D261" i="2"/>
  <c r="R214" i="4" s="1"/>
  <c r="S214" i="4" s="1"/>
  <c r="D260" i="2"/>
  <c r="R213" i="4" s="1"/>
  <c r="D255" i="2"/>
  <c r="R208" i="4" s="1"/>
  <c r="D253" i="2"/>
  <c r="R206" i="4" s="1"/>
  <c r="D262" i="2"/>
  <c r="R215" i="4" s="1"/>
  <c r="S215" i="4" s="1"/>
  <c r="V381" i="4"/>
  <c r="V373" i="4"/>
  <c r="V385" i="4"/>
  <c r="V370" i="4"/>
  <c r="V374" i="4"/>
  <c r="V388" i="4"/>
  <c r="V375" i="4"/>
  <c r="V387" i="4"/>
  <c r="V379" i="4"/>
  <c r="V376" i="4"/>
  <c r="V390" i="4"/>
  <c r="V369" i="4"/>
  <c r="V377" i="4"/>
  <c r="V389" i="4"/>
  <c r="V382" i="4"/>
  <c r="V371" i="4"/>
  <c r="V378" i="4"/>
  <c r="V380" i="4"/>
  <c r="V384" i="4"/>
  <c r="V372" i="4"/>
  <c r="V386" i="4"/>
  <c r="Q346" i="4"/>
  <c r="W346" i="4" s="1"/>
  <c r="N255" i="4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Q341" i="4"/>
  <c r="Q339" i="4"/>
  <c r="Q340" i="4"/>
  <c r="Q335" i="4"/>
  <c r="Q336" i="4"/>
  <c r="Q337" i="4"/>
  <c r="Q338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14" i="4"/>
  <c r="Q310" i="4"/>
  <c r="Q311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284" i="4"/>
  <c r="Q278" i="4"/>
  <c r="Q279" i="4"/>
  <c r="Q280" i="4"/>
  <c r="Q281" i="4"/>
  <c r="Q276" i="4"/>
  <c r="Q277" i="4"/>
  <c r="Q273" i="4"/>
  <c r="Q274" i="4"/>
  <c r="Q275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A255" i="4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Q254" i="4"/>
  <c r="F255" i="4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C320" i="2" l="1"/>
  <c r="C318" i="2"/>
  <c r="S350" i="4"/>
  <c r="C319" i="2"/>
  <c r="C322" i="2"/>
  <c r="C314" i="2"/>
  <c r="C316" i="2"/>
  <c r="C321" i="2"/>
  <c r="S356" i="4"/>
  <c r="S353" i="4"/>
  <c r="S354" i="4"/>
  <c r="S362" i="4"/>
  <c r="S348" i="4"/>
  <c r="S365" i="4"/>
  <c r="S361" i="4"/>
  <c r="S355" i="4"/>
  <c r="S358" i="4"/>
  <c r="C79" i="2"/>
  <c r="R71" i="4" s="1"/>
  <c r="S71" i="4" s="1"/>
  <c r="C80" i="2"/>
  <c r="C88" i="2"/>
  <c r="R592" i="4"/>
  <c r="AP95" i="1"/>
  <c r="N392" i="4"/>
  <c r="V392" i="4" s="1"/>
  <c r="C72" i="2"/>
  <c r="R64" i="4" s="1"/>
  <c r="C89" i="2"/>
  <c r="R81" i="4" s="1"/>
  <c r="S81" i="4" s="1"/>
  <c r="C82" i="2"/>
  <c r="R74" i="4" s="1"/>
  <c r="S74" i="4" s="1"/>
  <c r="C73" i="2"/>
  <c r="R65" i="4" s="1"/>
  <c r="S65" i="4" s="1"/>
  <c r="C84" i="2"/>
  <c r="R76" i="4" s="1"/>
  <c r="S76" i="4" s="1"/>
  <c r="C81" i="2"/>
  <c r="R73" i="4" s="1"/>
  <c r="S73" i="4" s="1"/>
  <c r="C78" i="2"/>
  <c r="R70" i="4" s="1"/>
  <c r="S70" i="4" s="1"/>
  <c r="C83" i="2"/>
  <c r="R75" i="4" s="1"/>
  <c r="S75" i="4" s="1"/>
  <c r="C86" i="2"/>
  <c r="R78" i="4" s="1"/>
  <c r="S78" i="4" s="1"/>
  <c r="A284" i="4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282" i="4"/>
  <c r="A283" i="4" s="1"/>
  <c r="F284" i="4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282" i="4"/>
  <c r="F283" i="4" s="1"/>
  <c r="N284" i="4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V311" i="4" s="1"/>
  <c r="N282" i="4"/>
  <c r="AS404" i="2"/>
  <c r="R548" i="4" s="1"/>
  <c r="S548" i="4" s="1"/>
  <c r="AS405" i="2"/>
  <c r="R549" i="4" s="1"/>
  <c r="R554" i="4" s="1"/>
  <c r="R559" i="4" s="1"/>
  <c r="R84" i="4"/>
  <c r="S84" i="4" s="1"/>
  <c r="Z370" i="4"/>
  <c r="Z371" i="4"/>
  <c r="S479" i="4"/>
  <c r="R200" i="4"/>
  <c r="S200" i="4" s="1"/>
  <c r="S480" i="4"/>
  <c r="R201" i="4"/>
  <c r="S201" i="4" s="1"/>
  <c r="AS406" i="2"/>
  <c r="R551" i="4" s="1"/>
  <c r="C323" i="2"/>
  <c r="C315" i="2"/>
  <c r="C317" i="2"/>
  <c r="BF69" i="1" s="1"/>
  <c r="C306" i="2"/>
  <c r="D306" i="2" s="1"/>
  <c r="E306" i="2" s="1"/>
  <c r="F306" i="2" s="1"/>
  <c r="S364" i="4"/>
  <c r="C305" i="2"/>
  <c r="D305" i="2" s="1"/>
  <c r="E305" i="2" s="1"/>
  <c r="F305" i="2" s="1"/>
  <c r="S363" i="4"/>
  <c r="C302" i="2"/>
  <c r="D302" i="2" s="1"/>
  <c r="E302" i="2" s="1"/>
  <c r="F302" i="2" s="1"/>
  <c r="S360" i="4"/>
  <c r="C301" i="2"/>
  <c r="D301" i="2" s="1"/>
  <c r="E301" i="2" s="1"/>
  <c r="F301" i="2" s="1"/>
  <c r="S359" i="4"/>
  <c r="P54" i="14"/>
  <c r="P55" i="14" s="1"/>
  <c r="C46" i="14"/>
  <c r="Q401" i="4"/>
  <c r="Q402" i="4" s="1"/>
  <c r="R72" i="4"/>
  <c r="S72" i="4" s="1"/>
  <c r="S69" i="4"/>
  <c r="R67" i="4"/>
  <c r="S67" i="4" s="1"/>
  <c r="R77" i="4"/>
  <c r="S77" i="4" s="1"/>
  <c r="R68" i="4"/>
  <c r="S68" i="4" s="1"/>
  <c r="R80" i="4"/>
  <c r="S80" i="4" s="1"/>
  <c r="R79" i="4"/>
  <c r="S79" i="4" s="1"/>
  <c r="R82" i="4"/>
  <c r="S82" i="4" s="1"/>
  <c r="R83" i="4"/>
  <c r="S83" i="4" s="1"/>
  <c r="R66" i="4"/>
  <c r="S66" i="4" s="1"/>
  <c r="AW68" i="1"/>
  <c r="S208" i="4"/>
  <c r="S205" i="4"/>
  <c r="S206" i="4"/>
  <c r="S209" i="4"/>
  <c r="S210" i="4"/>
  <c r="S207" i="4"/>
  <c r="S213" i="4"/>
  <c r="S203" i="4"/>
  <c r="S19" i="4"/>
  <c r="V254" i="4"/>
  <c r="V276" i="4"/>
  <c r="V275" i="4"/>
  <c r="V277" i="4"/>
  <c r="V273" i="4"/>
  <c r="V281" i="4"/>
  <c r="V269" i="4"/>
  <c r="V265" i="4"/>
  <c r="V261" i="4"/>
  <c r="V257" i="4"/>
  <c r="V280" i="4"/>
  <c r="V272" i="4"/>
  <c r="V268" i="4"/>
  <c r="V264" i="4"/>
  <c r="V260" i="4"/>
  <c r="V256" i="4"/>
  <c r="V279" i="4"/>
  <c r="V271" i="4"/>
  <c r="V267" i="4"/>
  <c r="V263" i="4"/>
  <c r="V259" i="4"/>
  <c r="V255" i="4"/>
  <c r="V278" i="4"/>
  <c r="V274" i="4"/>
  <c r="V270" i="4"/>
  <c r="V266" i="4"/>
  <c r="V262" i="4"/>
  <c r="V258" i="4"/>
  <c r="A346" i="4"/>
  <c r="AA346" i="4" s="1"/>
  <c r="C47" i="14" s="1"/>
  <c r="S551" i="4" l="1"/>
  <c r="AP96" i="1"/>
  <c r="N393" i="4"/>
  <c r="V393" i="4" s="1"/>
  <c r="S427" i="4"/>
  <c r="V285" i="4"/>
  <c r="V291" i="4"/>
  <c r="V298" i="4"/>
  <c r="V296" i="4"/>
  <c r="V301" i="4"/>
  <c r="V307" i="4"/>
  <c r="N314" i="4"/>
  <c r="N315" i="4" s="1"/>
  <c r="N312" i="4"/>
  <c r="A314" i="4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12" i="4"/>
  <c r="A313" i="4" s="1"/>
  <c r="F314" i="4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12" i="4"/>
  <c r="F313" i="4" s="1"/>
  <c r="N283" i="4"/>
  <c r="V283" i="4" s="1"/>
  <c r="V282" i="4"/>
  <c r="V294" i="4"/>
  <c r="V310" i="4"/>
  <c r="V297" i="4"/>
  <c r="V284" i="4"/>
  <c r="V287" i="4"/>
  <c r="V303" i="4"/>
  <c r="V292" i="4"/>
  <c r="V308" i="4"/>
  <c r="V290" i="4"/>
  <c r="V306" i="4"/>
  <c r="V293" i="4"/>
  <c r="V309" i="4"/>
  <c r="V299" i="4"/>
  <c r="V288" i="4"/>
  <c r="V304" i="4"/>
  <c r="V286" i="4"/>
  <c r="V302" i="4"/>
  <c r="V289" i="4"/>
  <c r="V305" i="4"/>
  <c r="V295" i="4"/>
  <c r="V300" i="4"/>
  <c r="R553" i="4"/>
  <c r="R558" i="4" s="1"/>
  <c r="R550" i="4"/>
  <c r="S550" i="4" s="1"/>
  <c r="S549" i="4"/>
  <c r="S554" i="4"/>
  <c r="R556" i="4"/>
  <c r="R561" i="4" s="1"/>
  <c r="Q344" i="4"/>
  <c r="Q345" i="4" s="1"/>
  <c r="S559" i="4"/>
  <c r="R564" i="4"/>
  <c r="AS70" i="1"/>
  <c r="R428" i="4"/>
  <c r="R429" i="4" s="1"/>
  <c r="S429" i="4" s="1"/>
  <c r="S204" i="4"/>
  <c r="AE39" i="1"/>
  <c r="AP97" i="1" l="1"/>
  <c r="N394" i="4"/>
  <c r="V394" i="4" s="1"/>
  <c r="V314" i="4"/>
  <c r="N316" i="4"/>
  <c r="V315" i="4"/>
  <c r="N313" i="4"/>
  <c r="V313" i="4" s="1"/>
  <c r="V312" i="4"/>
  <c r="S553" i="4"/>
  <c r="R555" i="4"/>
  <c r="R560" i="4" s="1"/>
  <c r="S556" i="4"/>
  <c r="R566" i="4"/>
  <c r="S561" i="4"/>
  <c r="S558" i="4"/>
  <c r="R563" i="4"/>
  <c r="S564" i="4"/>
  <c r="R569" i="4"/>
  <c r="Y65" i="1"/>
  <c r="S428" i="4"/>
  <c r="R430" i="4"/>
  <c r="S430" i="4" s="1"/>
  <c r="AR19" i="4"/>
  <c r="V39" i="1"/>
  <c r="AP98" i="1" l="1"/>
  <c r="N395" i="4"/>
  <c r="V395" i="4" s="1"/>
  <c r="N317" i="4"/>
  <c r="V316" i="4"/>
  <c r="S555" i="4"/>
  <c r="S569" i="4"/>
  <c r="R574" i="4"/>
  <c r="S560" i="4"/>
  <c r="R565" i="4"/>
  <c r="S566" i="4"/>
  <c r="R571" i="4"/>
  <c r="R568" i="4"/>
  <c r="S563" i="4"/>
  <c r="R431" i="4"/>
  <c r="R432" i="4" s="1"/>
  <c r="AP99" i="1" l="1"/>
  <c r="N396" i="4"/>
  <c r="V396" i="4" s="1"/>
  <c r="N318" i="4"/>
  <c r="V317" i="4"/>
  <c r="R576" i="4"/>
  <c r="S571" i="4"/>
  <c r="S565" i="4"/>
  <c r="R570" i="4"/>
  <c r="S568" i="4"/>
  <c r="R573" i="4"/>
  <c r="S574" i="4"/>
  <c r="R579" i="4"/>
  <c r="S431" i="4"/>
  <c r="AW69" i="1"/>
  <c r="R403" i="4"/>
  <c r="R404" i="4" s="1"/>
  <c r="S432" i="4"/>
  <c r="R433" i="4"/>
  <c r="S346" i="4"/>
  <c r="V346" i="4" s="1"/>
  <c r="N51" i="14" l="1"/>
  <c r="P46" i="14" s="1"/>
  <c r="P47" i="14" s="1"/>
  <c r="P48" i="14" s="1"/>
  <c r="P49" i="14" s="1"/>
  <c r="P50" i="14" s="1"/>
  <c r="P51" i="14" s="1"/>
  <c r="P52" i="14" s="1"/>
  <c r="A345" i="4"/>
  <c r="AP100" i="1"/>
  <c r="N398" i="4" s="1"/>
  <c r="V398" i="4" s="1"/>
  <c r="N397" i="4"/>
  <c r="V397" i="4" s="1"/>
  <c r="N319" i="4"/>
  <c r="V318" i="4"/>
  <c r="S570" i="4"/>
  <c r="R575" i="4"/>
  <c r="S576" i="4"/>
  <c r="R581" i="4"/>
  <c r="R584" i="4"/>
  <c r="S579" i="4"/>
  <c r="S573" i="4"/>
  <c r="R578" i="4"/>
  <c r="S403" i="4"/>
  <c r="S433" i="4"/>
  <c r="R434" i="4"/>
  <c r="R405" i="4"/>
  <c r="R406" i="4" s="1"/>
  <c r="S404" i="4"/>
  <c r="W369" i="4" l="1"/>
  <c r="R369" i="4" s="1"/>
  <c r="N320" i="4"/>
  <c r="V319" i="4"/>
  <c r="S575" i="4"/>
  <c r="R580" i="4"/>
  <c r="R583" i="4"/>
  <c r="S578" i="4"/>
  <c r="S581" i="4"/>
  <c r="R586" i="4"/>
  <c r="S584" i="4"/>
  <c r="R589" i="4"/>
  <c r="R594" i="4" s="1"/>
  <c r="S594" i="4" s="1"/>
  <c r="S434" i="4"/>
  <c r="R435" i="4"/>
  <c r="S405" i="4"/>
  <c r="S406" i="4"/>
  <c r="R407" i="4"/>
  <c r="IC1587" i="3"/>
  <c r="HY1587" i="3"/>
  <c r="HU1587" i="3"/>
  <c r="HQ1587" i="3"/>
  <c r="HM1587" i="3"/>
  <c r="HI1587" i="3"/>
  <c r="IC1586" i="3"/>
  <c r="HY1586" i="3"/>
  <c r="HU1586" i="3"/>
  <c r="HQ1586" i="3"/>
  <c r="HM1586" i="3"/>
  <c r="HI1586" i="3"/>
  <c r="IC1585" i="3"/>
  <c r="HY1585" i="3"/>
  <c r="HU1585" i="3"/>
  <c r="HQ1585" i="3"/>
  <c r="HM1585" i="3"/>
  <c r="HI1585" i="3"/>
  <c r="IC1584" i="3"/>
  <c r="HY1584" i="3"/>
  <c r="HU1584" i="3"/>
  <c r="HQ1584" i="3"/>
  <c r="HM1584" i="3"/>
  <c r="HI1584" i="3"/>
  <c r="IC1583" i="3"/>
  <c r="HY1583" i="3"/>
  <c r="HU1583" i="3"/>
  <c r="HQ1583" i="3"/>
  <c r="HM1583" i="3"/>
  <c r="HI1583" i="3"/>
  <c r="IC1582" i="3"/>
  <c r="HY1582" i="3"/>
  <c r="HQ1582" i="3"/>
  <c r="HM1582" i="3"/>
  <c r="HI1582" i="3"/>
  <c r="IC1579" i="3"/>
  <c r="HY1579" i="3"/>
  <c r="HU1579" i="3"/>
  <c r="HQ1579" i="3"/>
  <c r="HM1579" i="3"/>
  <c r="IA1578" i="3"/>
  <c r="HW1578" i="3"/>
  <c r="HS1578" i="3"/>
  <c r="HO1578" i="3"/>
  <c r="HK1578" i="3"/>
  <c r="HG1578" i="3"/>
  <c r="IC1577" i="3"/>
  <c r="IB1577" i="3"/>
  <c r="HX1577" i="3"/>
  <c r="HU1577" i="3"/>
  <c r="HT1577" i="3"/>
  <c r="HQ1577" i="3"/>
  <c r="HP1577" i="3"/>
  <c r="HM1577" i="3"/>
  <c r="HL1577" i="3"/>
  <c r="HI1577" i="3"/>
  <c r="HH1577" i="3"/>
  <c r="IC1576" i="3"/>
  <c r="HY1576" i="3"/>
  <c r="HU1576" i="3"/>
  <c r="HQ1576" i="3"/>
  <c r="HM1576" i="3"/>
  <c r="HI1576" i="3"/>
  <c r="IC1575" i="3"/>
  <c r="HY1575" i="3"/>
  <c r="HU1575" i="3"/>
  <c r="HQ1575" i="3"/>
  <c r="HM1575" i="3"/>
  <c r="HI1575" i="3"/>
  <c r="Q367" i="4" l="1"/>
  <c r="Q368" i="4" s="1"/>
  <c r="S369" i="4"/>
  <c r="AN70" i="1"/>
  <c r="F34" i="14"/>
  <c r="P32" i="14" s="1"/>
  <c r="P33" i="14" s="1"/>
  <c r="P34" i="14" s="1"/>
  <c r="P35" i="14" s="1"/>
  <c r="S18" i="4"/>
  <c r="N321" i="4"/>
  <c r="V320" i="4"/>
  <c r="R598" i="4"/>
  <c r="S589" i="4"/>
  <c r="S586" i="4"/>
  <c r="R591" i="4"/>
  <c r="S580" i="4"/>
  <c r="R585" i="4"/>
  <c r="R588" i="4"/>
  <c r="R593" i="4" s="1"/>
  <c r="S583" i="4"/>
  <c r="S435" i="4"/>
  <c r="R436" i="4"/>
  <c r="R408" i="4"/>
  <c r="S407" i="4"/>
  <c r="N87" i="4"/>
  <c r="N88" i="4"/>
  <c r="N89" i="4"/>
  <c r="N90" i="4"/>
  <c r="N91" i="4"/>
  <c r="N92" i="4"/>
  <c r="N93" i="4"/>
  <c r="N94" i="4"/>
  <c r="N86" i="4"/>
  <c r="K88" i="4"/>
  <c r="K89" i="4"/>
  <c r="K90" i="4"/>
  <c r="K91" i="4"/>
  <c r="K92" i="4"/>
  <c r="K93" i="4"/>
  <c r="K94" i="4"/>
  <c r="K87" i="4"/>
  <c r="K86" i="4"/>
  <c r="N85" i="4"/>
  <c r="K85" i="4"/>
  <c r="R596" i="4" l="1"/>
  <c r="R600" i="4" s="1"/>
  <c r="R370" i="4"/>
  <c r="R371" i="4" s="1"/>
  <c r="N322" i="4"/>
  <c r="V321" i="4"/>
  <c r="R602" i="4"/>
  <c r="S602" i="4" s="1"/>
  <c r="S598" i="4"/>
  <c r="R597" i="4"/>
  <c r="S597" i="4" s="1"/>
  <c r="S593" i="4"/>
  <c r="S588" i="4"/>
  <c r="S591" i="4"/>
  <c r="S585" i="4"/>
  <c r="R590" i="4"/>
  <c r="S436" i="4"/>
  <c r="R437" i="4"/>
  <c r="R409" i="4"/>
  <c r="S218" i="4"/>
  <c r="Z218" i="4" s="1"/>
  <c r="A217" i="4" s="1"/>
  <c r="S408" i="4"/>
  <c r="S596" i="4" l="1"/>
  <c r="S370" i="4"/>
  <c r="S371" i="4"/>
  <c r="R372" i="4"/>
  <c r="N323" i="4"/>
  <c r="V322" i="4"/>
  <c r="R604" i="4"/>
  <c r="S600" i="4"/>
  <c r="R606" i="4"/>
  <c r="S606" i="4" s="1"/>
  <c r="R601" i="4"/>
  <c r="S601" i="4" s="1"/>
  <c r="S590" i="4"/>
  <c r="R595" i="4"/>
  <c r="S595" i="4" s="1"/>
  <c r="N40" i="14"/>
  <c r="P36" i="14" s="1"/>
  <c r="P37" i="14" s="1"/>
  <c r="P39" i="14" s="1"/>
  <c r="P40" i="14" s="1"/>
  <c r="P41" i="14" s="1"/>
  <c r="Q216" i="4"/>
  <c r="Q217" i="4" s="1"/>
  <c r="S437" i="4"/>
  <c r="R438" i="4"/>
  <c r="S409" i="4"/>
  <c r="R410" i="4"/>
  <c r="Q86" i="4"/>
  <c r="AA86" i="4" s="1"/>
  <c r="Q87" i="4"/>
  <c r="AA87" i="4" s="1"/>
  <c r="Q88" i="4"/>
  <c r="AA88" i="4" s="1"/>
  <c r="Q89" i="4"/>
  <c r="AA89" i="4" s="1"/>
  <c r="Q90" i="4"/>
  <c r="AA90" i="4" s="1"/>
  <c r="Q91" i="4"/>
  <c r="AA91" i="4" s="1"/>
  <c r="Q92" i="4"/>
  <c r="AA92" i="4" s="1"/>
  <c r="Q93" i="4"/>
  <c r="AA93" i="4" s="1"/>
  <c r="Q94" i="4"/>
  <c r="AA94" i="4" s="1"/>
  <c r="Q85" i="4"/>
  <c r="AA85" i="4" s="1"/>
  <c r="R373" i="4" l="1"/>
  <c r="S372" i="4"/>
  <c r="N324" i="4"/>
  <c r="V323" i="4"/>
  <c r="R608" i="4"/>
  <c r="S608" i="4" s="1"/>
  <c r="S604" i="4"/>
  <c r="R599" i="4"/>
  <c r="R605" i="4"/>
  <c r="S605" i="4" s="1"/>
  <c r="C15" i="14"/>
  <c r="S438" i="4"/>
  <c r="R439" i="4"/>
  <c r="S93" i="4"/>
  <c r="S89" i="4"/>
  <c r="S94" i="4"/>
  <c r="S90" i="4"/>
  <c r="S86" i="4"/>
  <c r="S92" i="4"/>
  <c r="S88" i="4"/>
  <c r="S91" i="4"/>
  <c r="S87" i="4"/>
  <c r="S410" i="4"/>
  <c r="R411" i="4"/>
  <c r="R374" i="4" l="1"/>
  <c r="S373" i="4"/>
  <c r="N325" i="4"/>
  <c r="V324" i="4"/>
  <c r="R603" i="4"/>
  <c r="S599" i="4"/>
  <c r="S439" i="4"/>
  <c r="R440" i="4"/>
  <c r="S411" i="4"/>
  <c r="R412" i="4"/>
  <c r="S85" i="4"/>
  <c r="R375" i="4" l="1"/>
  <c r="S374" i="4"/>
  <c r="N326" i="4"/>
  <c r="V325" i="4"/>
  <c r="R607" i="4"/>
  <c r="S607" i="4" s="1"/>
  <c r="S603" i="4"/>
  <c r="S440" i="4"/>
  <c r="R441" i="4"/>
  <c r="R413" i="4"/>
  <c r="S412" i="4"/>
  <c r="X19" i="4"/>
  <c r="W147" i="4"/>
  <c r="Q145" i="4" s="1"/>
  <c r="Q146" i="4" s="1"/>
  <c r="R376" i="4" l="1"/>
  <c r="S375" i="4"/>
  <c r="N327" i="4"/>
  <c r="V326" i="4"/>
  <c r="S441" i="4"/>
  <c r="R442" i="4"/>
  <c r="R414" i="4"/>
  <c r="S413" i="4"/>
  <c r="S376" i="4" l="1"/>
  <c r="R377" i="4"/>
  <c r="N328" i="4"/>
  <c r="V327" i="4"/>
  <c r="S442" i="4"/>
  <c r="R443" i="4"/>
  <c r="R415" i="4"/>
  <c r="S414" i="4"/>
  <c r="R378" i="4" l="1"/>
  <c r="S377" i="4"/>
  <c r="N329" i="4"/>
  <c r="V328" i="4"/>
  <c r="S443" i="4"/>
  <c r="R444" i="4"/>
  <c r="S415" i="4"/>
  <c r="R416" i="4"/>
  <c r="S378" i="4" l="1"/>
  <c r="R379" i="4"/>
  <c r="N330" i="4"/>
  <c r="V329" i="4"/>
  <c r="S444" i="4"/>
  <c r="R445" i="4"/>
  <c r="S416" i="4"/>
  <c r="R417" i="4"/>
  <c r="S379" i="4" l="1"/>
  <c r="R380" i="4"/>
  <c r="N331" i="4"/>
  <c r="V330" i="4"/>
  <c r="R446" i="4"/>
  <c r="S445" i="4"/>
  <c r="R418" i="4"/>
  <c r="S417" i="4"/>
  <c r="Q121" i="4"/>
  <c r="B32" i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C20" i="14" l="1"/>
  <c r="S380" i="4"/>
  <c r="R381" i="4"/>
  <c r="N332" i="4"/>
  <c r="V331" i="4"/>
  <c r="R447" i="4"/>
  <c r="S446" i="4"/>
  <c r="W121" i="4"/>
  <c r="Q119" i="4" s="1"/>
  <c r="S418" i="4"/>
  <c r="R419" i="4"/>
  <c r="A121" i="4"/>
  <c r="AA121" i="4" s="1"/>
  <c r="C21" i="14" s="1"/>
  <c r="R382" i="4" l="1"/>
  <c r="S381" i="4"/>
  <c r="N333" i="4"/>
  <c r="V332" i="4"/>
  <c r="Q120" i="4"/>
  <c r="R448" i="4"/>
  <c r="S447" i="4"/>
  <c r="R420" i="4"/>
  <c r="S419" i="4"/>
  <c r="AD160" i="2"/>
  <c r="B160" i="2" s="1"/>
  <c r="AG160" i="2"/>
  <c r="AE161" i="2"/>
  <c r="AF161" i="2"/>
  <c r="AJ161" i="2"/>
  <c r="AI162" i="2"/>
  <c r="AJ162" i="2"/>
  <c r="AD163" i="2"/>
  <c r="B163" i="2" s="1"/>
  <c r="AG163" i="2"/>
  <c r="AE164" i="2"/>
  <c r="AE165" i="2"/>
  <c r="AG165" i="2"/>
  <c r="AI165" i="2"/>
  <c r="AJ165" i="2"/>
  <c r="AD167" i="2"/>
  <c r="AE167" i="2"/>
  <c r="AI167" i="2"/>
  <c r="AE168" i="2"/>
  <c r="AI168" i="2"/>
  <c r="AF170" i="2"/>
  <c r="AG170" i="2"/>
  <c r="AI170" i="2"/>
  <c r="AD171" i="2"/>
  <c r="AJ171" i="2"/>
  <c r="AD172" i="2"/>
  <c r="AE172" i="2"/>
  <c r="AI172" i="2"/>
  <c r="AD173" i="2"/>
  <c r="AI173" i="2"/>
  <c r="AE174" i="2"/>
  <c r="AG174" i="2"/>
  <c r="AJ174" i="2"/>
  <c r="AJ175" i="2"/>
  <c r="AD176" i="2"/>
  <c r="AI176" i="2"/>
  <c r="AE177" i="2"/>
  <c r="AF177" i="2"/>
  <c r="AJ177" i="2"/>
  <c r="AJ178" i="2"/>
  <c r="AE179" i="2"/>
  <c r="AG179" i="2"/>
  <c r="AI179" i="2"/>
  <c r="AJ179" i="2"/>
  <c r="AF180" i="2"/>
  <c r="AG180" i="2"/>
  <c r="AE181" i="2"/>
  <c r="AG181" i="2"/>
  <c r="S382" i="4" l="1"/>
  <c r="R383" i="4"/>
  <c r="N334" i="4"/>
  <c r="V333" i="4"/>
  <c r="AM180" i="2"/>
  <c r="D180" i="2"/>
  <c r="AN180" i="2"/>
  <c r="E180" i="2"/>
  <c r="AN181" i="2"/>
  <c r="E181" i="2"/>
  <c r="AQ179" i="2"/>
  <c r="H179" i="2"/>
  <c r="AQ178" i="2"/>
  <c r="H178" i="2"/>
  <c r="AP176" i="2"/>
  <c r="G176" i="2"/>
  <c r="AN174" i="2"/>
  <c r="E174" i="2"/>
  <c r="AP172" i="2"/>
  <c r="G172" i="2"/>
  <c r="AK171" i="2"/>
  <c r="B171" i="2"/>
  <c r="AP168" i="2"/>
  <c r="G168" i="2"/>
  <c r="AK167" i="2"/>
  <c r="B167" i="2"/>
  <c r="AL165" i="2"/>
  <c r="C165" i="2"/>
  <c r="AQ162" i="2"/>
  <c r="H162" i="2"/>
  <c r="AL161" i="2"/>
  <c r="C161" i="2"/>
  <c r="B182" i="2"/>
  <c r="AL177" i="2"/>
  <c r="C177" i="2"/>
  <c r="AQ174" i="2"/>
  <c r="H174" i="2"/>
  <c r="AK173" i="2"/>
  <c r="B173" i="2"/>
  <c r="AQ171" i="2"/>
  <c r="H171" i="2"/>
  <c r="AM170" i="2"/>
  <c r="D170" i="2"/>
  <c r="AL167" i="2"/>
  <c r="C167" i="2"/>
  <c r="AN165" i="2"/>
  <c r="E165" i="2"/>
  <c r="AM161" i="2"/>
  <c r="D161" i="2"/>
  <c r="AL179" i="2"/>
  <c r="C179" i="2"/>
  <c r="AN179" i="2"/>
  <c r="E179" i="2"/>
  <c r="AQ175" i="2"/>
  <c r="H175" i="2"/>
  <c r="AP173" i="2"/>
  <c r="G173" i="2"/>
  <c r="AK172" i="2"/>
  <c r="B172" i="2"/>
  <c r="AN170" i="2"/>
  <c r="E170" i="2"/>
  <c r="AP167" i="2"/>
  <c r="G167" i="2"/>
  <c r="AP165" i="2"/>
  <c r="G165" i="2"/>
  <c r="AN163" i="2"/>
  <c r="E163" i="2"/>
  <c r="AQ161" i="2"/>
  <c r="H161" i="2"/>
  <c r="C182" i="2"/>
  <c r="AM177" i="2"/>
  <c r="D177" i="2"/>
  <c r="AL181" i="2"/>
  <c r="C181" i="2"/>
  <c r="AP179" i="2"/>
  <c r="G179" i="2"/>
  <c r="AQ177" i="2"/>
  <c r="H177" i="2"/>
  <c r="AK176" i="2"/>
  <c r="B176" i="2"/>
  <c r="AL174" i="2"/>
  <c r="C174" i="2"/>
  <c r="AL172" i="2"/>
  <c r="C172" i="2"/>
  <c r="AP170" i="2"/>
  <c r="G170" i="2"/>
  <c r="AL168" i="2"/>
  <c r="C168" i="2"/>
  <c r="AQ165" i="2"/>
  <c r="H165" i="2"/>
  <c r="AL164" i="2"/>
  <c r="C164" i="2"/>
  <c r="AP162" i="2"/>
  <c r="G162" i="2"/>
  <c r="AN160" i="2"/>
  <c r="E160" i="2"/>
  <c r="G182" i="2"/>
  <c r="R449" i="4"/>
  <c r="S448" i="4"/>
  <c r="R421" i="4"/>
  <c r="S420" i="4"/>
  <c r="AK160" i="2"/>
  <c r="AK163" i="2"/>
  <c r="AE180" i="2"/>
  <c r="AI180" i="2"/>
  <c r="AD168" i="2"/>
  <c r="AG164" i="2"/>
  <c r="AF181" i="2"/>
  <c r="AD179" i="2"/>
  <c r="AI181" i="2"/>
  <c r="AD178" i="2"/>
  <c r="AF173" i="2"/>
  <c r="AJ168" i="2"/>
  <c r="AD180" i="2"/>
  <c r="AD175" i="2"/>
  <c r="AJ181" i="2"/>
  <c r="AI177" i="2"/>
  <c r="AG175" i="2"/>
  <c r="AE173" i="2"/>
  <c r="AJ170" i="2"/>
  <c r="AF165" i="2"/>
  <c r="AK164" i="2"/>
  <c r="AI161" i="2"/>
  <c r="AD181" i="2"/>
  <c r="AG171" i="2"/>
  <c r="AJ180" i="2"/>
  <c r="AF178" i="2"/>
  <c r="AD177" i="2"/>
  <c r="AI174" i="2"/>
  <c r="AG172" i="2"/>
  <c r="AE170" i="2"/>
  <c r="AF163" i="2"/>
  <c r="AD161" i="2"/>
  <c r="AF179" i="2"/>
  <c r="AG178" i="2"/>
  <c r="AG176" i="2"/>
  <c r="AF175" i="2"/>
  <c r="AF174" i="2"/>
  <c r="AF171" i="2"/>
  <c r="AG167" i="2"/>
  <c r="AF162" i="2"/>
  <c r="AE162" i="2"/>
  <c r="AE176" i="2"/>
  <c r="AJ173" i="2"/>
  <c r="AF168" i="2"/>
  <c r="AI164" i="2"/>
  <c r="AG162" i="2"/>
  <c r="AE160" i="2"/>
  <c r="AI178" i="2"/>
  <c r="AE178" i="2"/>
  <c r="AG177" i="2"/>
  <c r="AJ176" i="2"/>
  <c r="AF176" i="2"/>
  <c r="AI175" i="2"/>
  <c r="AE175" i="2"/>
  <c r="AD174" i="2"/>
  <c r="AG173" i="2"/>
  <c r="AJ172" i="2"/>
  <c r="AF172" i="2"/>
  <c r="AI171" i="2"/>
  <c r="AE171" i="2"/>
  <c r="AD170" i="2"/>
  <c r="AG168" i="2"/>
  <c r="AJ167" i="2"/>
  <c r="AF167" i="2"/>
  <c r="AD165" i="2"/>
  <c r="AJ164" i="2"/>
  <c r="AF164" i="2"/>
  <c r="AE163" i="2"/>
  <c r="AD162" i="2"/>
  <c r="AG161" i="2"/>
  <c r="AF160" i="2"/>
  <c r="S383" i="4" l="1"/>
  <c r="R384" i="4"/>
  <c r="N335" i="4"/>
  <c r="V334" i="4"/>
  <c r="AL163" i="2"/>
  <c r="C163" i="2"/>
  <c r="AQ164" i="2"/>
  <c r="H164" i="2"/>
  <c r="AM160" i="2"/>
  <c r="D160" i="2"/>
  <c r="AM164" i="2"/>
  <c r="D164" i="2"/>
  <c r="AQ167" i="2"/>
  <c r="H167" i="2"/>
  <c r="AP171" i="2"/>
  <c r="G171" i="2"/>
  <c r="AK174" i="2"/>
  <c r="B174" i="2"/>
  <c r="AQ176" i="2"/>
  <c r="H176" i="2"/>
  <c r="AL160" i="2"/>
  <c r="C160" i="2"/>
  <c r="AQ173" i="2"/>
  <c r="H173" i="2"/>
  <c r="AN167" i="2"/>
  <c r="E167" i="2"/>
  <c r="AN176" i="2"/>
  <c r="E176" i="2"/>
  <c r="AM163" i="2"/>
  <c r="D163" i="2"/>
  <c r="AK177" i="2"/>
  <c r="B177" i="2"/>
  <c r="AK181" i="2"/>
  <c r="B181" i="2"/>
  <c r="AQ170" i="2"/>
  <c r="H170" i="2"/>
  <c r="AQ181" i="2"/>
  <c r="H181" i="2"/>
  <c r="AQ168" i="2"/>
  <c r="H168" i="2"/>
  <c r="E182" i="2"/>
  <c r="AM167" i="2"/>
  <c r="D167" i="2"/>
  <c r="AN173" i="2"/>
  <c r="E173" i="2"/>
  <c r="AP178" i="2"/>
  <c r="G178" i="2"/>
  <c r="AM168" i="2"/>
  <c r="D168" i="2"/>
  <c r="AM162" i="2"/>
  <c r="D162" i="2"/>
  <c r="AM175" i="2"/>
  <c r="D175" i="2"/>
  <c r="AK161" i="2"/>
  <c r="B161" i="2"/>
  <c r="AP174" i="2"/>
  <c r="G174" i="2"/>
  <c r="AN171" i="2"/>
  <c r="E171" i="2"/>
  <c r="AM165" i="2"/>
  <c r="D165" i="2"/>
  <c r="AP177" i="2"/>
  <c r="G177" i="2"/>
  <c r="AK180" i="2"/>
  <c r="B180" i="2"/>
  <c r="AP181" i="2"/>
  <c r="G181" i="2"/>
  <c r="AN164" i="2"/>
  <c r="E164" i="2"/>
  <c r="AL180" i="2"/>
  <c r="C180" i="2"/>
  <c r="AL171" i="2"/>
  <c r="C171" i="2"/>
  <c r="AM176" i="2"/>
  <c r="D176" i="2"/>
  <c r="AK162" i="2"/>
  <c r="B162" i="2"/>
  <c r="AK165" i="2"/>
  <c r="B165" i="2"/>
  <c r="AK170" i="2"/>
  <c r="B170" i="2"/>
  <c r="AP175" i="2"/>
  <c r="G175" i="2"/>
  <c r="AL178" i="2"/>
  <c r="C178" i="2"/>
  <c r="AP164" i="2"/>
  <c r="G164" i="2"/>
  <c r="AL162" i="2"/>
  <c r="C162" i="2"/>
  <c r="AM174" i="2"/>
  <c r="D174" i="2"/>
  <c r="AM179" i="2"/>
  <c r="D179" i="2"/>
  <c r="AN172" i="2"/>
  <c r="E172" i="2"/>
  <c r="AQ180" i="2"/>
  <c r="H180" i="2"/>
  <c r="AN175" i="2"/>
  <c r="E175" i="2"/>
  <c r="AK175" i="2"/>
  <c r="B175" i="2"/>
  <c r="AK178" i="2"/>
  <c r="B178" i="2"/>
  <c r="AM181" i="2"/>
  <c r="D181" i="2"/>
  <c r="AP180" i="2"/>
  <c r="G180" i="2"/>
  <c r="AN161" i="2"/>
  <c r="E161" i="2"/>
  <c r="AN168" i="2"/>
  <c r="E168" i="2"/>
  <c r="AM172" i="2"/>
  <c r="D172" i="2"/>
  <c r="AL175" i="2"/>
  <c r="C175" i="2"/>
  <c r="AN177" i="2"/>
  <c r="E177" i="2"/>
  <c r="AN162" i="2"/>
  <c r="E162" i="2"/>
  <c r="AL176" i="2"/>
  <c r="C176" i="2"/>
  <c r="AM171" i="2"/>
  <c r="D171" i="2"/>
  <c r="AN178" i="2"/>
  <c r="E178" i="2"/>
  <c r="AL170" i="2"/>
  <c r="C170" i="2"/>
  <c r="AM178" i="2"/>
  <c r="D178" i="2"/>
  <c r="AP161" i="2"/>
  <c r="G161" i="2"/>
  <c r="AL173" i="2"/>
  <c r="C173" i="2"/>
  <c r="D182" i="2"/>
  <c r="AM173" i="2"/>
  <c r="D173" i="2"/>
  <c r="AK179" i="2"/>
  <c r="B179" i="2"/>
  <c r="AK168" i="2"/>
  <c r="B168" i="2"/>
  <c r="AQ172" i="2"/>
  <c r="H172" i="2"/>
  <c r="H182" i="2"/>
  <c r="S449" i="4"/>
  <c r="R450" i="4"/>
  <c r="R422" i="4"/>
  <c r="S421" i="4"/>
  <c r="AJ160" i="2"/>
  <c r="AJ163" i="2"/>
  <c r="R385" i="4" l="1"/>
  <c r="S384" i="4"/>
  <c r="N336" i="4"/>
  <c r="V335" i="4"/>
  <c r="AQ163" i="2"/>
  <c r="H163" i="2"/>
  <c r="AQ160" i="2"/>
  <c r="H160" i="2"/>
  <c r="S450" i="4"/>
  <c r="R451" i="4"/>
  <c r="S451" i="4" s="1"/>
  <c r="S135" i="4"/>
  <c r="S422" i="4"/>
  <c r="R423" i="4"/>
  <c r="S130" i="4"/>
  <c r="S143" i="4"/>
  <c r="S134" i="4"/>
  <c r="S127" i="4"/>
  <c r="AI160" i="2"/>
  <c r="AI163" i="2"/>
  <c r="S385" i="4" l="1"/>
  <c r="R386" i="4"/>
  <c r="N337" i="4"/>
  <c r="V336" i="4"/>
  <c r="V427" i="4"/>
  <c r="AP160" i="2"/>
  <c r="G160" i="2"/>
  <c r="AP163" i="2"/>
  <c r="G163" i="2"/>
  <c r="S423" i="4"/>
  <c r="R424" i="4"/>
  <c r="S137" i="4"/>
  <c r="S132" i="4"/>
  <c r="S126" i="4"/>
  <c r="S133" i="4"/>
  <c r="S138" i="4"/>
  <c r="S124" i="4"/>
  <c r="S142" i="4"/>
  <c r="S144" i="4"/>
  <c r="S125" i="4"/>
  <c r="S123" i="4"/>
  <c r="S139" i="4"/>
  <c r="S122" i="4"/>
  <c r="S141" i="4"/>
  <c r="S131" i="4"/>
  <c r="S140" i="4"/>
  <c r="S136" i="4"/>
  <c r="G65" i="4"/>
  <c r="N59" i="14" l="1"/>
  <c r="P57" i="14" s="1"/>
  <c r="P58" i="14" s="1"/>
  <c r="P59" i="14" s="1"/>
  <c r="A426" i="4"/>
  <c r="R387" i="4"/>
  <c r="S386" i="4"/>
  <c r="N338" i="4"/>
  <c r="V337" i="4"/>
  <c r="Q425" i="4"/>
  <c r="Q426" i="4" s="1"/>
  <c r="G66" i="4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7" i="4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S424" i="4"/>
  <c r="X403" i="4" s="1"/>
  <c r="Q64" i="4"/>
  <c r="N55" i="14" l="1"/>
  <c r="A402" i="4"/>
  <c r="R388" i="4"/>
  <c r="S387" i="4"/>
  <c r="N339" i="4"/>
  <c r="V338" i="4"/>
  <c r="AA64" i="4"/>
  <c r="W64" i="4"/>
  <c r="F84" i="4"/>
  <c r="S388" i="4" l="1"/>
  <c r="R389" i="4"/>
  <c r="N340" i="4"/>
  <c r="V339" i="4"/>
  <c r="Q62" i="4"/>
  <c r="Q63" i="4" s="1"/>
  <c r="S389" i="4" l="1"/>
  <c r="R390" i="4"/>
  <c r="N341" i="4"/>
  <c r="V340" i="4"/>
  <c r="R391" i="4" l="1"/>
  <c r="S390" i="4"/>
  <c r="V341" i="4"/>
  <c r="N342" i="4"/>
  <c r="S391" i="4" l="1"/>
  <c r="R392" i="4"/>
  <c r="N343" i="4"/>
  <c r="V343" i="4" s="1"/>
  <c r="V342" i="4"/>
  <c r="U42" i="4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S392" i="4" l="1"/>
  <c r="R393" i="4"/>
  <c r="W254" i="4"/>
  <c r="U40" i="4"/>
  <c r="U39" i="4" s="1"/>
  <c r="U38" i="4" s="1"/>
  <c r="U37" i="4" s="1"/>
  <c r="U36" i="4" s="1"/>
  <c r="U35" i="4" s="1"/>
  <c r="U34" i="4" s="1"/>
  <c r="U33" i="4" s="1"/>
  <c r="U32" i="4" s="1"/>
  <c r="U31" i="4" s="1"/>
  <c r="U30" i="4" s="1"/>
  <c r="U29" i="4" s="1"/>
  <c r="U28" i="4" s="1"/>
  <c r="U27" i="4" s="1"/>
  <c r="U26" i="4" s="1"/>
  <c r="F44" i="14" l="1"/>
  <c r="P42" i="14" s="1"/>
  <c r="P43" i="14" s="1"/>
  <c r="P44" i="14" s="1"/>
  <c r="P45" i="14" s="1"/>
  <c r="R394" i="4"/>
  <c r="S393" i="4"/>
  <c r="Y66" i="1"/>
  <c r="S20" i="4"/>
  <c r="Q252" i="4"/>
  <c r="Q253" i="4" s="1"/>
  <c r="R254" i="4"/>
  <c r="S254" i="4" s="1"/>
  <c r="Q41" i="4"/>
  <c r="S394" i="4" l="1"/>
  <c r="R395" i="4"/>
  <c r="R255" i="4"/>
  <c r="R256" i="4" s="1"/>
  <c r="S395" i="4" l="1"/>
  <c r="R396" i="4"/>
  <c r="S255" i="4"/>
  <c r="S256" i="4"/>
  <c r="R257" i="4"/>
  <c r="Q32" i="4"/>
  <c r="Q33" i="4"/>
  <c r="Q34" i="4"/>
  <c r="Q35" i="4"/>
  <c r="Q36" i="4"/>
  <c r="Q37" i="4"/>
  <c r="Q38" i="4"/>
  <c r="Q39" i="4"/>
  <c r="Q40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K59" i="4"/>
  <c r="K60" i="4"/>
  <c r="K61" i="4"/>
  <c r="K49" i="4"/>
  <c r="K50" i="4"/>
  <c r="K51" i="4"/>
  <c r="K52" i="4"/>
  <c r="K53" i="4"/>
  <c r="K54" i="4"/>
  <c r="K55" i="4"/>
  <c r="K56" i="4"/>
  <c r="K57" i="4"/>
  <c r="K58" i="4"/>
  <c r="K42" i="4"/>
  <c r="K43" i="4"/>
  <c r="K44" i="4"/>
  <c r="K45" i="4"/>
  <c r="K46" i="4"/>
  <c r="K47" i="4"/>
  <c r="K48" i="4"/>
  <c r="S396" i="4" l="1"/>
  <c r="R397" i="4"/>
  <c r="S257" i="4"/>
  <c r="R258" i="4"/>
  <c r="R398" i="4" l="1"/>
  <c r="S398" i="4" s="1"/>
  <c r="S397" i="4"/>
  <c r="R259" i="4"/>
  <c r="S258" i="4"/>
  <c r="X369" i="4" l="1"/>
  <c r="A368" i="4" s="1"/>
  <c r="S259" i="4"/>
  <c r="R260" i="4"/>
  <c r="K41" i="4"/>
  <c r="K40" i="4"/>
  <c r="K39" i="4"/>
  <c r="K38" i="4"/>
  <c r="K37" i="4"/>
  <c r="K36" i="4"/>
  <c r="K35" i="4"/>
  <c r="K34" i="4"/>
  <c r="K33" i="4"/>
  <c r="K32" i="4"/>
  <c r="N34" i="14" l="1"/>
  <c r="R261" i="4"/>
  <c r="S260" i="4"/>
  <c r="M41" i="4"/>
  <c r="O41" i="4"/>
  <c r="O40" i="4"/>
  <c r="R262" i="4" l="1"/>
  <c r="S261" i="4"/>
  <c r="G32" i="1"/>
  <c r="O42" i="4"/>
  <c r="V41" i="4"/>
  <c r="M40" i="4"/>
  <c r="S262" i="4" l="1"/>
  <c r="R263" i="4"/>
  <c r="V42" i="4"/>
  <c r="V40" i="4"/>
  <c r="G33" i="1"/>
  <c r="O43" i="4"/>
  <c r="M39" i="4"/>
  <c r="O39" i="4"/>
  <c r="R264" i="4" l="1"/>
  <c r="S263" i="4"/>
  <c r="V43" i="4"/>
  <c r="O38" i="4"/>
  <c r="G34" i="1"/>
  <c r="O44" i="4"/>
  <c r="M38" i="4"/>
  <c r="V39" i="4"/>
  <c r="S264" i="4" l="1"/>
  <c r="R265" i="4"/>
  <c r="V44" i="4"/>
  <c r="G35" i="1"/>
  <c r="O45" i="4"/>
  <c r="V38" i="4"/>
  <c r="M37" i="4"/>
  <c r="O37" i="4"/>
  <c r="S265" i="4" l="1"/>
  <c r="R266" i="4"/>
  <c r="M36" i="4"/>
  <c r="G36" i="1"/>
  <c r="O46" i="4"/>
  <c r="O36" i="4"/>
  <c r="V37" i="4"/>
  <c r="V45" i="4"/>
  <c r="S266" i="4" l="1"/>
  <c r="R267" i="4"/>
  <c r="O35" i="4"/>
  <c r="M35" i="4"/>
  <c r="V46" i="4"/>
  <c r="G37" i="1"/>
  <c r="O47" i="4"/>
  <c r="V36" i="4"/>
  <c r="S267" i="4" l="1"/>
  <c r="R268" i="4"/>
  <c r="O26" i="4"/>
  <c r="O27" i="4"/>
  <c r="O28" i="4"/>
  <c r="O29" i="4"/>
  <c r="O34" i="4"/>
  <c r="M34" i="4"/>
  <c r="G38" i="1"/>
  <c r="O48" i="4"/>
  <c r="V35" i="4"/>
  <c r="V47" i="4"/>
  <c r="R269" i="4" l="1"/>
  <c r="S268" i="4"/>
  <c r="V34" i="4"/>
  <c r="O33" i="4"/>
  <c r="M33" i="4"/>
  <c r="G39" i="1"/>
  <c r="O49" i="4"/>
  <c r="V48" i="4"/>
  <c r="S269" i="4" l="1"/>
  <c r="R270" i="4"/>
  <c r="M29" i="4"/>
  <c r="V33" i="4"/>
  <c r="O32" i="4"/>
  <c r="M32" i="4"/>
  <c r="V49" i="4"/>
  <c r="G40" i="1"/>
  <c r="O50" i="4"/>
  <c r="S270" i="4" l="1"/>
  <c r="R271" i="4"/>
  <c r="M28" i="4"/>
  <c r="V29" i="4"/>
  <c r="O30" i="4"/>
  <c r="O31" i="4"/>
  <c r="M31" i="4"/>
  <c r="M30" i="4"/>
  <c r="V32" i="4"/>
  <c r="V50" i="4"/>
  <c r="G41" i="1"/>
  <c r="O51" i="4"/>
  <c r="S271" i="4" l="1"/>
  <c r="R272" i="4"/>
  <c r="V28" i="4"/>
  <c r="M26" i="4"/>
  <c r="M27" i="4"/>
  <c r="V31" i="4"/>
  <c r="V30" i="4"/>
  <c r="V51" i="4"/>
  <c r="G42" i="1"/>
  <c r="O52" i="4"/>
  <c r="R273" i="4" l="1"/>
  <c r="S272" i="4"/>
  <c r="V26" i="4"/>
  <c r="V27" i="4"/>
  <c r="V52" i="4"/>
  <c r="G43" i="1"/>
  <c r="O53" i="4"/>
  <c r="R274" i="4" l="1"/>
  <c r="S273" i="4"/>
  <c r="V53" i="4"/>
  <c r="G44" i="1"/>
  <c r="O54" i="4"/>
  <c r="S274" i="4" l="1"/>
  <c r="R275" i="4"/>
  <c r="V54" i="4"/>
  <c r="G45" i="1"/>
  <c r="O55" i="4"/>
  <c r="S275" i="4" l="1"/>
  <c r="R276" i="4"/>
  <c r="V55" i="4"/>
  <c r="G46" i="1"/>
  <c r="O56" i="4"/>
  <c r="S276" i="4" l="1"/>
  <c r="R277" i="4"/>
  <c r="V56" i="4"/>
  <c r="G47" i="1"/>
  <c r="O57" i="4"/>
  <c r="S277" i="4" l="1"/>
  <c r="R278" i="4"/>
  <c r="V57" i="4"/>
  <c r="G48" i="1"/>
  <c r="O58" i="4"/>
  <c r="S278" i="4" l="1"/>
  <c r="R279" i="4"/>
  <c r="V58" i="4"/>
  <c r="G49" i="1"/>
  <c r="O59" i="4"/>
  <c r="S279" i="4" l="1"/>
  <c r="R280" i="4"/>
  <c r="V59" i="4"/>
  <c r="G50" i="1"/>
  <c r="O61" i="4" s="1"/>
  <c r="O60" i="4"/>
  <c r="S280" i="4" l="1"/>
  <c r="R281" i="4"/>
  <c r="V60" i="4"/>
  <c r="V61" i="4"/>
  <c r="R284" i="4" l="1"/>
  <c r="S281" i="4"/>
  <c r="R282" i="4"/>
  <c r="W26" i="4"/>
  <c r="F12" i="14" l="1"/>
  <c r="P10" i="14" s="1"/>
  <c r="S284" i="4"/>
  <c r="R285" i="4"/>
  <c r="R283" i="4"/>
  <c r="S283" i="4" s="1"/>
  <c r="S282" i="4"/>
  <c r="P11" i="14"/>
  <c r="P12" i="14" s="1"/>
  <c r="P13" i="14" s="1"/>
  <c r="R41" i="4"/>
  <c r="R40" i="4" s="1"/>
  <c r="Q24" i="4"/>
  <c r="Q25" i="4" s="1"/>
  <c r="E13" i="1"/>
  <c r="S17" i="4"/>
  <c r="S285" i="4" l="1"/>
  <c r="R286" i="4"/>
  <c r="R287" i="4" l="1"/>
  <c r="S286" i="4"/>
  <c r="S287" i="4" l="1"/>
  <c r="R288" i="4"/>
  <c r="R289" i="4" l="1"/>
  <c r="S288" i="4"/>
  <c r="R290" i="4" l="1"/>
  <c r="S289" i="4"/>
  <c r="R42" i="4"/>
  <c r="S41" i="4"/>
  <c r="S290" i="4" l="1"/>
  <c r="R291" i="4"/>
  <c r="R43" i="4"/>
  <c r="R44" i="4" s="1"/>
  <c r="R39" i="4"/>
  <c r="S39" i="4" s="1"/>
  <c r="S40" i="4"/>
  <c r="S42" i="4"/>
  <c r="S291" i="4" l="1"/>
  <c r="R292" i="4"/>
  <c r="R38" i="4"/>
  <c r="S44" i="4"/>
  <c r="S43" i="4"/>
  <c r="R45" i="4"/>
  <c r="S292" i="4" l="1"/>
  <c r="R293" i="4"/>
  <c r="R46" i="4"/>
  <c r="R37" i="4"/>
  <c r="S38" i="4"/>
  <c r="S45" i="4"/>
  <c r="S293" i="4" l="1"/>
  <c r="R294" i="4"/>
  <c r="R47" i="4"/>
  <c r="S46" i="4"/>
  <c r="R36" i="4"/>
  <c r="S37" i="4"/>
  <c r="S294" i="4" l="1"/>
  <c r="R295" i="4"/>
  <c r="R48" i="4"/>
  <c r="S47" i="4"/>
  <c r="R35" i="4"/>
  <c r="S36" i="4"/>
  <c r="S295" i="4" l="1"/>
  <c r="R296" i="4"/>
  <c r="R49" i="4"/>
  <c r="S48" i="4"/>
  <c r="S35" i="4"/>
  <c r="R34" i="4"/>
  <c r="S296" i="4" l="1"/>
  <c r="R297" i="4"/>
  <c r="R50" i="4"/>
  <c r="S49" i="4"/>
  <c r="R33" i="4"/>
  <c r="S34" i="4"/>
  <c r="S297" i="4" l="1"/>
  <c r="R298" i="4"/>
  <c r="S50" i="4"/>
  <c r="R51" i="4"/>
  <c r="S33" i="4"/>
  <c r="R32" i="4"/>
  <c r="R299" i="4" l="1"/>
  <c r="S298" i="4"/>
  <c r="S51" i="4"/>
  <c r="R52" i="4"/>
  <c r="R31" i="4"/>
  <c r="S32" i="4"/>
  <c r="R300" i="4" l="1"/>
  <c r="S299" i="4"/>
  <c r="S52" i="4"/>
  <c r="R53" i="4"/>
  <c r="S31" i="4"/>
  <c r="R30" i="4"/>
  <c r="R29" i="4" s="1"/>
  <c r="R301" i="4" l="1"/>
  <c r="S300" i="4"/>
  <c r="R28" i="4"/>
  <c r="S29" i="4"/>
  <c r="S53" i="4"/>
  <c r="R54" i="4"/>
  <c r="S30" i="4"/>
  <c r="R302" i="4" l="1"/>
  <c r="S301" i="4"/>
  <c r="R27" i="4"/>
  <c r="S28" i="4"/>
  <c r="R55" i="4"/>
  <c r="S54" i="4"/>
  <c r="S302" i="4" l="1"/>
  <c r="R303" i="4"/>
  <c r="R26" i="4"/>
  <c r="S26" i="4" s="1"/>
  <c r="S27" i="4"/>
  <c r="R56" i="4"/>
  <c r="S55" i="4"/>
  <c r="R304" i="4" l="1"/>
  <c r="S303" i="4"/>
  <c r="R57" i="4"/>
  <c r="S56" i="4"/>
  <c r="R305" i="4" l="1"/>
  <c r="S304" i="4"/>
  <c r="R58" i="4"/>
  <c r="S57" i="4"/>
  <c r="R306" i="4" l="1"/>
  <c r="S305" i="4"/>
  <c r="R59" i="4"/>
  <c r="S58" i="4"/>
  <c r="R307" i="4" l="1"/>
  <c r="S306" i="4"/>
  <c r="R60" i="4"/>
  <c r="S59" i="4"/>
  <c r="R308" i="4" l="1"/>
  <c r="S307" i="4"/>
  <c r="R61" i="4"/>
  <c r="S60" i="4"/>
  <c r="S308" i="4" l="1"/>
  <c r="R309" i="4"/>
  <c r="S61" i="4"/>
  <c r="X26" i="4" l="1"/>
  <c r="A25" i="4" s="1"/>
  <c r="S309" i="4"/>
  <c r="R310" i="4"/>
  <c r="N12" i="14" l="1"/>
  <c r="R311" i="4"/>
  <c r="S310" i="4"/>
  <c r="R312" i="4" l="1"/>
  <c r="S311" i="4"/>
  <c r="R314" i="4"/>
  <c r="S312" i="4" l="1"/>
  <c r="R313" i="4"/>
  <c r="S313" i="4" s="1"/>
  <c r="R315" i="4"/>
  <c r="S314" i="4"/>
  <c r="R316" i="4" l="1"/>
  <c r="S315" i="4"/>
  <c r="AE159" i="2"/>
  <c r="AL159" i="2" s="1"/>
  <c r="AD159" i="2"/>
  <c r="AK159" i="2" s="1"/>
  <c r="AJ159" i="2"/>
  <c r="AQ159" i="2" s="1"/>
  <c r="AG159" i="2"/>
  <c r="AN159" i="2" s="1"/>
  <c r="AE166" i="2"/>
  <c r="R317" i="4" l="1"/>
  <c r="S316" i="4"/>
  <c r="AL166" i="2"/>
  <c r="C166" i="2"/>
  <c r="AI159" i="2"/>
  <c r="AP159" i="2" s="1"/>
  <c r="AF166" i="2"/>
  <c r="E159" i="2"/>
  <c r="AD166" i="2"/>
  <c r="B159" i="2"/>
  <c r="AF159" i="2"/>
  <c r="AM159" i="2" s="1"/>
  <c r="AJ166" i="2"/>
  <c r="AI166" i="2"/>
  <c r="H159" i="2"/>
  <c r="C159" i="2"/>
  <c r="AG166" i="2"/>
  <c r="R318" i="4" l="1"/>
  <c r="S317" i="4"/>
  <c r="AN166" i="2"/>
  <c r="E166" i="2"/>
  <c r="AQ166" i="2"/>
  <c r="H166" i="2"/>
  <c r="AM166" i="2"/>
  <c r="D166" i="2"/>
  <c r="AP166" i="2"/>
  <c r="G166" i="2"/>
  <c r="AK166" i="2"/>
  <c r="B166" i="2"/>
  <c r="S128" i="4" s="1"/>
  <c r="D159" i="2"/>
  <c r="G159" i="2"/>
  <c r="S318" i="4" l="1"/>
  <c r="R319" i="4"/>
  <c r="S129" i="4"/>
  <c r="S121" i="4"/>
  <c r="R320" i="4" l="1"/>
  <c r="S319" i="4"/>
  <c r="X121" i="4"/>
  <c r="A120" i="4" s="1"/>
  <c r="S320" i="4" l="1"/>
  <c r="R321" i="4"/>
  <c r="N24" i="14"/>
  <c r="P20" i="14" s="1"/>
  <c r="P21" i="14" s="1"/>
  <c r="P22" i="14" s="1"/>
  <c r="P23" i="14" s="1"/>
  <c r="S202" i="4"/>
  <c r="R322" i="4" l="1"/>
  <c r="S321" i="4"/>
  <c r="P24" i="14"/>
  <c r="P25" i="14"/>
  <c r="X202" i="4"/>
  <c r="R323" i="4" l="1"/>
  <c r="S322" i="4"/>
  <c r="S64" i="4"/>
  <c r="R324" i="4" l="1"/>
  <c r="S323" i="4"/>
  <c r="X64" i="4"/>
  <c r="A63" i="4" s="1"/>
  <c r="S324" i="4" l="1"/>
  <c r="R325" i="4"/>
  <c r="N18" i="14"/>
  <c r="P14" i="14" s="1"/>
  <c r="P15" i="14" s="1"/>
  <c r="P16" i="14" s="1"/>
  <c r="AI19" i="4"/>
  <c r="AH19" i="4"/>
  <c r="S325" i="4" l="1"/>
  <c r="R326" i="4"/>
  <c r="P17" i="14"/>
  <c r="P19" i="14" s="1"/>
  <c r="P18" i="14"/>
  <c r="AH20" i="4"/>
  <c r="AI20" i="4"/>
  <c r="S326" i="4" l="1"/>
  <c r="R327" i="4"/>
  <c r="S457" i="4"/>
  <c r="R328" i="4" l="1"/>
  <c r="S327" i="4"/>
  <c r="G188" i="2"/>
  <c r="H188" i="2" s="1"/>
  <c r="D188" i="2" s="1"/>
  <c r="R151" i="4" s="1"/>
  <c r="S151" i="4" s="1"/>
  <c r="G195" i="2"/>
  <c r="H195" i="2" s="1"/>
  <c r="D195" i="2" s="1"/>
  <c r="R158" i="4" s="1"/>
  <c r="S158" i="4" s="1"/>
  <c r="G189" i="2"/>
  <c r="H189" i="2" s="1"/>
  <c r="D189" i="2" s="1"/>
  <c r="R152" i="4" s="1"/>
  <c r="S152" i="4" s="1"/>
  <c r="G198" i="2"/>
  <c r="H198" i="2" s="1"/>
  <c r="D198" i="2" s="1"/>
  <c r="R161" i="4" s="1"/>
  <c r="S161" i="4" s="1"/>
  <c r="G218" i="2"/>
  <c r="H218" i="2" s="1"/>
  <c r="D218" i="2" s="1"/>
  <c r="R181" i="4" s="1"/>
  <c r="S181" i="4" s="1"/>
  <c r="G202" i="2"/>
  <c r="H202" i="2" s="1"/>
  <c r="D202" i="2" s="1"/>
  <c r="R165" i="4" s="1"/>
  <c r="S165" i="4" s="1"/>
  <c r="G219" i="2"/>
  <c r="H219" i="2" s="1"/>
  <c r="D219" i="2" s="1"/>
  <c r="R182" i="4" s="1"/>
  <c r="S182" i="4" s="1"/>
  <c r="G209" i="2"/>
  <c r="H209" i="2" s="1"/>
  <c r="D209" i="2" s="1"/>
  <c r="R172" i="4" s="1"/>
  <c r="S172" i="4" s="1"/>
  <c r="G215" i="2"/>
  <c r="H215" i="2" s="1"/>
  <c r="D215" i="2" s="1"/>
  <c r="R178" i="4" s="1"/>
  <c r="S178" i="4" s="1"/>
  <c r="G197" i="2"/>
  <c r="H197" i="2" s="1"/>
  <c r="D197" i="2" s="1"/>
  <c r="R160" i="4" s="1"/>
  <c r="S160" i="4" s="1"/>
  <c r="G190" i="2"/>
  <c r="H190" i="2" s="1"/>
  <c r="D190" i="2" s="1"/>
  <c r="R153" i="4" s="1"/>
  <c r="S153" i="4" s="1"/>
  <c r="G224" i="2"/>
  <c r="H224" i="2" s="1"/>
  <c r="D224" i="2" s="1"/>
  <c r="R187" i="4" s="1"/>
  <c r="S187" i="4" s="1"/>
  <c r="G187" i="2"/>
  <c r="H187" i="2" s="1"/>
  <c r="D187" i="2" s="1"/>
  <c r="R150" i="4" s="1"/>
  <c r="S150" i="4" s="1"/>
  <c r="G194" i="2"/>
  <c r="H194" i="2" s="1"/>
  <c r="D194" i="2" s="1"/>
  <c r="R157" i="4" s="1"/>
  <c r="S157" i="4" s="1"/>
  <c r="G196" i="2"/>
  <c r="H196" i="2" s="1"/>
  <c r="D196" i="2" s="1"/>
  <c r="R159" i="4" s="1"/>
  <c r="S159" i="4" s="1"/>
  <c r="G208" i="2"/>
  <c r="H208" i="2" s="1"/>
  <c r="D208" i="2" s="1"/>
  <c r="R171" i="4" s="1"/>
  <c r="S171" i="4" s="1"/>
  <c r="G216" i="2"/>
  <c r="H216" i="2" s="1"/>
  <c r="D216" i="2" s="1"/>
  <c r="R179" i="4" s="1"/>
  <c r="S179" i="4" s="1"/>
  <c r="G191" i="2"/>
  <c r="H191" i="2" s="1"/>
  <c r="D191" i="2" s="1"/>
  <c r="R154" i="4" s="1"/>
  <c r="S154" i="4" s="1"/>
  <c r="G226" i="2"/>
  <c r="H226" i="2" s="1"/>
  <c r="G185" i="2"/>
  <c r="H185" i="2" s="1"/>
  <c r="G217" i="2"/>
  <c r="H217" i="2" s="1"/>
  <c r="D217" i="2" s="1"/>
  <c r="R180" i="4" s="1"/>
  <c r="S180" i="4" s="1"/>
  <c r="G223" i="2"/>
  <c r="H223" i="2" s="1"/>
  <c r="D223" i="2" s="1"/>
  <c r="R186" i="4" s="1"/>
  <c r="S186" i="4" s="1"/>
  <c r="G204" i="2"/>
  <c r="H204" i="2" s="1"/>
  <c r="D204" i="2" s="1"/>
  <c r="R167" i="4" s="1"/>
  <c r="S167" i="4" s="1"/>
  <c r="G213" i="2"/>
  <c r="H213" i="2" s="1"/>
  <c r="G212" i="2"/>
  <c r="H212" i="2" s="1"/>
  <c r="D212" i="2" s="1"/>
  <c r="R175" i="4" s="1"/>
  <c r="S175" i="4" s="1"/>
  <c r="G199" i="2"/>
  <c r="H199" i="2" s="1"/>
  <c r="G210" i="2"/>
  <c r="H210" i="2" s="1"/>
  <c r="D210" i="2" s="1"/>
  <c r="R173" i="4" s="1"/>
  <c r="S173" i="4" s="1"/>
  <c r="G222" i="2"/>
  <c r="H222" i="2" s="1"/>
  <c r="G201" i="2"/>
  <c r="H201" i="2" s="1"/>
  <c r="D201" i="2" s="1"/>
  <c r="R164" i="4" s="1"/>
  <c r="S164" i="4" s="1"/>
  <c r="G205" i="2"/>
  <c r="H205" i="2" s="1"/>
  <c r="G211" i="2"/>
  <c r="H211" i="2" s="1"/>
  <c r="D211" i="2" s="1"/>
  <c r="R174" i="4" s="1"/>
  <c r="S174" i="4" s="1"/>
  <c r="G225" i="2"/>
  <c r="H225" i="2" s="1"/>
  <c r="G214" i="2"/>
  <c r="H214" i="2" s="1"/>
  <c r="D214" i="2" s="1"/>
  <c r="R177" i="4" s="1"/>
  <c r="S177" i="4" s="1"/>
  <c r="G220" i="2"/>
  <c r="H220" i="2" s="1"/>
  <c r="D220" i="2" s="1"/>
  <c r="R183" i="4" s="1"/>
  <c r="S183" i="4" s="1"/>
  <c r="G221" i="2"/>
  <c r="H221" i="2" s="1"/>
  <c r="D221" i="2" s="1"/>
  <c r="R184" i="4" s="1"/>
  <c r="S184" i="4" s="1"/>
  <c r="G200" i="2"/>
  <c r="H200" i="2" s="1"/>
  <c r="G206" i="2"/>
  <c r="H206" i="2" s="1"/>
  <c r="D206" i="2" s="1"/>
  <c r="R169" i="4" s="1"/>
  <c r="S169" i="4" s="1"/>
  <c r="G207" i="2"/>
  <c r="H207" i="2" s="1"/>
  <c r="G203" i="2"/>
  <c r="H203" i="2" s="1"/>
  <c r="D203" i="2" s="1"/>
  <c r="R166" i="4" s="1"/>
  <c r="S166" i="4" s="1"/>
  <c r="G186" i="2"/>
  <c r="H186" i="2" s="1"/>
  <c r="G192" i="2"/>
  <c r="H192" i="2" s="1"/>
  <c r="D192" i="2" s="1"/>
  <c r="R155" i="4" s="1"/>
  <c r="S155" i="4" s="1"/>
  <c r="G193" i="2"/>
  <c r="H193" i="2" s="1"/>
  <c r="D193" i="2" s="1"/>
  <c r="R156" i="4" s="1"/>
  <c r="S156" i="4" s="1"/>
  <c r="G184" i="2"/>
  <c r="H184" i="2" s="1"/>
  <c r="I184" i="2" s="1"/>
  <c r="R329" i="4" l="1"/>
  <c r="S328" i="4"/>
  <c r="I207" i="2"/>
  <c r="D207" i="2"/>
  <c r="R170" i="4" s="1"/>
  <c r="S170" i="4" s="1"/>
  <c r="I205" i="2"/>
  <c r="D205" i="2"/>
  <c r="R168" i="4" s="1"/>
  <c r="S168" i="4" s="1"/>
  <c r="I199" i="2"/>
  <c r="D199" i="2"/>
  <c r="R162" i="4" s="1"/>
  <c r="S162" i="4" s="1"/>
  <c r="I226" i="2"/>
  <c r="D226" i="2"/>
  <c r="R189" i="4" s="1"/>
  <c r="S189" i="4" s="1"/>
  <c r="I186" i="2"/>
  <c r="D186" i="2"/>
  <c r="R149" i="4" s="1"/>
  <c r="S149" i="4" s="1"/>
  <c r="I200" i="2"/>
  <c r="D200" i="2"/>
  <c r="R163" i="4" s="1"/>
  <c r="S163" i="4" s="1"/>
  <c r="I225" i="2"/>
  <c r="D225" i="2"/>
  <c r="R188" i="4" s="1"/>
  <c r="S188" i="4" s="1"/>
  <c r="I222" i="2"/>
  <c r="D222" i="2"/>
  <c r="R185" i="4" s="1"/>
  <c r="S185" i="4" s="1"/>
  <c r="I213" i="2"/>
  <c r="D213" i="2"/>
  <c r="R176" i="4" s="1"/>
  <c r="S176" i="4" s="1"/>
  <c r="I185" i="2"/>
  <c r="D185" i="2"/>
  <c r="R148" i="4" s="1"/>
  <c r="S148" i="4" s="1"/>
  <c r="I215" i="2"/>
  <c r="I202" i="2"/>
  <c r="I219" i="2"/>
  <c r="I209" i="2"/>
  <c r="I221" i="2"/>
  <c r="I210" i="2"/>
  <c r="I194" i="2"/>
  <c r="I214" i="2"/>
  <c r="I212" i="2"/>
  <c r="I196" i="2"/>
  <c r="I190" i="2"/>
  <c r="I189" i="2"/>
  <c r="I203" i="2"/>
  <c r="I211" i="2"/>
  <c r="I204" i="2"/>
  <c r="I191" i="2"/>
  <c r="I208" i="2"/>
  <c r="I224" i="2"/>
  <c r="I198" i="2"/>
  <c r="I188" i="2"/>
  <c r="I192" i="2"/>
  <c r="I193" i="2"/>
  <c r="I206" i="2"/>
  <c r="I201" i="2"/>
  <c r="I217" i="2"/>
  <c r="I216" i="2"/>
  <c r="I187" i="2"/>
  <c r="I218" i="2"/>
  <c r="I195" i="2"/>
  <c r="I220" i="2"/>
  <c r="I223" i="2"/>
  <c r="D184" i="2"/>
  <c r="R147" i="4" s="1"/>
  <c r="S147" i="4" s="1"/>
  <c r="I197" i="2"/>
  <c r="R330" i="4" l="1"/>
  <c r="S329" i="4"/>
  <c r="X147" i="4"/>
  <c r="A146" i="4" s="1"/>
  <c r="S330" i="4" l="1"/>
  <c r="R331" i="4"/>
  <c r="N30" i="14"/>
  <c r="P26" i="14" s="1"/>
  <c r="P27" i="14" s="1"/>
  <c r="P28" i="14" s="1"/>
  <c r="R332" i="4" l="1"/>
  <c r="S331" i="4"/>
  <c r="P29" i="14"/>
  <c r="P31" i="14" s="1"/>
  <c r="P30" i="14"/>
  <c r="W546" i="4"/>
  <c r="Q545" i="4" l="1"/>
  <c r="Q546" i="4" s="1"/>
  <c r="S332" i="4"/>
  <c r="R333" i="4"/>
  <c r="Q592" i="4"/>
  <c r="S592" i="4" l="1"/>
  <c r="X546" i="4" s="1"/>
  <c r="A546" i="4" s="1"/>
  <c r="W568" i="4"/>
  <c r="S333" i="4"/>
  <c r="R334" i="4"/>
  <c r="R335" i="4" l="1"/>
  <c r="S334" i="4"/>
  <c r="N67" i="14"/>
  <c r="P65" i="14" s="1"/>
  <c r="P66" i="14" s="1"/>
  <c r="P67" i="14" s="1"/>
  <c r="R336" i="4" l="1"/>
  <c r="S335" i="4"/>
  <c r="S336" i="4" l="1"/>
  <c r="R337" i="4"/>
  <c r="S337" i="4" l="1"/>
  <c r="R338" i="4"/>
  <c r="S338" i="4" l="1"/>
  <c r="R339" i="4"/>
  <c r="S339" i="4" l="1"/>
  <c r="R340" i="4"/>
  <c r="R341" i="4" l="1"/>
  <c r="S340" i="4"/>
  <c r="S341" i="4" l="1"/>
  <c r="R342" i="4"/>
  <c r="S342" i="4" l="1"/>
  <c r="R343" i="4"/>
  <c r="S343" i="4" s="1"/>
  <c r="W610" i="4" l="1"/>
  <c r="AQ2" i="4"/>
  <c r="AR2" i="4" s="1"/>
  <c r="AS2" i="4" s="1"/>
  <c r="R609" i="4" s="1"/>
  <c r="S609" i="4" s="1"/>
  <c r="X254" i="4"/>
  <c r="A253" i="4" s="1"/>
  <c r="Q610" i="4" l="1"/>
  <c r="R610" i="4"/>
  <c r="N44" i="14"/>
  <c r="S610" i="4" l="1"/>
  <c r="G21" i="4" s="1"/>
  <c r="G22" i="4" l="1"/>
  <c r="J82" i="14" s="1"/>
  <c r="S21" i="4"/>
  <c r="J81" i="14" s="1"/>
  <c r="N71" i="14"/>
  <c r="P69" i="14" s="1"/>
  <c r="P70" i="14" s="1"/>
  <c r="P71" i="14" s="1"/>
  <c r="J80" i="14"/>
  <c r="S22" i="4" l="1"/>
  <c r="J83" i="14" s="1"/>
</calcChain>
</file>

<file path=xl/sharedStrings.xml><?xml version="1.0" encoding="utf-8"?>
<sst xmlns="http://schemas.openxmlformats.org/spreadsheetml/2006/main" count="8738" uniqueCount="3233">
  <si>
    <t>WETTERBEST GLADIATOR</t>
  </si>
  <si>
    <t>WETTERBEST CLASIC</t>
  </si>
  <si>
    <t>Tigla</t>
  </si>
  <si>
    <t>Clasic 15</t>
  </si>
  <si>
    <t>Clasic 20</t>
  </si>
  <si>
    <t>Grosime</t>
  </si>
  <si>
    <t>Structura</t>
  </si>
  <si>
    <t>RAL</t>
  </si>
  <si>
    <t>Furnizor</t>
  </si>
  <si>
    <t>Mat</t>
  </si>
  <si>
    <t>3000-L</t>
  </si>
  <si>
    <t/>
  </si>
  <si>
    <t>3005-L</t>
  </si>
  <si>
    <t>3005-M</t>
  </si>
  <si>
    <t>3009-L</t>
  </si>
  <si>
    <t>3009-M</t>
  </si>
  <si>
    <t>3011-L</t>
  </si>
  <si>
    <t>3011-M</t>
  </si>
  <si>
    <t>5010-L</t>
  </si>
  <si>
    <t>6005-L</t>
  </si>
  <si>
    <t>6005-M</t>
  </si>
  <si>
    <t>6020-L</t>
  </si>
  <si>
    <t>6020-M</t>
  </si>
  <si>
    <t>7024-L</t>
  </si>
  <si>
    <t>7024-M</t>
  </si>
  <si>
    <t>8004-L</t>
  </si>
  <si>
    <t>8004-M</t>
  </si>
  <si>
    <t>8014 -M</t>
  </si>
  <si>
    <t>8017-L</t>
  </si>
  <si>
    <t>8017-M</t>
  </si>
  <si>
    <t>8019-L</t>
  </si>
  <si>
    <t>8019-M</t>
  </si>
  <si>
    <t>9002-L</t>
  </si>
  <si>
    <t>9005-L</t>
  </si>
  <si>
    <t>9005-M</t>
  </si>
  <si>
    <t>9006-L</t>
  </si>
  <si>
    <t xml:space="preserve"> </t>
  </si>
  <si>
    <t>Discount oferta :</t>
  </si>
  <si>
    <t>TOTAL euro fara TVA</t>
  </si>
  <si>
    <t>TOTAL euro cu TVA</t>
  </si>
  <si>
    <t>TOTAL lei fara TVA</t>
  </si>
  <si>
    <t>TOTAL lei cu TVA</t>
  </si>
  <si>
    <t>Bordura speciala calcan BSC</t>
  </si>
  <si>
    <t>Coama dreapta mare CDMA</t>
  </si>
  <si>
    <t>Coama dreapta mica CDMI</t>
  </si>
  <si>
    <t>Colector fronton CF</t>
  </si>
  <si>
    <t>Opritor zapada</t>
  </si>
  <si>
    <t>Pazie tip 1 PAZ 1</t>
  </si>
  <si>
    <t>Pazie streasina PAZS</t>
  </si>
  <si>
    <t>Sort rupere perete vertical SRV</t>
  </si>
  <si>
    <t>TAKE</t>
  </si>
  <si>
    <t>LISTA</t>
  </si>
  <si>
    <t>Accesorii</t>
  </si>
  <si>
    <t>Lucios</t>
  </si>
  <si>
    <t>Zincat</t>
  </si>
  <si>
    <t>Carlig,  210 mm</t>
  </si>
  <si>
    <t>Carlig,  RASUCIT 210 mm</t>
  </si>
  <si>
    <t>Carlig aplicat</t>
  </si>
  <si>
    <t>Bratara jgheab</t>
  </si>
  <si>
    <t>Capac jgheab</t>
  </si>
  <si>
    <t>Contracarlig</t>
  </si>
  <si>
    <t>Racord jgheab-burlan</t>
  </si>
  <si>
    <t>Cot burlan</t>
  </si>
  <si>
    <t>Prelungire burlan 0.9m</t>
  </si>
  <si>
    <t>Colier burlan</t>
  </si>
  <si>
    <t>Ramificatie burlan Y</t>
  </si>
  <si>
    <t>Evacuare</t>
  </si>
  <si>
    <t>Palnie colectoare</t>
  </si>
  <si>
    <t>Drenaj</t>
  </si>
  <si>
    <t>Colorat</t>
  </si>
  <si>
    <t>Magnelis</t>
  </si>
  <si>
    <t>Aluzinc</t>
  </si>
  <si>
    <t>Alb ( 9010 )</t>
  </si>
  <si>
    <t>Maro ( 8016 )</t>
  </si>
  <si>
    <t>Rosu ( 3009 )</t>
  </si>
  <si>
    <t>Alb</t>
  </si>
  <si>
    <t>Maro</t>
  </si>
  <si>
    <t>Rosu</t>
  </si>
  <si>
    <t>Tip</t>
  </si>
  <si>
    <t>Dimensiune</t>
  </si>
  <si>
    <t>Dolie DO</t>
  </si>
  <si>
    <t>Sort streasina SO</t>
  </si>
  <si>
    <t>Aluband 100 - 10000 mm</t>
  </si>
  <si>
    <t>Aluband 150 - 10000 mm</t>
  </si>
  <si>
    <t>Aluband 300 - 10000 mm</t>
  </si>
  <si>
    <t>Rola autoadeziva de protectie sub coame IZOVENT - 0,31 x 5m</t>
  </si>
  <si>
    <t>Rola autoadeziva de protectie sub coame IZOVENT - 0,24 x 5m</t>
  </si>
  <si>
    <t>Rola etansare horn IZOLEN - 0,31 x 5m</t>
  </si>
  <si>
    <t>Banda etansare W35</t>
  </si>
  <si>
    <t>Piepten plastic anti-pasari 1000x60 mm</t>
  </si>
  <si>
    <t>Membrane</t>
  </si>
  <si>
    <t>Suruburi</t>
  </si>
  <si>
    <t>Suruburi pentru acoperis</t>
  </si>
  <si>
    <t>Surub 4,8*50 Zn</t>
  </si>
  <si>
    <t>Surub 4,8*20 Zn</t>
  </si>
  <si>
    <t>Surub 4,8*35 Zn</t>
  </si>
  <si>
    <t>Surub 4,8*35 RAL</t>
  </si>
  <si>
    <t>Surub 4,8*70 Zn</t>
  </si>
  <si>
    <t>Suruburi pentru metal W/OD14mm</t>
  </si>
  <si>
    <t>Cheie tubulara 8mm</t>
  </si>
  <si>
    <t>Bord 1</t>
  </si>
  <si>
    <t>Bord 2</t>
  </si>
  <si>
    <t>Bord 3</t>
  </si>
  <si>
    <t>Bord 4</t>
  </si>
  <si>
    <t>Bord 5</t>
  </si>
  <si>
    <t>Bord 6</t>
  </si>
  <si>
    <t>Bord 7</t>
  </si>
  <si>
    <t>Bord 8</t>
  </si>
  <si>
    <t>Bord 9</t>
  </si>
  <si>
    <t>Bord 10</t>
  </si>
  <si>
    <t>T Plana</t>
  </si>
  <si>
    <t>Rama</t>
  </si>
  <si>
    <t>45x73</t>
  </si>
  <si>
    <t>45x55</t>
  </si>
  <si>
    <t>134x140</t>
  </si>
  <si>
    <t>134x98</t>
  </si>
  <si>
    <t>114x140</t>
  </si>
  <si>
    <t>114x118</t>
  </si>
  <si>
    <t>94x118</t>
  </si>
  <si>
    <t>78x160</t>
  </si>
  <si>
    <t>78x140</t>
  </si>
  <si>
    <t>78x118</t>
  </si>
  <si>
    <t>78x98</t>
  </si>
  <si>
    <t>66x118</t>
  </si>
  <si>
    <t>66x98</t>
  </si>
  <si>
    <t>55x98</t>
  </si>
  <si>
    <t>55x78</t>
  </si>
  <si>
    <t>Good</t>
  </si>
  <si>
    <t>Fereastra</t>
  </si>
  <si>
    <t>Dakea</t>
  </si>
  <si>
    <t xml:space="preserve">Oferta </t>
  </si>
  <si>
    <t>Aviz</t>
  </si>
  <si>
    <t>Ferestre Dakea</t>
  </si>
  <si>
    <t>Accesorii Dakea</t>
  </si>
  <si>
    <t>Accesorii Click</t>
  </si>
  <si>
    <t>Tip:</t>
  </si>
  <si>
    <t>Culoare</t>
  </si>
  <si>
    <t xml:space="preserve">  </t>
  </si>
  <si>
    <t>Ferestre Rooflite</t>
  </si>
  <si>
    <t>WTB CLICK</t>
  </si>
  <si>
    <t>0.5 LUCIOS</t>
  </si>
  <si>
    <t>0.5 L</t>
  </si>
  <si>
    <t>0.5 M</t>
  </si>
  <si>
    <t>Coama Click</t>
  </si>
  <si>
    <t xml:space="preserve">Coltar perete Click </t>
  </si>
  <si>
    <t>Dolie</t>
  </si>
  <si>
    <t>Pazie  Click</t>
  </si>
  <si>
    <t>Racord Calcan Click</t>
  </si>
  <si>
    <t>Semicoama Click</t>
  </si>
  <si>
    <t>Sort  Click streasina</t>
  </si>
  <si>
    <t>Sort imbinare Click</t>
  </si>
  <si>
    <t>Rupere panta interior Click</t>
  </si>
  <si>
    <t>Rupere panta exerior Click</t>
  </si>
  <si>
    <t>Suport inchideri Click</t>
  </si>
  <si>
    <t>Click</t>
  </si>
  <si>
    <t>0.5 Lucios</t>
  </si>
  <si>
    <t>0.5 Mat</t>
  </si>
  <si>
    <t>Cutata</t>
  </si>
  <si>
    <t>W 8</t>
  </si>
  <si>
    <t>W 18</t>
  </si>
  <si>
    <t>W 35</t>
  </si>
  <si>
    <t>W 60 - pozitiv</t>
  </si>
  <si>
    <t>W 60 - negativ</t>
  </si>
  <si>
    <t>Minirulou</t>
  </si>
  <si>
    <t>Dublu prevopsit</t>
  </si>
  <si>
    <t>Prevopsit Lucios</t>
  </si>
  <si>
    <t>Prevopsit Mat</t>
  </si>
  <si>
    <t>MP:</t>
  </si>
  <si>
    <t>euro/mp:</t>
  </si>
  <si>
    <t>Cupru</t>
  </si>
  <si>
    <t>Cutata W8</t>
  </si>
  <si>
    <t>Tabla plana</t>
  </si>
  <si>
    <t>3011 L -0.3 mm</t>
  </si>
  <si>
    <t>8017 L - 0.3 mm</t>
  </si>
  <si>
    <t>Zincat - 0.3 mm</t>
  </si>
  <si>
    <t>Zincat - 0.25 mm</t>
  </si>
  <si>
    <t>Zincat - 0.2 mm</t>
  </si>
  <si>
    <t>Aluzinc- 0.25 mm</t>
  </si>
  <si>
    <t>125/88</t>
  </si>
  <si>
    <t>Client</t>
  </si>
  <si>
    <t>Nume</t>
  </si>
  <si>
    <t>Factura</t>
  </si>
  <si>
    <t>Document plata</t>
  </si>
  <si>
    <t>CEC</t>
  </si>
  <si>
    <t>CASH</t>
  </si>
  <si>
    <t>AVANS</t>
  </si>
  <si>
    <t>MP MINIRULOU :</t>
  </si>
  <si>
    <t>MP TIGLA :</t>
  </si>
  <si>
    <t>MP CUTATA :</t>
  </si>
  <si>
    <t>Coltar jgheab exterior</t>
  </si>
  <si>
    <t>Coltar jgheab interior</t>
  </si>
  <si>
    <t>DA</t>
  </si>
  <si>
    <t>NU</t>
  </si>
  <si>
    <t>Banda etansare W18</t>
  </si>
  <si>
    <t>Alba</t>
  </si>
  <si>
    <t xml:space="preserve">Arad </t>
  </si>
  <si>
    <t>Argeş</t>
  </si>
  <si>
    <t>Bacău</t>
  </si>
  <si>
    <t>Bihor</t>
  </si>
  <si>
    <t>Bistriţa</t>
  </si>
  <si>
    <t>Botoşani</t>
  </si>
  <si>
    <t>Braşov</t>
  </si>
  <si>
    <t>Brăila</t>
  </si>
  <si>
    <t>Buzău</t>
  </si>
  <si>
    <t>Caraş-Severin</t>
  </si>
  <si>
    <t>Călăraşi</t>
  </si>
  <si>
    <t>Cluj</t>
  </si>
  <si>
    <t>Constanţa</t>
  </si>
  <si>
    <t>Covasna</t>
  </si>
  <si>
    <t>Dâmboviţa</t>
  </si>
  <si>
    <t>Dolj</t>
  </si>
  <si>
    <t>Galaţi</t>
  </si>
  <si>
    <t>Giurgiu</t>
  </si>
  <si>
    <t>Gorj</t>
  </si>
  <si>
    <t>Harghita</t>
  </si>
  <si>
    <t xml:space="preserve">Hunedoara </t>
  </si>
  <si>
    <t>Ialomiţa</t>
  </si>
  <si>
    <t>Iaşi</t>
  </si>
  <si>
    <t>Ilfov</t>
  </si>
  <si>
    <t>Maramureş</t>
  </si>
  <si>
    <t>Mehedinţi</t>
  </si>
  <si>
    <t>Mureş</t>
  </si>
  <si>
    <t>Neamţ</t>
  </si>
  <si>
    <t>Olt</t>
  </si>
  <si>
    <t>Prahova</t>
  </si>
  <si>
    <t>Satu Mare</t>
  </si>
  <si>
    <t>Sălaj</t>
  </si>
  <si>
    <t>Sibiu</t>
  </si>
  <si>
    <t>Suceava</t>
  </si>
  <si>
    <t>Teleorman</t>
  </si>
  <si>
    <t>Timiş</t>
  </si>
  <si>
    <t>Tulcea</t>
  </si>
  <si>
    <t>Vaslui</t>
  </si>
  <si>
    <t>Vâlcea</t>
  </si>
  <si>
    <t>Vrancea</t>
  </si>
  <si>
    <t>Bucuresti</t>
  </si>
  <si>
    <t xml:space="preserve">SELECTATI JUDETUL … </t>
  </si>
  <si>
    <t>Racord calcan</t>
  </si>
  <si>
    <t>Membrana anticondens 185 gr/mp - 80mp</t>
  </si>
  <si>
    <t>Folie cu permisivitate redusa la vapori MSL LIGHT– 75 mp</t>
  </si>
  <si>
    <t>Bariera de vapori aluminizata ML90AL - 75 mp</t>
  </si>
  <si>
    <t>Banda universala autoadeziva (dolie), lungime 1000 mm</t>
  </si>
  <si>
    <t>Banda etansare Wtb Gladiator /Plus ETM (coama),  lungime 1100 mm</t>
  </si>
  <si>
    <t>Racord flexibil aerisire</t>
  </si>
  <si>
    <t>T</t>
  </si>
  <si>
    <t>RAL 3000</t>
  </si>
  <si>
    <t>RAL 3005</t>
  </si>
  <si>
    <t>RAL 3009</t>
  </si>
  <si>
    <t>RAL 3011</t>
  </si>
  <si>
    <t>RAL 5010</t>
  </si>
  <si>
    <t>RAL 6005</t>
  </si>
  <si>
    <t>RAL 6020</t>
  </si>
  <si>
    <t>RAL 7024</t>
  </si>
  <si>
    <t>RAL 8004</t>
  </si>
  <si>
    <t>RAL 8014</t>
  </si>
  <si>
    <t>RAL 8017</t>
  </si>
  <si>
    <t>RAL 8019</t>
  </si>
  <si>
    <t>RAL 9002</t>
  </si>
  <si>
    <t>RAL 9005</t>
  </si>
  <si>
    <t>RAL 9006</t>
  </si>
  <si>
    <t>Colosseum</t>
  </si>
  <si>
    <t>0.45 Mat</t>
  </si>
  <si>
    <t>Bariera de vapori aluminizata ML110AL - 75 mp</t>
  </si>
  <si>
    <t>Bariera de vapori aluminizata ML140AL - 75 mp</t>
  </si>
  <si>
    <t>Rola adeziva IZOBUTYL (pentru   CLICK )- 15mm x 60m</t>
  </si>
  <si>
    <t>Coama rotunda mare CRMA</t>
  </si>
  <si>
    <t>Clasic</t>
  </si>
  <si>
    <t>Gladiator</t>
  </si>
  <si>
    <t>W8</t>
  </si>
  <si>
    <t>Culori speciale</t>
  </si>
  <si>
    <t>Banda etansare Wtb Colosseum ETM (coama),  lungime 1100 mm</t>
  </si>
  <si>
    <t>0.5 Imperium 30</t>
  </si>
  <si>
    <t>Parazapada grilaj tigla metalica 2M</t>
  </si>
  <si>
    <t>Piesa conectare grilaj</t>
  </si>
  <si>
    <t>Suport parazapada tigla metalica</t>
  </si>
  <si>
    <t>7016-M</t>
  </si>
  <si>
    <t>125C</t>
  </si>
  <si>
    <t>150C</t>
  </si>
  <si>
    <t>DISCOUNT TIGLA METALICA</t>
  </si>
  <si>
    <t>DISCOUNT DRENAJ</t>
  </si>
  <si>
    <t>MARE</t>
  </si>
  <si>
    <t>MIC</t>
  </si>
  <si>
    <t>Ultima</t>
  </si>
  <si>
    <t>ADAOS TIGLA METALICA</t>
  </si>
  <si>
    <t>0.55 Imperium 40</t>
  </si>
  <si>
    <t>W10</t>
  </si>
  <si>
    <t>ALL</t>
  </si>
  <si>
    <t>Imitatie lemn</t>
  </si>
  <si>
    <t>Take</t>
  </si>
  <si>
    <t>W8L</t>
  </si>
  <si>
    <t>W8M</t>
  </si>
  <si>
    <t>W10/18L</t>
  </si>
  <si>
    <t>W10/18M</t>
  </si>
  <si>
    <t>W35L</t>
  </si>
  <si>
    <t>W35M</t>
  </si>
  <si>
    <t>W60L</t>
  </si>
  <si>
    <t>W60M</t>
  </si>
  <si>
    <t>W8Z</t>
  </si>
  <si>
    <t>W10/18Z</t>
  </si>
  <si>
    <t>W35Z</t>
  </si>
  <si>
    <t>W60Z</t>
  </si>
  <si>
    <t>Parazapada Ranforsata PRZS</t>
  </si>
  <si>
    <t>Sipca</t>
  </si>
  <si>
    <t>Plus</t>
  </si>
  <si>
    <t>Membrana anticondens  WTB 115 gr/mp - 80mp</t>
  </si>
  <si>
    <t>Membrana anticondens DACHOVA   115 gr/mp - 80mp</t>
  </si>
  <si>
    <t>L</t>
  </si>
  <si>
    <t>M</t>
  </si>
  <si>
    <t>7016-L</t>
  </si>
  <si>
    <t>I30</t>
  </si>
  <si>
    <t>I40</t>
  </si>
  <si>
    <t>0.45 Lucios</t>
  </si>
  <si>
    <t>Membrana ACOVENT 135/80 MP</t>
  </si>
  <si>
    <t>Membrana anticondens WTB 135 gr/mp - 80mp</t>
  </si>
  <si>
    <t>Membrana DACHOVA 150 G/80 MP</t>
  </si>
  <si>
    <t>Membrana anticondens WTB 150 gr/mp - 80mp</t>
  </si>
  <si>
    <t>Membrana METALLIC pentru tabla faltuita 450gr/mp 1,5 X 25-37.5mp .</t>
  </si>
  <si>
    <t>Banda etansare Wtb Clasic ETM (coama),  lungime 1100 mm</t>
  </si>
  <si>
    <t>Banda etansare W60 SET</t>
  </si>
  <si>
    <t>Silicon Aquafix</t>
  </si>
  <si>
    <t>Vopsea retus+pensula 20 ml</t>
  </si>
  <si>
    <t>Ventilatie Acoperis COLOSSEUM</t>
  </si>
  <si>
    <t>Ventilatie Acoperis GLADIATOR</t>
  </si>
  <si>
    <t>Ventilatie Acoperis PLUS</t>
  </si>
  <si>
    <t>Manson etansare MF 1 ( 6-60mm )</t>
  </si>
  <si>
    <t>Manson etansare MF 2 ( 32-82 mm )</t>
  </si>
  <si>
    <t>Manson etansare MF 3 ( 6-110 mm)</t>
  </si>
  <si>
    <t>Manson etansare MF 4 ( 75-150mm )</t>
  </si>
  <si>
    <t>Manson etansare MF 5 ( 102-175mm )</t>
  </si>
  <si>
    <t>Manson etansare MF 6 ( 125-230mm )</t>
  </si>
  <si>
    <t>Manson etansare MF 8(175-330)</t>
  </si>
  <si>
    <t>Manson etansare MF 9(240-475)</t>
  </si>
  <si>
    <t xml:space="preserve">WETTERBEST PLUS </t>
  </si>
  <si>
    <t xml:space="preserve">WETTERBEST COLOSSEUM </t>
  </si>
  <si>
    <t>CLASIC</t>
  </si>
  <si>
    <t>0.5  Suprem 50</t>
  </si>
  <si>
    <t xml:space="preserve"> 0.5  Suprem 50</t>
  </si>
  <si>
    <t xml:space="preserve">Surub Click 4.2 x 32 pt fixare in astereala </t>
  </si>
  <si>
    <t>Surub 4,8*20 RAL</t>
  </si>
  <si>
    <t>Rooflite</t>
  </si>
  <si>
    <t>Atipica</t>
  </si>
  <si>
    <t>Cardinal</t>
  </si>
  <si>
    <t>PLUS</t>
  </si>
  <si>
    <t>GLADIATOR</t>
  </si>
  <si>
    <t>CARDINAL</t>
  </si>
  <si>
    <t>COLOSSEUM</t>
  </si>
  <si>
    <t>CLASIC 15</t>
  </si>
  <si>
    <t>CLASIC 20</t>
  </si>
  <si>
    <t>CLASIC15</t>
  </si>
  <si>
    <t>CLASIC20</t>
  </si>
  <si>
    <t>16 Pasi</t>
  </si>
  <si>
    <t>15 Pasi</t>
  </si>
  <si>
    <t>14 Pasi</t>
  </si>
  <si>
    <t>13 Pasi</t>
  </si>
  <si>
    <t>12 Pasi</t>
  </si>
  <si>
    <t>11 Pasi</t>
  </si>
  <si>
    <t>10 Pasi</t>
  </si>
  <si>
    <t>9 Pasi</t>
  </si>
  <si>
    <t>8 Pasi</t>
  </si>
  <si>
    <t>7 Pasi</t>
  </si>
  <si>
    <t>6 Pasi</t>
  </si>
  <si>
    <t>5 Pasi</t>
  </si>
  <si>
    <t>4 Pasi</t>
  </si>
  <si>
    <t>3 Pasi</t>
  </si>
  <si>
    <t>2 Pasi</t>
  </si>
  <si>
    <t>1 Pas</t>
  </si>
  <si>
    <t>LUCIOS 0.35</t>
  </si>
  <si>
    <t>LUCIOS 0.4</t>
  </si>
  <si>
    <t>LUCIOS 0.45</t>
  </si>
  <si>
    <t>LUCIOS 0.5</t>
  </si>
  <si>
    <t>MAT 0.4</t>
  </si>
  <si>
    <t>MAT 0.45</t>
  </si>
  <si>
    <t>MAT 0.5</t>
  </si>
  <si>
    <t>SUPREM 50 0.5</t>
  </si>
  <si>
    <t>NEOMAT 30 0.5</t>
  </si>
  <si>
    <t>WETTERBEST CARDINAL</t>
  </si>
  <si>
    <t>COLSSEUM</t>
  </si>
  <si>
    <t>7024-SUPREM</t>
  </si>
  <si>
    <t>8019-SUPREM</t>
  </si>
  <si>
    <t>3009-NEOMAT</t>
  </si>
  <si>
    <t>7024-NEOMAT</t>
  </si>
  <si>
    <t>8017-NEOMAT</t>
  </si>
  <si>
    <t>8019-NEOMAT</t>
  </si>
  <si>
    <t>9005-NEOMAT</t>
  </si>
  <si>
    <t>Coama rotunda mica CR</t>
  </si>
  <si>
    <t>L035</t>
  </si>
  <si>
    <t>L04</t>
  </si>
  <si>
    <t>L05</t>
  </si>
  <si>
    <t>L045</t>
  </si>
  <si>
    <t>M04</t>
  </si>
  <si>
    <t>M045</t>
  </si>
  <si>
    <t>S</t>
  </si>
  <si>
    <t>N</t>
  </si>
  <si>
    <t>M05</t>
  </si>
  <si>
    <t>LATIME</t>
  </si>
  <si>
    <t>LUNGIME</t>
  </si>
  <si>
    <t>BUC</t>
  </si>
  <si>
    <t>NR.</t>
  </si>
  <si>
    <t>Bordura speciala ZINCATA 1</t>
  </si>
  <si>
    <t>Bordura speciala ZINCATA 2</t>
  </si>
  <si>
    <t>Bordura speciala ZINCATA 3</t>
  </si>
  <si>
    <t>Bordura speciala ZINCATA 4</t>
  </si>
  <si>
    <t>Bordura speciala ZINCATA 5</t>
  </si>
  <si>
    <t>Bordura speciala ZINCATA 6</t>
  </si>
  <si>
    <t>Bordura speciala ZINCATA 7</t>
  </si>
  <si>
    <t>Bordura speciala ZINCATA 8</t>
  </si>
  <si>
    <t>Bordura speciala ZINCATA 9</t>
  </si>
  <si>
    <t>Bordura speciala ZINCATA 10</t>
  </si>
  <si>
    <t>ZINCAT</t>
  </si>
  <si>
    <t>Bordura SPECIALA MP</t>
  </si>
  <si>
    <t>Bordura SPECIALA ZINCAT</t>
  </si>
  <si>
    <t>Zincat 0.4</t>
  </si>
  <si>
    <t>Zincat 0.5</t>
  </si>
  <si>
    <t>Zincat 0.8</t>
  </si>
  <si>
    <t>BORDURI</t>
  </si>
  <si>
    <t>SISTEM PLUVIAL</t>
  </si>
  <si>
    <t>TIGLA METALICA</t>
  </si>
  <si>
    <t>0.5 Neomat30</t>
  </si>
  <si>
    <t>L5</t>
  </si>
  <si>
    <t>M5</t>
  </si>
  <si>
    <t>M45</t>
  </si>
  <si>
    <t>Centralizator preturi oferta</t>
  </si>
  <si>
    <t>Data:</t>
  </si>
  <si>
    <t>Culoare:</t>
  </si>
  <si>
    <t>Numar Bucati:</t>
  </si>
  <si>
    <t>TABLA CUTATA</t>
  </si>
  <si>
    <t>Materiale Diverse</t>
  </si>
  <si>
    <t>0.5 Neomat 30</t>
  </si>
  <si>
    <t>DISCOUNT</t>
  </si>
  <si>
    <t xml:space="preserve">DISCOUNT </t>
  </si>
  <si>
    <t>DRIPSTOP+GLADIATOR</t>
  </si>
  <si>
    <t>DRIPSTOP+CLASIC 15</t>
  </si>
  <si>
    <t>DRIPSTOP+CLASIC 20</t>
  </si>
  <si>
    <t>D+GLADIATOR</t>
  </si>
  <si>
    <t>D+CLASIC</t>
  </si>
  <si>
    <t>3005-NEOMAT</t>
  </si>
  <si>
    <t>3011-NEOMAT</t>
  </si>
  <si>
    <t>6020-NEOMAT</t>
  </si>
  <si>
    <t>8004-NEOMAT</t>
  </si>
  <si>
    <t>Membrana  anticondens – 100 gr/mp - 75 mp</t>
  </si>
  <si>
    <t>Ventilatie Acoperis CARDINAL</t>
  </si>
  <si>
    <t>MEMBRANE SI ACCESORII</t>
  </si>
  <si>
    <t>SURUBURI</t>
  </si>
  <si>
    <t>Fereastra Dakea Good</t>
  </si>
  <si>
    <t>Fereastra Dakea Good PVC</t>
  </si>
  <si>
    <t>Fereastra Dakea Good Energy</t>
  </si>
  <si>
    <t>Fereastra Dakea Good Energy PVC</t>
  </si>
  <si>
    <t>Fereastra Dakea Better Safe</t>
  </si>
  <si>
    <t>Fereastra Dakea Better Safe PVC</t>
  </si>
  <si>
    <t>Fereastra Dakea Better Energy</t>
  </si>
  <si>
    <t>Fereastra Dakea Better Energy PVC</t>
  </si>
  <si>
    <t>Fereastra Dakea Ultima</t>
  </si>
  <si>
    <t>Fereastra Dakea Ultima Energy</t>
  </si>
  <si>
    <t>Trapa acces Flex</t>
  </si>
  <si>
    <t>Dispozitiv deschidere Tija manuala</t>
  </si>
  <si>
    <t>Dispozitiv deschidere Electric</t>
  </si>
  <si>
    <t>Scara Pod Dakea Step</t>
  </si>
  <si>
    <t>Scara Pod Dakea Max</t>
  </si>
  <si>
    <t>FEREASTRA DE MANSARDA ROOFLITE</t>
  </si>
  <si>
    <t>RAMA ROOFLITE</t>
  </si>
  <si>
    <t>55 x 78</t>
  </si>
  <si>
    <t>55 x 98</t>
  </si>
  <si>
    <t>66 x 118</t>
  </si>
  <si>
    <t>78 x 118</t>
  </si>
  <si>
    <t>60 x 120</t>
  </si>
  <si>
    <t>70 x 120</t>
  </si>
  <si>
    <t>60x120</t>
  </si>
  <si>
    <t>70x120</t>
  </si>
  <si>
    <t>Good PVC</t>
  </si>
  <si>
    <t>Good Energy</t>
  </si>
  <si>
    <t>Good Energy PVC</t>
  </si>
  <si>
    <t>Better Safe</t>
  </si>
  <si>
    <t>Better Safe PVC</t>
  </si>
  <si>
    <t>Better Energy</t>
  </si>
  <si>
    <t>Better Energy PVC</t>
  </si>
  <si>
    <t>Fereastra Dakea Ultima Energy PVC</t>
  </si>
  <si>
    <t>Ultima Energy</t>
  </si>
  <si>
    <t>Ultima Energy PVC</t>
  </si>
  <si>
    <t>KUF</t>
  </si>
  <si>
    <t xml:space="preserve">Trapa acces </t>
  </si>
  <si>
    <t>Flex</t>
  </si>
  <si>
    <t>Scara Pod</t>
  </si>
  <si>
    <t>Step</t>
  </si>
  <si>
    <t>Max</t>
  </si>
  <si>
    <t>Faltz 540</t>
  </si>
  <si>
    <t>Faltz 535 DP</t>
  </si>
  <si>
    <t>Faltz 410 DP</t>
  </si>
  <si>
    <t>CLICK/FALTZ</t>
  </si>
  <si>
    <t>D+Click</t>
  </si>
  <si>
    <t>0.5 Suprem 50</t>
  </si>
  <si>
    <t>0.5 Alzn</t>
  </si>
  <si>
    <t>0.5 Zn</t>
  </si>
  <si>
    <t>Otel Dublu prevopsit</t>
  </si>
  <si>
    <t>0.45L</t>
  </si>
  <si>
    <t>0.45 M</t>
  </si>
  <si>
    <t>0.5M</t>
  </si>
  <si>
    <t>0.5 S</t>
  </si>
  <si>
    <t>0.5 N</t>
  </si>
  <si>
    <t>DP</t>
  </si>
  <si>
    <t>Faltz</t>
  </si>
  <si>
    <t>Dripstop + WTB CLICK</t>
  </si>
  <si>
    <t>FALTZ 535 DP</t>
  </si>
  <si>
    <t>FALTZ 410 DP</t>
  </si>
  <si>
    <t>0.5L</t>
  </si>
  <si>
    <t>0.5N</t>
  </si>
  <si>
    <t>0.4 Lucios</t>
  </si>
  <si>
    <t>Imitatie Lemn DP</t>
  </si>
  <si>
    <t>Imitatie Lemn</t>
  </si>
  <si>
    <t>Zincat 1.0</t>
  </si>
  <si>
    <t>0.35L</t>
  </si>
  <si>
    <t>0.4 L</t>
  </si>
  <si>
    <t>0.45 L</t>
  </si>
  <si>
    <t>0.6L</t>
  </si>
  <si>
    <t>0.7L</t>
  </si>
  <si>
    <t>Im Lemn DP</t>
  </si>
  <si>
    <t>Im lemn</t>
  </si>
  <si>
    <t>Z 0.4</t>
  </si>
  <si>
    <t xml:space="preserve">Z 0.5 </t>
  </si>
  <si>
    <t>Z 0.8</t>
  </si>
  <si>
    <t>Z 1</t>
  </si>
  <si>
    <t>SCULE</t>
  </si>
  <si>
    <t>Foarfeca pelican</t>
  </si>
  <si>
    <t>Foarfeca combinata dr./stg.</t>
  </si>
  <si>
    <t>Foarfeca circulara dr./stg.</t>
  </si>
  <si>
    <t>Cleste falci rotunde</t>
  </si>
  <si>
    <t>Cleste faltuit drept</t>
  </si>
  <si>
    <t>Cleste faltuit 45°</t>
  </si>
  <si>
    <t>Cleste deschis falt</t>
  </si>
  <si>
    <t>Cleste pliere</t>
  </si>
  <si>
    <t>Cleste faltuit pe rotund</t>
  </si>
  <si>
    <t>Prisma teflon cu praguri</t>
  </si>
  <si>
    <t>Ciocan teflon tip pana</t>
  </si>
  <si>
    <t>Ciocan teflon rectangular</t>
  </si>
  <si>
    <t>Ciocan rotund</t>
  </si>
  <si>
    <t>Trasator gradat</t>
  </si>
  <si>
    <t>Faltuitor streasina</t>
  </si>
  <si>
    <t>Inchizator falt simplu</t>
  </si>
  <si>
    <t>Inchizator falt dublu</t>
  </si>
  <si>
    <t>Prisma curbata</t>
  </si>
  <si>
    <t>Ham munca</t>
  </si>
  <si>
    <t>Dispozitiv indoit carlige</t>
  </si>
  <si>
    <t>Scule</t>
  </si>
  <si>
    <t>0.5 Aluzinc</t>
  </si>
  <si>
    <t>Imitatie lemn DP</t>
  </si>
  <si>
    <t>0.6 DP</t>
  </si>
  <si>
    <t>Aluzinc 0.5</t>
  </si>
  <si>
    <t>Otel dublu prevopsit</t>
  </si>
  <si>
    <t>Latime rulou:</t>
  </si>
  <si>
    <t>RAL 7016</t>
  </si>
  <si>
    <t>RAL:</t>
  </si>
  <si>
    <t>LUCIOS</t>
  </si>
  <si>
    <t>MAT</t>
  </si>
  <si>
    <t>Cutata culori</t>
  </si>
  <si>
    <t>Otel zincat</t>
  </si>
  <si>
    <t>Minirulou-faltz</t>
  </si>
  <si>
    <t>Borduri standard</t>
  </si>
  <si>
    <t>Membrane&amp;alte</t>
  </si>
  <si>
    <t>Borduri speciale</t>
  </si>
  <si>
    <t>Borduri speciale zincate</t>
  </si>
  <si>
    <t>ADAOS</t>
  </si>
  <si>
    <t>Otel Zincat</t>
  </si>
  <si>
    <t>Burlan 3 metri</t>
  </si>
  <si>
    <t>C125</t>
  </si>
  <si>
    <t>C150</t>
  </si>
  <si>
    <t>ALZN125</t>
  </si>
  <si>
    <t>ALZN150</t>
  </si>
  <si>
    <t>S125</t>
  </si>
  <si>
    <t>S150</t>
  </si>
  <si>
    <t>Jgheab 4 metri</t>
  </si>
  <si>
    <t>Manuala</t>
  </si>
  <si>
    <t>Mecanizata</t>
  </si>
  <si>
    <t xml:space="preserve"> 0.35 MM LUCIOS</t>
  </si>
  <si>
    <t xml:space="preserve"> 0.40 MM LUCIOS</t>
  </si>
  <si>
    <t xml:space="preserve"> 0.45 MM,  LUCIOS</t>
  </si>
  <si>
    <t xml:space="preserve"> 0.50 MM,  LUCIOS</t>
  </si>
  <si>
    <t xml:space="preserve"> 0.60 MM,  LUCIOS</t>
  </si>
  <si>
    <t xml:space="preserve"> 0.75 MM,  LUCIOS</t>
  </si>
  <si>
    <t xml:space="preserve"> 0.40 MM,  MAT</t>
  </si>
  <si>
    <t xml:space="preserve"> 0.45 MM,  MAT</t>
  </si>
  <si>
    <t xml:space="preserve"> 0.50 MM,  MAT</t>
  </si>
  <si>
    <t>IMITATIE LEMN</t>
  </si>
  <si>
    <t>IMITATIE LEMN DP</t>
  </si>
  <si>
    <t>0,50 MM, SUPREM 50</t>
  </si>
  <si>
    <t>0.50 MM,  NEOMAT 30</t>
  </si>
  <si>
    <t>t</t>
  </si>
  <si>
    <t>Romana</t>
  </si>
  <si>
    <t>Engleza</t>
  </si>
  <si>
    <t>Bulgara</t>
  </si>
  <si>
    <t>Maghiara</t>
  </si>
  <si>
    <t>Order and offer file</t>
  </si>
  <si>
    <t>Файл за поръчка и оферта</t>
  </si>
  <si>
    <t>Kínálati és megrendelési mappa</t>
  </si>
  <si>
    <t>ROOFING TILE</t>
  </si>
  <si>
    <t>ЕТАЛНА КЕРЕМИДА</t>
  </si>
  <si>
    <t>FÉM TETŐCSERÉP</t>
  </si>
  <si>
    <t>Thickness</t>
  </si>
  <si>
    <t>Дебелина</t>
  </si>
  <si>
    <t>Vastagság</t>
  </si>
  <si>
    <t>Culoare Ral</t>
  </si>
  <si>
    <t>Ral colour</t>
  </si>
  <si>
    <t>Цвят Ral</t>
  </si>
  <si>
    <t>Ral szín</t>
  </si>
  <si>
    <t>EDGES</t>
  </si>
  <si>
    <t>БОРДОВЕ</t>
  </si>
  <si>
    <t>SZEGÉLYEK</t>
  </si>
  <si>
    <t>Type</t>
  </si>
  <si>
    <t>вид</t>
  </si>
  <si>
    <t>Típus</t>
  </si>
  <si>
    <t>Size</t>
  </si>
  <si>
    <t>Pазмер</t>
  </si>
  <si>
    <t>Méret</t>
  </si>
  <si>
    <t>RAINWATER SYSTEM</t>
  </si>
  <si>
    <t>ДРЕНАЖНА СИСТЕМА</t>
  </si>
  <si>
    <t>VÍZELVEZETŐ RENDSZER</t>
  </si>
  <si>
    <t>MEMBRANES AND ACCESSORIES</t>
  </si>
  <si>
    <t>МЕМБРАНИ И АКСЕСОАРИ</t>
  </si>
  <si>
    <t>MEMBRÁNOK ÉS KIEGÉSZÍTŐK</t>
  </si>
  <si>
    <t>SCREWS</t>
  </si>
  <si>
    <t>ВИНТОВЕ</t>
  </si>
  <si>
    <t>CSAVAROK</t>
  </si>
  <si>
    <t>Roof screws</t>
  </si>
  <si>
    <t>Винтове за покрив</t>
  </si>
  <si>
    <t>TETŐ CSAVAROK</t>
  </si>
  <si>
    <t>Screws for metal W/OD14mm</t>
  </si>
  <si>
    <t>Винтове за метал W/OD14мм.</t>
  </si>
  <si>
    <t>W/OD14mm fémcsavar</t>
  </si>
  <si>
    <t>TABLA CLICK</t>
  </si>
  <si>
    <t>CLICK SHEET</t>
  </si>
  <si>
    <t>ЛАМАРИНА CLICK</t>
  </si>
  <si>
    <t>CLICK FÉMLEMEZ</t>
  </si>
  <si>
    <t>ACCESORII CLICK</t>
  </si>
  <si>
    <t>CLICK ACCESSORIES</t>
  </si>
  <si>
    <t>АКСЕСОАРИ CLICK</t>
  </si>
  <si>
    <t>CLICK TARTOZÉKOK</t>
  </si>
  <si>
    <t>CORRUGATED SHEET</t>
  </si>
  <si>
    <t>ВЪЛНООБРАЗНА ЛАМАРИНА</t>
  </si>
  <si>
    <t>HULLÁMLEMEZ</t>
  </si>
  <si>
    <t>SIPCA DE GARD</t>
  </si>
  <si>
    <t>FENCE STRIP</t>
  </si>
  <si>
    <t>МЕТАЛНИ РЕБРА ЗА ОГРАДА</t>
  </si>
  <si>
    <t>Keritésléc</t>
  </si>
  <si>
    <t>MINIRULOU</t>
  </si>
  <si>
    <t>BABY-COIL</t>
  </si>
  <si>
    <t>МИНИ ЩОРА</t>
  </si>
  <si>
    <t>Tekercslemez</t>
  </si>
  <si>
    <t>Structuta</t>
  </si>
  <si>
    <t>Structure</t>
  </si>
  <si>
    <t>Cтруктура</t>
  </si>
  <si>
    <t>Szerkezet</t>
  </si>
  <si>
    <t>*Lungimea minima este de 40 ml</t>
  </si>
  <si>
    <t>*The minimum length is 40 linear meters</t>
  </si>
  <si>
    <t>*Минималната дължина е 40 лин.м.</t>
  </si>
  <si>
    <t>*Minimum hossz 40 folyóméter</t>
  </si>
  <si>
    <t>Membrana Dripstop DA/NU</t>
  </si>
  <si>
    <t>Dripstop membrane YES/NO</t>
  </si>
  <si>
    <t xml:space="preserve">Мембрана Dripstop ДА/НЕ </t>
  </si>
  <si>
    <t>Dripstop membrán  IGEN/NEM</t>
  </si>
  <si>
    <t>Completare la fact nr /data:</t>
  </si>
  <si>
    <t>Filling in invoice no/date:</t>
  </si>
  <si>
    <t>Попълване на фактура номер / дата:</t>
  </si>
  <si>
    <t>Kiegészítés a számú/keltezésű számlához:</t>
  </si>
  <si>
    <t>PRET / MP</t>
  </si>
  <si>
    <t>PRICE/SQM</t>
  </si>
  <si>
    <t>ЦЕНА / Кв.м.</t>
  </si>
  <si>
    <t>Ár/m2</t>
  </si>
  <si>
    <t>euro</t>
  </si>
  <si>
    <t>евро</t>
  </si>
  <si>
    <t>cantitate</t>
  </si>
  <si>
    <t>quantity</t>
  </si>
  <si>
    <t>количество</t>
  </si>
  <si>
    <t>mennyiség</t>
  </si>
  <si>
    <t>Atypical</t>
  </si>
  <si>
    <t>Aтипично</t>
  </si>
  <si>
    <t>Atipikus</t>
  </si>
  <si>
    <t>Ultima Modificare 01.12.2020</t>
  </si>
  <si>
    <t>Last update 01.12.2020</t>
  </si>
  <si>
    <t>Последна редакция 01.12.2020</t>
  </si>
  <si>
    <t>Utoljára szerkesztve 01.12.2020</t>
  </si>
  <si>
    <t>Flat roofs</t>
  </si>
  <si>
    <t>Плоска ламарина</t>
  </si>
  <si>
    <t>SÍK FÉMLEMEZ</t>
  </si>
  <si>
    <t>Special boarf of the dead wall</t>
  </si>
  <si>
    <t>Специален борд калкан</t>
  </si>
  <si>
    <t>Speciális szegély-csatlakozó</t>
  </si>
  <si>
    <t>Large straight ridge</t>
  </si>
  <si>
    <t>Голям прав капак</t>
  </si>
  <si>
    <t>Nagyméretű szögletes gerincelem</t>
  </si>
  <si>
    <t>Small straight ridge</t>
  </si>
  <si>
    <t>Малък прав капак</t>
  </si>
  <si>
    <t>Kisméretű  szögletes gerincelem</t>
  </si>
  <si>
    <t>Small round ridge</t>
  </si>
  <si>
    <t>Малък кръгъл капак</t>
  </si>
  <si>
    <t>Kisméretű kerek gerincelem</t>
  </si>
  <si>
    <t>Large round ridge</t>
  </si>
  <si>
    <t>Голям кръгъл капак</t>
  </si>
  <si>
    <t>Nagyméretű kerek gerincelem</t>
  </si>
  <si>
    <t>Gable collector</t>
  </si>
  <si>
    <t>Колектор фронтон</t>
  </si>
  <si>
    <t>Oromzati vízgyűjtő</t>
  </si>
  <si>
    <t>Closure wall</t>
  </si>
  <si>
    <t>Съединение калкан</t>
  </si>
  <si>
    <t>Szegély csatlakozó</t>
  </si>
  <si>
    <t xml:space="preserve">Eaves </t>
  </si>
  <si>
    <t>Улама</t>
  </si>
  <si>
    <t>Vápa</t>
  </si>
  <si>
    <t>Snow stopper</t>
  </si>
  <si>
    <t>Снегозадържащ елемент</t>
  </si>
  <si>
    <t>Hóvágó</t>
  </si>
  <si>
    <t>Reinforced snow stopper</t>
  </si>
  <si>
    <t xml:space="preserve">Снегозадържащ елемент подсилен </t>
  </si>
  <si>
    <t>Megerősített hófogó</t>
  </si>
  <si>
    <t>PAZ 1 type fascia board</t>
  </si>
  <si>
    <t>Челна дъска тип 1 PAZ 1</t>
  </si>
  <si>
    <t>1 PAZ 1 típusú homloklemez</t>
  </si>
  <si>
    <t xml:space="preserve">Rain shadow fascia board </t>
  </si>
  <si>
    <t>Челна дъска стреха</t>
  </si>
  <si>
    <t>Eresz homloklemez</t>
  </si>
  <si>
    <t>Slope Break apron</t>
  </si>
  <si>
    <t xml:space="preserve">Престилка за промяна на наклона  </t>
  </si>
  <si>
    <t>Dőlésszög-törés köpeny</t>
  </si>
  <si>
    <t>Slope break apron - Verical wall</t>
  </si>
  <si>
    <t>Престилка за промяна на наклона вертикална стена</t>
  </si>
  <si>
    <t>Dőlésszög-törés köpeny függőleges falhoz</t>
  </si>
  <si>
    <t>Eaves apron</t>
  </si>
  <si>
    <t xml:space="preserve">Престилка стреха </t>
  </si>
  <si>
    <t>Ereszköpeny</t>
  </si>
  <si>
    <t>2M metallic tile grid snow nose</t>
  </si>
  <si>
    <t>Предпазна решетка  метални керемиди 2M</t>
  </si>
  <si>
    <t>Rácsos hóvédő fém tetőlemezhez 2M</t>
  </si>
  <si>
    <t>Grid connection piece</t>
  </si>
  <si>
    <t>Част за свързване на решетка</t>
  </si>
  <si>
    <t>Rácsozat csatlakoztató elem</t>
  </si>
  <si>
    <t>Metallic tile grid snow nose support</t>
  </si>
  <si>
    <t>Основа за снегозадържащ елемент за метална керемида</t>
  </si>
  <si>
    <t>Fém tetőlemez hófogó tartó</t>
  </si>
  <si>
    <t>SPECIAL edge sqm</t>
  </si>
  <si>
    <t>Борд СПЕЦИАЛЕН кв. м.</t>
  </si>
  <si>
    <t>SPECIÁLIS szegély M2</t>
  </si>
  <si>
    <t>ZINC-COATED SPECIAL edge</t>
  </si>
  <si>
    <t>Борд СПЕЦИАЛЕН ПОЦИНКОВАН</t>
  </si>
  <si>
    <t>HORGANYZOTT SPECIÁLIS szegély</t>
  </si>
  <si>
    <t xml:space="preserve">Bordura SPECIALA </t>
  </si>
  <si>
    <t>SPECIAL edge</t>
  </si>
  <si>
    <t xml:space="preserve">Борд СПЕЦИАЛЕН </t>
  </si>
  <si>
    <t>SPECIÁLIS szegély</t>
  </si>
  <si>
    <t>Edge 1</t>
  </si>
  <si>
    <t>Борд 1</t>
  </si>
  <si>
    <t>Szegély 1</t>
  </si>
  <si>
    <t>Edge 2</t>
  </si>
  <si>
    <t>Борд 2</t>
  </si>
  <si>
    <t>Szegély 2</t>
  </si>
  <si>
    <t>Edge 3</t>
  </si>
  <si>
    <t>Борд 3</t>
  </si>
  <si>
    <t>Szegély 3</t>
  </si>
  <si>
    <t>Edge 4</t>
  </si>
  <si>
    <t>Борд 4</t>
  </si>
  <si>
    <t>Szegély 4</t>
  </si>
  <si>
    <t>Edge 5</t>
  </si>
  <si>
    <t>Борд 5</t>
  </si>
  <si>
    <t>Szegély 5</t>
  </si>
  <si>
    <t>Edge 6</t>
  </si>
  <si>
    <t>Борд 6</t>
  </si>
  <si>
    <t>Szegély 6</t>
  </si>
  <si>
    <t>Edge 7</t>
  </si>
  <si>
    <t>Борд 7</t>
  </si>
  <si>
    <t>Szegély 7</t>
  </si>
  <si>
    <t>Edge 8</t>
  </si>
  <si>
    <t>Борд 8</t>
  </si>
  <si>
    <t>Szegély 8</t>
  </si>
  <si>
    <t>Edge 9</t>
  </si>
  <si>
    <t>Борд 9</t>
  </si>
  <si>
    <t>Szegély 9</t>
  </si>
  <si>
    <t>Edge 10</t>
  </si>
  <si>
    <t>Борд 10</t>
  </si>
  <si>
    <t>Szegély 10</t>
  </si>
  <si>
    <t>NO.</t>
  </si>
  <si>
    <t>НОМЕР</t>
  </si>
  <si>
    <t>Szám:</t>
  </si>
  <si>
    <t>WIDTH</t>
  </si>
  <si>
    <t>ШИРИНА</t>
  </si>
  <si>
    <t>SZÉLESSÉG</t>
  </si>
  <si>
    <t>LENGTH</t>
  </si>
  <si>
    <t>ДЪЛЖИНА</t>
  </si>
  <si>
    <t>HOSSZ</t>
  </si>
  <si>
    <t>PCS</t>
  </si>
  <si>
    <t>БРОЙ</t>
  </si>
  <si>
    <t>DB.</t>
  </si>
  <si>
    <t>Colored</t>
  </si>
  <si>
    <t>Цветни</t>
  </si>
  <si>
    <t>Színezett</t>
  </si>
  <si>
    <t>Алуцинк</t>
  </si>
  <si>
    <t>Alumínium és cink</t>
  </si>
  <si>
    <t>Special colors</t>
  </si>
  <si>
    <t>Специални цветове</t>
  </si>
  <si>
    <t>Különleges színek</t>
  </si>
  <si>
    <t>Hook,  210 mm</t>
  </si>
  <si>
    <t>Скоба,  210 мм.</t>
  </si>
  <si>
    <t>Horog, 210 mm</t>
  </si>
  <si>
    <t>TWISTED Hook 210 mm</t>
  </si>
  <si>
    <t>Скоба,  ИЗВИТА 210 мм.</t>
  </si>
  <si>
    <t>Csavart horog, 210 mm</t>
  </si>
  <si>
    <t>Carlig zincat 210mm</t>
  </si>
  <si>
    <t>Zinc-coated hook,  210 mm</t>
  </si>
  <si>
    <t>Поцинкована скоба 210 мм.</t>
  </si>
  <si>
    <t>Horganyzott horog, 210mm</t>
  </si>
  <si>
    <t>Carlig,  RASUCIT ZINCAT 210 mm</t>
  </si>
  <si>
    <t>TWISTED Hook,  ZONC-COATED 210 mm</t>
  </si>
  <si>
    <t>Скоба,  ИЗВИТА ПОЦИНКОВАНА 210 мм.</t>
  </si>
  <si>
    <t>Csavart HORGANYZOTT horog, 210 mm</t>
  </si>
  <si>
    <t>Carlig,  160 mm</t>
  </si>
  <si>
    <t>Hook,  160 mm</t>
  </si>
  <si>
    <t>Скоба,  160 мм.</t>
  </si>
  <si>
    <t>Horog, 160 mm</t>
  </si>
  <si>
    <t>Carlig zincat 160mm</t>
  </si>
  <si>
    <t>Zinc-coated hook, 160 mm</t>
  </si>
  <si>
    <t>Скоба поцинкована 160 мм.</t>
  </si>
  <si>
    <t>Horganyzott horog, 160mm</t>
  </si>
  <si>
    <t>Applied gutter hook</t>
  </si>
  <si>
    <t>Скоба челна дъска</t>
  </si>
  <si>
    <t>Rögzített horog</t>
  </si>
  <si>
    <t>Carlig aplicat Zincat</t>
  </si>
  <si>
    <t>Zinc-coated applied gutter hook</t>
  </si>
  <si>
    <t>Rögzített, horganyzott horog</t>
  </si>
  <si>
    <t>Улук 3 метра</t>
  </si>
  <si>
    <t>Csatorna 3 méter</t>
  </si>
  <si>
    <t>Outer gutter corner</t>
  </si>
  <si>
    <t>Улук ъглов външен</t>
  </si>
  <si>
    <t>Külső csatorna sarokelem</t>
  </si>
  <si>
    <t>Inner gutter corner</t>
  </si>
  <si>
    <t>Улук ъглов вътрешен</t>
  </si>
  <si>
    <t>Belső csatorna sarokelem</t>
  </si>
  <si>
    <t>Gutter ring</t>
  </si>
  <si>
    <t>Скоба улук</t>
  </si>
  <si>
    <t>Csatorna bilincs</t>
  </si>
  <si>
    <t>Gutter cover</t>
  </si>
  <si>
    <t>Капак улук</t>
  </si>
  <si>
    <t>Csatorna záróelem</t>
  </si>
  <si>
    <t>Counter-hook</t>
  </si>
  <si>
    <t>Скоба "контра"</t>
  </si>
  <si>
    <t>Ellenhorog</t>
  </si>
  <si>
    <t>Gutter-spout connection</t>
  </si>
  <si>
    <t>Съединение улук-тръба</t>
  </si>
  <si>
    <t>Csatorna-lefolyó csatlakozó</t>
  </si>
  <si>
    <t>Spout elbow bend</t>
  </si>
  <si>
    <t>Коляно тръба</t>
  </si>
  <si>
    <t>Lefolyó könyök</t>
  </si>
  <si>
    <t>Spout extension 0.9 m</t>
  </si>
  <si>
    <t>Удължител тръба 0.9 м.</t>
  </si>
  <si>
    <t>Lefolyó hosszabbító elem 0.9m</t>
  </si>
  <si>
    <t>Spout 3 meters</t>
  </si>
  <si>
    <t>Тръба 3 метри</t>
  </si>
  <si>
    <t>Lefolyó 3 méter</t>
  </si>
  <si>
    <t>Spout clamp</t>
  </si>
  <si>
    <t>Скоба тръба</t>
  </si>
  <si>
    <t>Lefolyó bilincs</t>
  </si>
  <si>
    <t>Y spout ramification</t>
  </si>
  <si>
    <t>Разклонение тръба Y</t>
  </si>
  <si>
    <t>Y lefolyó elosztó</t>
  </si>
  <si>
    <t>Drainage</t>
  </si>
  <si>
    <t>Оттичане</t>
  </si>
  <si>
    <t>Eltávolító</t>
  </si>
  <si>
    <t>Collecting cone</t>
  </si>
  <si>
    <t>Фуния колектор</t>
  </si>
  <si>
    <t>Gyűjtő tölcsér</t>
  </si>
  <si>
    <t>Anti-condensation membrane – 90 gr/sqm - 80 sqm</t>
  </si>
  <si>
    <t>Антикондензна мембрана – 90 гр./кв. м.2 - 80 кв. м.</t>
  </si>
  <si>
    <t>Páragátló membrán - 90gr/m2</t>
  </si>
  <si>
    <t>Антикондензна мембранаs  WTB 115 гр./кв. м. - 80 кв. м.</t>
  </si>
  <si>
    <t>Páragátló membrán - WTB 115gr/m2 - 80m2</t>
  </si>
  <si>
    <t>DACHOVA anti-condensation membrane 115 gr/sqm - 80 sqm</t>
  </si>
  <si>
    <t>Антикондензна мембрана DACHOVA 115 гр./кв. м.- 80 кв. м.</t>
  </si>
  <si>
    <t>Páragátló membrán - DACHOVA  115gr/m2 - 80m2</t>
  </si>
  <si>
    <t>ACOVENT membrane – 135/80 SQM</t>
  </si>
  <si>
    <t>Мембрана ACOVENT 135/80 кв. м.</t>
  </si>
  <si>
    <t>ACOVENT membrán</t>
  </si>
  <si>
    <t>Антикондензна мембрана WTB 135 гр./кв. м.- 80 кв. м.</t>
  </si>
  <si>
    <t>Páragátló membrán - WTB 135gr/m2 - 80m2</t>
  </si>
  <si>
    <t>DACHOVA membrane – 150 g/80 SQM</t>
  </si>
  <si>
    <t>Мембрана DACHOVA 150 G/80 кв. м.</t>
  </si>
  <si>
    <t>DACHOVA membrán 150 G/m2</t>
  </si>
  <si>
    <t>Антикондензна мембрана WTB 150 гр./кв. м. - 80 кв. м.</t>
  </si>
  <si>
    <t>Páragátló membrán - WTB 150gr/m2 - 80m2</t>
  </si>
  <si>
    <t>Anti-condensation membrane 185 gr/sqm - 80 sqm</t>
  </si>
  <si>
    <t>Антикондензна мембрана 185 гр./кв. м. - 80 кв. м.</t>
  </si>
  <si>
    <t>Páragátló membrán - 185gr/m2 - 80m2</t>
  </si>
  <si>
    <t>METALLIC membrane for folding sheet 450gr/sqm 1,5 X 25-37.5 sqm .</t>
  </si>
  <si>
    <t>Мембрана METALLIC за фалцова ламарина 450 гр./кв. м. 1,5 X 25-37.5 кв. м.</t>
  </si>
  <si>
    <t>METALLIC membrán falcolt fémlemezhez 450gr/m2 1,5X25-37m2.</t>
  </si>
  <si>
    <t>Алубанд  100 - 10000 мм.</t>
  </si>
  <si>
    <t>Aluband tömítőszalag 100 - 10000 mm.</t>
  </si>
  <si>
    <t>Алубанд 150 - 10000 мм.</t>
  </si>
  <si>
    <t>Aluband tömítőszalag 150 - 10000 mm.</t>
  </si>
  <si>
    <t>Алубанд 300 - 10000 мм.</t>
  </si>
  <si>
    <t>Aluband tömítőszalag 300 - 10000 mm.</t>
  </si>
  <si>
    <t>Foil with law vapour permissibility MSL LIGHT– 75 sqm</t>
  </si>
  <si>
    <t>Фолио с ниска паропропускливост MSL LIGHT– 75 кв.м.</t>
  </si>
  <si>
    <t>Csökkentett pára áteresztő fólia MSL LIGHT– 75 m2</t>
  </si>
  <si>
    <t>ML90AL aluminised vapour barrier - 75 sqm</t>
  </si>
  <si>
    <t>Алуминиево фолио за пароизолация ML90AL - 75 кв.м.</t>
  </si>
  <si>
    <t>Alumínium bavonatú páragátló ML90AL - 75 m2</t>
  </si>
  <si>
    <t>ML110AL aluminised vapour barrier - 75 sqm</t>
  </si>
  <si>
    <t>Алуминиево фолио за пароизолация ML110AL - 75 кв.м.</t>
  </si>
  <si>
    <t>Alumínium bavonatú páragátló ML110AL - 75 m2</t>
  </si>
  <si>
    <t>ML140AL aluminised vapour barrier - 75 sqm</t>
  </si>
  <si>
    <t>Алуминиево фолио за пароизолация ML140AL - 75 кв.м.</t>
  </si>
  <si>
    <t>Alumínium bavonatú páragátló ML140AL - 75 m2</t>
  </si>
  <si>
    <t>IZOVENT self-adhesive protective roll under ridge - 0,31 x 5m</t>
  </si>
  <si>
    <t>Самозалепваща се лента под билото  IZOVENT - 0,31 x 5 м.</t>
  </si>
  <si>
    <t>IZOVENT öntapadó védőszalag tetőkúp alá  - 0,31x5m</t>
  </si>
  <si>
    <t>IZOVENT self-adhesive protective roll under ridge - 0,24 x 5m</t>
  </si>
  <si>
    <t>Самозалепваща се лента под билото IZOVENT - 0,24 x 5 м.</t>
  </si>
  <si>
    <t>IZOVENT öntapadó védőszalag tetőkúp alá  - 0,24x5m</t>
  </si>
  <si>
    <t>IZOLEN chimney sealing roll - 0,31 x 5 m</t>
  </si>
  <si>
    <t>Ролка за уплътняване комин IZOLEN - 0,31 x 5 м.</t>
  </si>
  <si>
    <t>IZOLEN kémény szigetelő szalag 0,31x5m</t>
  </si>
  <si>
    <t>Rola adeziva aluminizata 50mm x 50m</t>
  </si>
  <si>
    <t>Aluminised adhesive roll 50 mm x 50 m</t>
  </si>
  <si>
    <t>Ролка алуминиева лепяща се 50 мм. x 50 м.</t>
  </si>
  <si>
    <t>Alumínium bevonatú ragasztószalag tekercs 50mmx5m</t>
  </si>
  <si>
    <t>IZOBUTYL adhesive roll (for   CLICK )- 15 mm x 60 m</t>
  </si>
  <si>
    <t>Ролка лепяща се IZOBUTYL (за CLICK )- 15 мм. x 60м.</t>
  </si>
  <si>
    <t>IZOBUTYL ragasztószalag tekercs (a CLICK típushoz) - 15mmx60m</t>
  </si>
  <si>
    <t>BANDA EXPANDABILA IZOLANT 30X8/4</t>
  </si>
  <si>
    <t>INSULATING EXPANDABLE TAPE 30X8/4</t>
  </si>
  <si>
    <t>ЛЕНТА IZOLANT 30X8/4</t>
  </si>
  <si>
    <t>SZIGETELŐ AKRILSZALAG 30 x 8/4 m</t>
  </si>
  <si>
    <t>Universal self-adhesive tape (eaves), length 1000 mm</t>
  </si>
  <si>
    <t>Универсална самозалепваща лента (улама), дължина 1000 мм.</t>
  </si>
  <si>
    <t>Univerzális ragasztószalag (dőlésszög-törés csatlakozóhoz) 1000 mm</t>
  </si>
  <si>
    <t>Wtb Clasic ETM sealing tape (eaves),  length 1100 mm</t>
  </si>
  <si>
    <t>Уплътняваща лента Wtb Clasic ETM (било), дължина 1100 мм.</t>
  </si>
  <si>
    <t>Wtb tömítő szivacs Clasic ETM (tetőkúphoz) 1100mm</t>
  </si>
  <si>
    <t>Wtb Gladiator /Plus ETM sealing tape (eaves),  length 1100 mm</t>
  </si>
  <si>
    <t>Уплътняваща лента Wtb Gladiator /Plus ETM (било), дължина 1100 мм.</t>
  </si>
  <si>
    <t>Wtb tömítő szivacs Gladiator ETM (tetőkúphoz) 1100mm</t>
  </si>
  <si>
    <t>Wtb Colosseum ETM sealing tape (eaves),  lenght 1100 mm</t>
  </si>
  <si>
    <t>Уплътняваща лента Wtb Colosseum ETM (било),  дължина 1100 мм.</t>
  </si>
  <si>
    <t>Wtb tömítő szivacs Colosseum ETM (tetőkúphoz) 1100mm</t>
  </si>
  <si>
    <t>W18 sealing tape</t>
  </si>
  <si>
    <t>Уплътняваща лента W18</t>
  </si>
  <si>
    <t>W18 tömítő szivacs</t>
  </si>
  <si>
    <t>W35 sealing tape</t>
  </si>
  <si>
    <t>Уплътняваща лента W35</t>
  </si>
  <si>
    <t>W35 tömítő szivacs</t>
  </si>
  <si>
    <t>W60 SET sealing tape</t>
  </si>
  <si>
    <t>Уплътняваща лента W60 SET</t>
  </si>
  <si>
    <t>W60 SET tömítő szivacs</t>
  </si>
  <si>
    <t>Anti-bird plastic comb 1000x60 mm</t>
  </si>
  <si>
    <t>Пластмасов гребен против птици 1000x60 мм.</t>
  </si>
  <si>
    <t>Madárfészek elleni műanyag fésű 1000x60mm</t>
  </si>
  <si>
    <t>Aquafix silicone</t>
  </si>
  <si>
    <t>Силикон Aquafix</t>
  </si>
  <si>
    <t>Aquafix szilicon</t>
  </si>
  <si>
    <t>Retouch paint + brush 20 ml</t>
  </si>
  <si>
    <t>Боя за ретуширане + четка 20 ml</t>
  </si>
  <si>
    <t>Retusáló festék+ecset 20ml</t>
  </si>
  <si>
    <t>CLASIC roof ventilation</t>
  </si>
  <si>
    <t>Вентилация Покрив CLASIC</t>
  </si>
  <si>
    <t>CLASIC tetőburkolat szellőztető</t>
  </si>
  <si>
    <t>Flat coverings ventilation</t>
  </si>
  <si>
    <t>Вентилация Плоски покрития</t>
  </si>
  <si>
    <t>Tetőszellőztető síma tetőburkolathoz</t>
  </si>
  <si>
    <t>COLOSSEUM roof ventilation</t>
  </si>
  <si>
    <t>Вентилация Покрив COLOSSEUM</t>
  </si>
  <si>
    <t>COLOSSEUM tetőburkolat szellőztető</t>
  </si>
  <si>
    <t>GLADIATOR roof ventilation</t>
  </si>
  <si>
    <t>Вентилация Покрив GLADIATOR</t>
  </si>
  <si>
    <t>GLADIATOR tetőburkolat szellőztető</t>
  </si>
  <si>
    <t>PLUS roof ventilation</t>
  </si>
  <si>
    <t>Вентилация Покрив PLUS</t>
  </si>
  <si>
    <t>PLUS tetőburkolat szellőztető</t>
  </si>
  <si>
    <t>Airing flexible connection</t>
  </si>
  <si>
    <t>Гъвкава връзка вентилация</t>
  </si>
  <si>
    <t>Szellőztető rugalmas csatlakozó</t>
  </si>
  <si>
    <t>MF 1 sealing sleeve ( 6-60 mm )</t>
  </si>
  <si>
    <t>Маншон за уплътняване MF 1 ( 6-60 мм. )</t>
  </si>
  <si>
    <t>Tömítő hüvely MF 1 (6-60mm)</t>
  </si>
  <si>
    <t>MF 2 sealing sleeve ( 32-82 mm )</t>
  </si>
  <si>
    <t>Маншон за уплътняване MF 2 ( 32-82 мм. )</t>
  </si>
  <si>
    <t>Tömítő hüvely MF 2 (32-82 mm)</t>
  </si>
  <si>
    <t>MF 3 sealing sleeve ( 6-110 mm )</t>
  </si>
  <si>
    <t>Маншон за уплътняване MF 3 ( 6-110 мм.)</t>
  </si>
  <si>
    <t>Tömítő hüvely MF 3 (6-110 mm)</t>
  </si>
  <si>
    <t>MF 4 sealing sleeve ( 75-150mm )</t>
  </si>
  <si>
    <t>Маншон за уплътняване MF 4 ( 75-150 мм. )</t>
  </si>
  <si>
    <t>Tömítő hüvely MF 4 (75-150mm)</t>
  </si>
  <si>
    <t>MF 5 sealing sleeve ( 102-175mm )</t>
  </si>
  <si>
    <t>Маншон за уплътняване MF 5 ( 102-175 мм. )</t>
  </si>
  <si>
    <t>Tömítő hüvely MF 5 (102-175mm)</t>
  </si>
  <si>
    <t>MF 6 sealing sleeve ( 125-230mm )</t>
  </si>
  <si>
    <t>Маншон за уплътняване MF 6 ( 125-230 мм. )</t>
  </si>
  <si>
    <t>Tömítő hüvely MF 6 (125-230mm)</t>
  </si>
  <si>
    <t>MF 8 sealing sleeve (175-330)</t>
  </si>
  <si>
    <t>Маншон за уплътняване MF 8(175-330)</t>
  </si>
  <si>
    <t>Tömítő hüvely MF 8 (175-110 mm)</t>
  </si>
  <si>
    <t>MF 9 sealing sleeve (240-475)</t>
  </si>
  <si>
    <t>Маншон за уплътняване MF 9(240-475)</t>
  </si>
  <si>
    <t>Tömítő hüvely MF 9 (240-110 mm)</t>
  </si>
  <si>
    <t>Rola adeziva IZOBUTYL (pentru   CLICK )- 15mm x 90m</t>
  </si>
  <si>
    <t>IZOBUTYL adhesive roll (for   CLICK )- 15 mm x 90m</t>
  </si>
  <si>
    <t>Ролка лепяща се IZOBUTYL (за CLICK ) - 15мм. x 90 м.</t>
  </si>
  <si>
    <t>IZOBUTYL ragasztószalag tekercs (a CLICK típushoz) - 15mmx90m</t>
  </si>
  <si>
    <t>Screw 4,8*20 Zn</t>
  </si>
  <si>
    <t>Винт 4,8*20 Zn</t>
  </si>
  <si>
    <t>4,8*20 HORG csavar</t>
  </si>
  <si>
    <t>Screw 4,8*35 Zn</t>
  </si>
  <si>
    <t>Винт 4,8*35 Zn</t>
  </si>
  <si>
    <t>4,8*35 HORG csavar</t>
  </si>
  <si>
    <t>Screw 4,8*20 RAL</t>
  </si>
  <si>
    <t>Винт 4,8*20 RAL</t>
  </si>
  <si>
    <t>4,8*20 RAL csavar</t>
  </si>
  <si>
    <t>Screw 4,8*35 RAL</t>
  </si>
  <si>
    <t>Винт 4,8*35 RAL</t>
  </si>
  <si>
    <t>4,8*35 RAL csavar</t>
  </si>
  <si>
    <t>Screw 4,8*50 Zn</t>
  </si>
  <si>
    <t>Винт 4,8*50 Zn</t>
  </si>
  <si>
    <t>4,8*50 HORG csavar</t>
  </si>
  <si>
    <t>Surub 4,8*50 RAL - 250 Buc/cutie</t>
  </si>
  <si>
    <t>Screw 4,8*50 RAL - 250 pcs./box</t>
  </si>
  <si>
    <t>Винт 4,8*50 RAL - 250 Броя / кутия</t>
  </si>
  <si>
    <t>4,8*50 RAL csavar - 250 db/doboz</t>
  </si>
  <si>
    <t>Screw 4,8*70 Zn</t>
  </si>
  <si>
    <t>Винт 4,8*70 Zn</t>
  </si>
  <si>
    <t>4,8*70 HORG csavar</t>
  </si>
  <si>
    <t>Surub 4,8*70 RAL - 100 Buc/cutie</t>
  </si>
  <si>
    <t>Screw 4,8*70 RAL - 100 pcs./box</t>
  </si>
  <si>
    <t>Винт 4,8*70 RAL - 100 Броя / кутия</t>
  </si>
  <si>
    <t>4,8*70 RAL csavar - 100 db/doboz</t>
  </si>
  <si>
    <t xml:space="preserve">Click screw 4.2 x 32 for fixing in scantlings </t>
  </si>
  <si>
    <t>Винт Click 4.2 x 32 за фиксиране към дъската</t>
  </si>
  <si>
    <t>Click csavar 4,2x32 tetőzsaluzat rögzítéshez</t>
  </si>
  <si>
    <t>8 mm tubular wrench</t>
  </si>
  <si>
    <t>Тръбен ключ 8 мм.</t>
  </si>
  <si>
    <t>8mm-es csőkulcs</t>
  </si>
  <si>
    <t>materiale diverse</t>
  </si>
  <si>
    <t>various materials</t>
  </si>
  <si>
    <t>различни материали</t>
  </si>
  <si>
    <t>Különböző anyagok</t>
  </si>
  <si>
    <t>Denumire</t>
  </si>
  <si>
    <t>Description</t>
  </si>
  <si>
    <t>Име</t>
  </si>
  <si>
    <t>Név</t>
  </si>
  <si>
    <t>Click ridge</t>
  </si>
  <si>
    <t>Било Click</t>
  </si>
  <si>
    <t>Click gerincelem</t>
  </si>
  <si>
    <t xml:space="preserve">Click wall corner </t>
  </si>
  <si>
    <t xml:space="preserve">Ъгъл стена Click </t>
  </si>
  <si>
    <t>Click falsarok</t>
  </si>
  <si>
    <t>Eaves</t>
  </si>
  <si>
    <t>Click Vápalemez</t>
  </si>
  <si>
    <t>Click fascia board</t>
  </si>
  <si>
    <t>Престилка  Click</t>
  </si>
  <si>
    <t>Click homloklemez</t>
  </si>
  <si>
    <t>Click dead wall connection</t>
  </si>
  <si>
    <t>Съединение калкан Click</t>
  </si>
  <si>
    <t>Click Sarok-csatlakozó idom</t>
  </si>
  <si>
    <t>Click semi-ridge</t>
  </si>
  <si>
    <t>Полукапак Click</t>
  </si>
  <si>
    <t>Click félkúp</t>
  </si>
  <si>
    <t>Click rain shadow sort</t>
  </si>
  <si>
    <t>Престилка  Click стреха</t>
  </si>
  <si>
    <t>Click ereszköpeny</t>
  </si>
  <si>
    <t>Click joining sort</t>
  </si>
  <si>
    <t>Престилка съединяване Click</t>
  </si>
  <si>
    <t>Click csatlakozó köpeny</t>
  </si>
  <si>
    <t>Click inner breaking slope</t>
  </si>
  <si>
    <t>Промяна на наклона вътрешна  Click</t>
  </si>
  <si>
    <t>Click belső lejtő törés</t>
  </si>
  <si>
    <t>Click outer breaking slope</t>
  </si>
  <si>
    <t>Промяна на наклона външна Click</t>
  </si>
  <si>
    <t>Click külső lejtő törés</t>
  </si>
  <si>
    <t>Click closing support</t>
  </si>
  <si>
    <t>Основа затваряне Click</t>
  </si>
  <si>
    <t>Click záróelem tartó</t>
  </si>
  <si>
    <t>Снегозадържащ елемент решетка метална керемида 2M</t>
  </si>
  <si>
    <t>Свързващ елемент решетка</t>
  </si>
  <si>
    <t>Основа снегозадържащ елемент метална керемида</t>
  </si>
  <si>
    <t>CLEMA FIXA</t>
  </si>
  <si>
    <t>FIXED CLAMP</t>
  </si>
  <si>
    <t>КЛЕМА ФИКСИРАЩА</t>
  </si>
  <si>
    <t>RÖGZÍTETT KLÉMA</t>
  </si>
  <si>
    <t>CLEMA MOBILA</t>
  </si>
  <si>
    <t>MOBILE CLAMP</t>
  </si>
  <si>
    <t xml:space="preserve">КЛЕМА </t>
  </si>
  <si>
    <t>MOBIL KLÉMA</t>
  </si>
  <si>
    <t>Click grid snow nose support</t>
  </si>
  <si>
    <t>Oснова снегозадържащ елемент  черен/</t>
  </si>
  <si>
    <t>Прът снегозадържащ елемент  /черен/</t>
  </si>
  <si>
    <t>Rúd fém tetőlemez hófogó tartó</t>
  </si>
  <si>
    <t>Cъединение  снегозадържащ елемент  /черен/</t>
  </si>
  <si>
    <t>szár csatlakozó (fekete)</t>
  </si>
  <si>
    <t>Капак снегозадържащ елемент / черен/</t>
  </si>
  <si>
    <t>Szártakaró (fekete)</t>
  </si>
  <si>
    <t>Window</t>
  </si>
  <si>
    <t>Прозорец</t>
  </si>
  <si>
    <t>Ablak</t>
  </si>
  <si>
    <t>Frame</t>
  </si>
  <si>
    <t>Рамка</t>
  </si>
  <si>
    <t>Keret</t>
  </si>
  <si>
    <t>Trapa</t>
  </si>
  <si>
    <t>Sunroof</t>
  </si>
  <si>
    <t>Люк покрив</t>
  </si>
  <si>
    <t>Bevilágitó</t>
  </si>
  <si>
    <t>Accessories</t>
  </si>
  <si>
    <t xml:space="preserve">Аксесоари </t>
  </si>
  <si>
    <t>Tartozékok</t>
  </si>
  <si>
    <t>Scara Dakea Step</t>
  </si>
  <si>
    <t>Dakea Step ladder</t>
  </si>
  <si>
    <t>Стълба Dakea Step</t>
  </si>
  <si>
    <t>Dakea Step létra</t>
  </si>
  <si>
    <t>Scara Dakea Max</t>
  </si>
  <si>
    <t>Dakea Max ladder</t>
  </si>
  <si>
    <t>Стълба Dakea Max</t>
  </si>
  <si>
    <t>Dakea Max létra</t>
  </si>
  <si>
    <t>Trapa Acces</t>
  </si>
  <si>
    <t>Trap Door</t>
  </si>
  <si>
    <t>Люк за достъп</t>
  </si>
  <si>
    <t>Hozzáférési nyílás</t>
  </si>
  <si>
    <t>Trapa acces flex</t>
  </si>
  <si>
    <t>Flex trap door</t>
  </si>
  <si>
    <t>Люк за досъп flex</t>
  </si>
  <si>
    <t>Flex lappancs</t>
  </si>
  <si>
    <t>Rulou interior DUA</t>
  </si>
  <si>
    <t>DUA Inner roller</t>
  </si>
  <si>
    <t>Bътрешна щора DUA</t>
  </si>
  <si>
    <t>Belső redőny DUA</t>
  </si>
  <si>
    <t>Rulou interior RHA</t>
  </si>
  <si>
    <t>RHA Inner roller</t>
  </si>
  <si>
    <t>Bътрешна щора RHA</t>
  </si>
  <si>
    <t>Belső redőny RHA</t>
  </si>
  <si>
    <t>Rulou exterior MIA</t>
  </si>
  <si>
    <t>MIA Outer roller</t>
  </si>
  <si>
    <t>Bъншна щора MIA</t>
  </si>
  <si>
    <t>Külső redőny MIA</t>
  </si>
  <si>
    <t>Dispozitiv inchidere</t>
  </si>
  <si>
    <t>Closing device</t>
  </si>
  <si>
    <t>Затварящо устройство</t>
  </si>
  <si>
    <t>Zárószerkezet</t>
  </si>
  <si>
    <t>GLOSSY 0.5</t>
  </si>
  <si>
    <t>ЛЪСКАВ 0.5</t>
  </si>
  <si>
    <t>FÉNYES 0.5</t>
  </si>
  <si>
    <t>МАТОВ 0.5</t>
  </si>
  <si>
    <t>MATT 0.5</t>
  </si>
  <si>
    <t>МАТОВ 0.45</t>
  </si>
  <si>
    <t>MATT 0.45</t>
  </si>
  <si>
    <t>0.5 НЕОМАТ 30</t>
  </si>
  <si>
    <t>0.5 СУПРЕМ 50</t>
  </si>
  <si>
    <t>SQM:</t>
  </si>
  <si>
    <t>Кв.м.:</t>
  </si>
  <si>
    <t>M2:</t>
  </si>
  <si>
    <t>euro/sqm:</t>
  </si>
  <si>
    <t xml:space="preserve">
евро/Кв.м.:</t>
  </si>
  <si>
    <t>euro/m2</t>
  </si>
  <si>
    <t>Glossy</t>
  </si>
  <si>
    <t>Лъскаво</t>
  </si>
  <si>
    <t>Fényes</t>
  </si>
  <si>
    <t>Mатово</t>
  </si>
  <si>
    <t>Matt</t>
  </si>
  <si>
    <t>Zinc-coated</t>
  </si>
  <si>
    <t>цинково покритие</t>
  </si>
  <si>
    <t>Horganyzott</t>
  </si>
  <si>
    <t>Imitatie de lemn DP</t>
  </si>
  <si>
    <t>DP imitation wood</t>
  </si>
  <si>
    <t>имитация на дърво DP</t>
  </si>
  <si>
    <t>KÉTOLDALAS famintás</t>
  </si>
  <si>
    <t>EGYOLDALAS famintás</t>
  </si>
  <si>
    <t>G</t>
  </si>
  <si>
    <t>Л</t>
  </si>
  <si>
    <t>F</t>
  </si>
  <si>
    <t>Neomat</t>
  </si>
  <si>
    <t>Нeomat</t>
  </si>
  <si>
    <t>Suprem</t>
  </si>
  <si>
    <t>Супрем</t>
  </si>
  <si>
    <t>aluzinc</t>
  </si>
  <si>
    <t>Alumínium és cink bevonatú acél</t>
  </si>
  <si>
    <t>Glossy pre-painted</t>
  </si>
  <si>
    <t>Предварително боядисан Лъскаво</t>
  </si>
  <si>
    <t>Előre kifestve fényes</t>
  </si>
  <si>
    <t>Mat pre-painted</t>
  </si>
  <si>
    <t>Предварително боядисана матова</t>
  </si>
  <si>
    <t>Előre kifestve matt</t>
  </si>
  <si>
    <t>Double pre-painted</t>
  </si>
  <si>
    <t>Двойно предварително боядисано</t>
  </si>
  <si>
    <t>Dupla előre festett</t>
  </si>
  <si>
    <t>Sipca de gard</t>
  </si>
  <si>
    <t>Fence strip</t>
  </si>
  <si>
    <t>Метални ребра за ограда</t>
  </si>
  <si>
    <t>Membranes</t>
  </si>
  <si>
    <t>Мембрана</t>
  </si>
  <si>
    <t>Membránok</t>
  </si>
  <si>
    <t>Screws</t>
  </si>
  <si>
    <t>Bинтове</t>
  </si>
  <si>
    <t>Csavarok</t>
  </si>
  <si>
    <t>Flat sheet</t>
  </si>
  <si>
    <t>Fereastra Dakea</t>
  </si>
  <si>
    <t>Dakea Window</t>
  </si>
  <si>
    <t>Прозорец Dakea</t>
  </si>
  <si>
    <t>Ablak Dakea</t>
  </si>
  <si>
    <t>Dakea Accessories</t>
  </si>
  <si>
    <t>Аксесоари  Dakea</t>
  </si>
  <si>
    <t>Tartozékok Dakea</t>
  </si>
  <si>
    <t>Rooflite Window</t>
  </si>
  <si>
    <t>Прозорец Rooflite</t>
  </si>
  <si>
    <t>Ablak Rooflite</t>
  </si>
  <si>
    <t>Ferestre Balio</t>
  </si>
  <si>
    <t>Balio Window</t>
  </si>
  <si>
    <t>Прозорец Balio</t>
  </si>
  <si>
    <t>Ablak Balio</t>
  </si>
  <si>
    <t>Tabla click</t>
  </si>
  <si>
    <t>Click sheet</t>
  </si>
  <si>
    <t>Ламарина click</t>
  </si>
  <si>
    <t>Click fémlemez</t>
  </si>
  <si>
    <t>Accesorii click</t>
  </si>
  <si>
    <t>Click accessories</t>
  </si>
  <si>
    <t>Аксесоари click</t>
  </si>
  <si>
    <t>Click tartozékok</t>
  </si>
  <si>
    <t>Tabla cutata</t>
  </si>
  <si>
    <t>Corrugated sheet</t>
  </si>
  <si>
    <t>Bълнообразна ламарина</t>
  </si>
  <si>
    <t>Hullámlemez</t>
  </si>
  <si>
    <t>Mini-roller</t>
  </si>
  <si>
    <t>Мини щора</t>
  </si>
  <si>
    <t>Borduri speciale color</t>
  </si>
  <si>
    <t>Colour special edges</t>
  </si>
  <si>
    <t>Специални бордове цветни</t>
  </si>
  <si>
    <t>Egyedi hajlitott elemek RAL</t>
  </si>
  <si>
    <t>Zinc-coated special edges</t>
  </si>
  <si>
    <t>Специални поцинковани бордове</t>
  </si>
  <si>
    <t>Egyedi hajlitott elemek HORG</t>
  </si>
  <si>
    <t>Дренаж</t>
  </si>
  <si>
    <t>Vízelvezető</t>
  </si>
  <si>
    <t>Discount tigla metalica</t>
  </si>
  <si>
    <t>Metallic tile discount</t>
  </si>
  <si>
    <t>Отстъпка метална керемида</t>
  </si>
  <si>
    <t>Fém tetőcserép kedvezmény</t>
  </si>
  <si>
    <t>Discount Drenaj</t>
  </si>
  <si>
    <t>Drainage discount</t>
  </si>
  <si>
    <t>Отстъпка Дренаж</t>
  </si>
  <si>
    <t xml:space="preserve">Vízelvezető Kedvezmény </t>
  </si>
  <si>
    <t>SMALL</t>
  </si>
  <si>
    <t>МАЛЪК</t>
  </si>
  <si>
    <t>KIS</t>
  </si>
  <si>
    <t>LARGE</t>
  </si>
  <si>
    <t>ГОЛЯМ</t>
  </si>
  <si>
    <t>NAGY</t>
  </si>
  <si>
    <t>Adaos tigla metalica</t>
  </si>
  <si>
    <t>Metallic tile mark-up</t>
  </si>
  <si>
    <t>Hадценка метална керемида</t>
  </si>
  <si>
    <t>Fém tetőcserép haszonkulcs</t>
  </si>
  <si>
    <t>GLOSSY 0.35</t>
  </si>
  <si>
    <t>ЛЪСКАВ 0.35</t>
  </si>
  <si>
    <t>FÉNYES 0.35</t>
  </si>
  <si>
    <t>GLOSSY 0.4</t>
  </si>
  <si>
    <t>ЛЪСКАВ 0.4</t>
  </si>
  <si>
    <t>FÉNYES 0.4</t>
  </si>
  <si>
    <t>GLOSSY 0.45</t>
  </si>
  <si>
    <t>ЛЪСКАВ 0.45</t>
  </si>
  <si>
    <t>FÉNYES 0.45</t>
  </si>
  <si>
    <t>МАТОВ 0.4</t>
  </si>
  <si>
    <t>MATT 0.4</t>
  </si>
  <si>
    <t>Customer</t>
  </si>
  <si>
    <t>Клиент</t>
  </si>
  <si>
    <t>Ügyfél</t>
  </si>
  <si>
    <t>Livrare oras***</t>
  </si>
  <si>
    <t>Delivery city***</t>
  </si>
  <si>
    <t>Град Доставка***</t>
  </si>
  <si>
    <t>Kiszállítási település***</t>
  </si>
  <si>
    <t>Judet Livrare***</t>
  </si>
  <si>
    <t>Delivery county***</t>
  </si>
  <si>
    <t>Област Доставка***</t>
  </si>
  <si>
    <t>Kiszállítási megye***</t>
  </si>
  <si>
    <t>Strada***</t>
  </si>
  <si>
    <t>Street***</t>
  </si>
  <si>
    <t>Улица***</t>
  </si>
  <si>
    <t>Utca***</t>
  </si>
  <si>
    <t>Ziua/ Data</t>
  </si>
  <si>
    <t>Day/ Date</t>
  </si>
  <si>
    <t>Ден/ Дата</t>
  </si>
  <si>
    <t>Nap/ Dátum</t>
  </si>
  <si>
    <t>Observatii</t>
  </si>
  <si>
    <t>Remarks</t>
  </si>
  <si>
    <t>Забележки</t>
  </si>
  <si>
    <t>Megjegyzések</t>
  </si>
  <si>
    <t>Name</t>
  </si>
  <si>
    <t>Telefon contact</t>
  </si>
  <si>
    <t>Contact telephone</t>
  </si>
  <si>
    <t>Телефон за връзка</t>
  </si>
  <si>
    <t>Telefon-elérhetőség</t>
  </si>
  <si>
    <t>Camp obligatoriu de completat</t>
  </si>
  <si>
    <t>Mandatory field to be filled in</t>
  </si>
  <si>
    <t>Задължително поле за попълване</t>
  </si>
  <si>
    <t>Kötelező kitöltendő mező</t>
  </si>
  <si>
    <t>Doc. de plata</t>
  </si>
  <si>
    <t>Payment document</t>
  </si>
  <si>
    <t>Документ за плащане</t>
  </si>
  <si>
    <t>Kifizetési dokumentum</t>
  </si>
  <si>
    <t>Zile</t>
  </si>
  <si>
    <t>Days</t>
  </si>
  <si>
    <t>Дни</t>
  </si>
  <si>
    <t>Napok</t>
  </si>
  <si>
    <t>Livrare cu</t>
  </si>
  <si>
    <t>Delivery with</t>
  </si>
  <si>
    <t>Доставка с</t>
  </si>
  <si>
    <t>Kiszállítás ...-val</t>
  </si>
  <si>
    <t>Agent</t>
  </si>
  <si>
    <t>Sales agent</t>
  </si>
  <si>
    <t>Tърговски агент</t>
  </si>
  <si>
    <t>Eladási ügynök</t>
  </si>
  <si>
    <t>Soferul incaseaza / ridica</t>
  </si>
  <si>
    <t>The driver collects/picks up</t>
  </si>
  <si>
    <t>Шофьорът получава / взима</t>
  </si>
  <si>
    <t>Járművezető átveszi/beszedi</t>
  </si>
  <si>
    <t>OP (ordin de plata)</t>
  </si>
  <si>
    <t>PO (payment order)</t>
  </si>
  <si>
    <t>ПН (платежно нареждане)</t>
  </si>
  <si>
    <t>Fizetési megbízás</t>
  </si>
  <si>
    <t>BO (bilet al ordin)</t>
  </si>
  <si>
    <t>PN (promissory note)</t>
  </si>
  <si>
    <t>ЗЗ (запис на заповед)</t>
  </si>
  <si>
    <t>Kötelezvény</t>
  </si>
  <si>
    <t>Cheque</t>
  </si>
  <si>
    <t>Чек</t>
  </si>
  <si>
    <t>Csekk</t>
  </si>
  <si>
    <t>Cash</t>
  </si>
  <si>
    <t>Пари в брой</t>
  </si>
  <si>
    <t>Készpénz</t>
  </si>
  <si>
    <t>Invoice</t>
  </si>
  <si>
    <t>Фактура</t>
  </si>
  <si>
    <t>Számla</t>
  </si>
  <si>
    <t>Delivery Note</t>
  </si>
  <si>
    <t>Известие</t>
  </si>
  <si>
    <t>Kiküldés-értesítő</t>
  </si>
  <si>
    <t>Avans</t>
  </si>
  <si>
    <t>Payment in advance</t>
  </si>
  <si>
    <t>Авансово плащане</t>
  </si>
  <si>
    <t>Előre fizetés</t>
  </si>
  <si>
    <t>Incaseaza cash</t>
  </si>
  <si>
    <t>Collects cash</t>
  </si>
  <si>
    <t>Получава пари в брой</t>
  </si>
  <si>
    <t>Készpénzt átvesz</t>
  </si>
  <si>
    <t>Nu ridica</t>
  </si>
  <si>
    <t>Does not collect</t>
  </si>
  <si>
    <t>Не вдигай</t>
  </si>
  <si>
    <t>Nem veszi át</t>
  </si>
  <si>
    <t>Curs euro</t>
  </si>
  <si>
    <t>Euro exchange rate</t>
  </si>
  <si>
    <t>Kурс на евро</t>
  </si>
  <si>
    <t>Euro árfolyam</t>
  </si>
  <si>
    <t>Roofing tile (SQM)</t>
  </si>
  <si>
    <t>Eтална керемида</t>
  </si>
  <si>
    <t>Fém tetőcserép (M2)</t>
  </si>
  <si>
    <t>Corrugated sheet (SQM)</t>
  </si>
  <si>
    <t>Bълнообразна ламарина (Кв.м)</t>
  </si>
  <si>
    <t>Hullámlemez (M2)</t>
  </si>
  <si>
    <t>Mini-roller (SQM)</t>
  </si>
  <si>
    <t>Мини щора (Кв.м)</t>
  </si>
  <si>
    <t>Tekercslemez (M2)</t>
  </si>
  <si>
    <t>MP CLICK :</t>
  </si>
  <si>
    <t>Click sheet (SQM)</t>
  </si>
  <si>
    <t>Ламарина click (Кв.м)</t>
  </si>
  <si>
    <t>Click fémlemez (M2)</t>
  </si>
  <si>
    <t>TOTAL euro without VAT</t>
  </si>
  <si>
    <t>Oбщо без ДДС - евро</t>
  </si>
  <si>
    <t>Összesen ÁFA nélkül - euro</t>
  </si>
  <si>
    <t>TOTAL euro with VAT</t>
  </si>
  <si>
    <t>Oбщо с ДДС -евро</t>
  </si>
  <si>
    <t>Összesen ÁFA-val - euro</t>
  </si>
  <si>
    <t>ОТСТЪПКА</t>
  </si>
  <si>
    <t>KEDVEZMÉNY</t>
  </si>
  <si>
    <t>Fara discount</t>
  </si>
  <si>
    <t>No discount</t>
  </si>
  <si>
    <t>без отстъпка</t>
  </si>
  <si>
    <t>Kedvezmény nélkül</t>
  </si>
  <si>
    <t>Discount OK</t>
  </si>
  <si>
    <t>OK - Discount</t>
  </si>
  <si>
    <t>OK - ОТСТЪПКА</t>
  </si>
  <si>
    <t>OK - KEDVEZMÉNY</t>
  </si>
  <si>
    <t xml:space="preserve">Discount prea mare - nu se calculeaza </t>
  </si>
  <si>
    <t>Discount too high - not calculated</t>
  </si>
  <si>
    <t>Отстъпката е твърде висока - не се изчислява</t>
  </si>
  <si>
    <t>Túl magas a kedvezmény - nincs kiszámítva</t>
  </si>
  <si>
    <t>FOAIE DE TRANSPORT</t>
  </si>
  <si>
    <t>TRANSPORT SHEET</t>
  </si>
  <si>
    <t>ТРАНСПОРТЕН ДОКУМЕНТ</t>
  </si>
  <si>
    <t>FUVAROKMÁNY</t>
  </si>
  <si>
    <t>Adresa de livrare</t>
  </si>
  <si>
    <t>Delivery address</t>
  </si>
  <si>
    <t>Aдрес за доставка</t>
  </si>
  <si>
    <t>Kiszállítási cím</t>
  </si>
  <si>
    <t>Termen de livrare</t>
  </si>
  <si>
    <t>Delivery time</t>
  </si>
  <si>
    <t>Cрок за доставка</t>
  </si>
  <si>
    <t>Kiszállítási határidő</t>
  </si>
  <si>
    <t>Persoana de contact</t>
  </si>
  <si>
    <t>Contact person</t>
  </si>
  <si>
    <t>Лице за контакт</t>
  </si>
  <si>
    <t>Kapcsolattartó személy</t>
  </si>
  <si>
    <t>Modalitati plata</t>
  </si>
  <si>
    <t>Payment methods</t>
  </si>
  <si>
    <t>Hачини за плащане</t>
  </si>
  <si>
    <t>Fizetési módok</t>
  </si>
  <si>
    <t>Se livreaza cu</t>
  </si>
  <si>
    <t>It is delivered with</t>
  </si>
  <si>
    <t>Доставя се с</t>
  </si>
  <si>
    <t>Kiszállítás...-val</t>
  </si>
  <si>
    <t>Soferul ridica document</t>
  </si>
  <si>
    <t>The driver picks up the document</t>
  </si>
  <si>
    <t>Шофьорът взема документа</t>
  </si>
  <si>
    <t>Járművezető átveszi a dokumentumot</t>
  </si>
  <si>
    <t>FACTURARE</t>
  </si>
  <si>
    <t>INVOICING</t>
  </si>
  <si>
    <t>ФАКТУРИРАНЕ</t>
  </si>
  <si>
    <t>SZÁMLÁZÁS</t>
  </si>
  <si>
    <t>DECLARATIE DE CONFORMITATE</t>
  </si>
  <si>
    <t>DECLARATION OF CONFORMITY</t>
  </si>
  <si>
    <t>ДЕКЛАРАЦИЯ ЗА СЪОТВЕТСТВИЕ</t>
  </si>
  <si>
    <t>MEGFELELŐSÉGI NYILATKOZAT</t>
  </si>
  <si>
    <t>CONFIRMARE CANTITATE</t>
  </si>
  <si>
    <t>QUANTITY CONFIRMATION</t>
  </si>
  <si>
    <t>ПОТВЪРЖДЕНИЕ НА КОЛИЧЕСТВОТО</t>
  </si>
  <si>
    <t>MENNYISÉG MEGERŐSÍTÉS</t>
  </si>
  <si>
    <t>CONFIRMARE CALITATE ( ASPECT VIZUAL)</t>
  </si>
  <si>
    <t>QUANTITY CONFIRMATION (VISUAL APPEARANCE)</t>
  </si>
  <si>
    <t>ПОТВЪРЖДЕНИЕ НА КАЧЕСТВОТО (ВИЗУАЛЕН ВЪНШЕН ВИД)</t>
  </si>
  <si>
    <t>MINŐSÉG MEGERŐSÍTÉS (KÜLSŐ MEGJELENÉS)</t>
  </si>
  <si>
    <t>Semnatura</t>
  </si>
  <si>
    <t>Signature</t>
  </si>
  <si>
    <t>Подпис</t>
  </si>
  <si>
    <t>Aláírás</t>
  </si>
  <si>
    <t>Nume si prenume</t>
  </si>
  <si>
    <t>Last name and first name</t>
  </si>
  <si>
    <t>Име и фамилия</t>
  </si>
  <si>
    <t>Vezetéknév és keresztnév</t>
  </si>
  <si>
    <t>Semnatura de primire</t>
  </si>
  <si>
    <t>Receipt signature</t>
  </si>
  <si>
    <t>Подпис за получаване</t>
  </si>
  <si>
    <t>Átvételi aláírás</t>
  </si>
  <si>
    <t>Transport</t>
  </si>
  <si>
    <t>Транспорт</t>
  </si>
  <si>
    <t>Szállítás</t>
  </si>
  <si>
    <t>Sofer</t>
  </si>
  <si>
    <t>Driver</t>
  </si>
  <si>
    <t>Шофьор</t>
  </si>
  <si>
    <t>Járművezető</t>
  </si>
  <si>
    <t>Contract firma</t>
  </si>
  <si>
    <t>Company contract</t>
  </si>
  <si>
    <t>Договор фирма</t>
  </si>
  <si>
    <t>Céggel való szerződés</t>
  </si>
  <si>
    <t>Masina Wetterbest</t>
  </si>
  <si>
    <t>Wetterbest machine</t>
  </si>
  <si>
    <t>Машина Wetterbest</t>
  </si>
  <si>
    <t>Wetterbest szállitóeszköz</t>
  </si>
  <si>
    <t>Ziua</t>
  </si>
  <si>
    <t>Day</t>
  </si>
  <si>
    <t>Ден</t>
  </si>
  <si>
    <t>Nap</t>
  </si>
  <si>
    <t>Offer price summary</t>
  </si>
  <si>
    <t>Централизатор цени офертa</t>
  </si>
  <si>
    <t>Kínálati árösszefoglaló</t>
  </si>
  <si>
    <t>Grosime/protectie</t>
  </si>
  <si>
    <t>Thickness/protection</t>
  </si>
  <si>
    <t>Дебелина/защита</t>
  </si>
  <si>
    <t>Vastagság/védőréteg</t>
  </si>
  <si>
    <t>Suprafata</t>
  </si>
  <si>
    <t>Area</t>
  </si>
  <si>
    <t>Повърхност</t>
  </si>
  <si>
    <t>Terület</t>
  </si>
  <si>
    <t>Number of pieces:</t>
  </si>
  <si>
    <t>Брой парчета:</t>
  </si>
  <si>
    <t>Darabszám:</t>
  </si>
  <si>
    <t>Fereastre Dakea</t>
  </si>
  <si>
    <t>Dakea Windows</t>
  </si>
  <si>
    <t>Date:</t>
  </si>
  <si>
    <t>Дата:</t>
  </si>
  <si>
    <t>Dátum:</t>
  </si>
  <si>
    <t>Anti-condensation membrane 100 gr/sqm - 75 sqm</t>
  </si>
  <si>
    <t>Антикондензна мембрана  100 гр./кв. м.- 75 кв. м.</t>
  </si>
  <si>
    <t>Páragátló membrán   100gr/m2 - 75m2</t>
  </si>
  <si>
    <t>CARDINAL roof ventilation</t>
  </si>
  <si>
    <t>Вентилация Покрив CARDINAL</t>
  </si>
  <si>
    <t>CARDINAL tetőburkolat szellőztető</t>
  </si>
  <si>
    <t>FERESTRE SI ACCESORII</t>
  </si>
  <si>
    <t>Window or frame</t>
  </si>
  <si>
    <t>Прозорец или рамка</t>
  </si>
  <si>
    <t>Ablak vagy keret</t>
  </si>
  <si>
    <t>Model</t>
  </si>
  <si>
    <t>16 Steps</t>
  </si>
  <si>
    <t>15 Steps</t>
  </si>
  <si>
    <t>14 Steps</t>
  </si>
  <si>
    <t>13 Steps</t>
  </si>
  <si>
    <t>12 Steps</t>
  </si>
  <si>
    <t>11 Steps</t>
  </si>
  <si>
    <t>10 Steps</t>
  </si>
  <si>
    <t>9 Steps</t>
  </si>
  <si>
    <t>8 Steps</t>
  </si>
  <si>
    <t>7 Steps</t>
  </si>
  <si>
    <t>6 Steps</t>
  </si>
  <si>
    <t>5 Steps</t>
  </si>
  <si>
    <t>4 Steps</t>
  </si>
  <si>
    <t>3 Steps</t>
  </si>
  <si>
    <t>2 Steps</t>
  </si>
  <si>
    <t>1 Step</t>
  </si>
  <si>
    <t>16 Cтъпки</t>
  </si>
  <si>
    <t>15 Cтъпки</t>
  </si>
  <si>
    <t>14 Cтъпки</t>
  </si>
  <si>
    <t>13 Cтъпки</t>
  </si>
  <si>
    <t>12 Cтъпки</t>
  </si>
  <si>
    <t>11 Cтъпки</t>
  </si>
  <si>
    <t>10 Cтъпки</t>
  </si>
  <si>
    <t>9 Cтъпки</t>
  </si>
  <si>
    <t>8 Cтъпки</t>
  </si>
  <si>
    <t>7 Cтъпки</t>
  </si>
  <si>
    <t>6 Cтъпки</t>
  </si>
  <si>
    <t>5 Cтъпки</t>
  </si>
  <si>
    <t>4 Cтъпки</t>
  </si>
  <si>
    <t>3 Cтъпки</t>
  </si>
  <si>
    <t>2 Cтъпки</t>
  </si>
  <si>
    <t>1 Cтъпка</t>
  </si>
  <si>
    <t>16 Modul</t>
  </si>
  <si>
    <t>15 Modul</t>
  </si>
  <si>
    <t>14 Modul</t>
  </si>
  <si>
    <t>13 Modul</t>
  </si>
  <si>
    <t>12 Modul</t>
  </si>
  <si>
    <t>11 Modul</t>
  </si>
  <si>
    <t>10 Modul</t>
  </si>
  <si>
    <t>9 Modul</t>
  </si>
  <si>
    <t>8 Modul</t>
  </si>
  <si>
    <t>7 Modul</t>
  </si>
  <si>
    <t>6 Modul</t>
  </si>
  <si>
    <t>5 Modul</t>
  </si>
  <si>
    <t>4 Modul</t>
  </si>
  <si>
    <t>3 Modul</t>
  </si>
  <si>
    <t>2 Modul</t>
  </si>
  <si>
    <t>1 Modul</t>
  </si>
  <si>
    <t>Jgheab 2 metri</t>
  </si>
  <si>
    <t xml:space="preserve">Gutter 4 meters </t>
  </si>
  <si>
    <t xml:space="preserve">Улук 4 метра </t>
  </si>
  <si>
    <t xml:space="preserve">Gutter 2 meters </t>
  </si>
  <si>
    <t xml:space="preserve">Улук 2 метра </t>
  </si>
  <si>
    <t xml:space="preserve">Csatorna 2 méter </t>
  </si>
  <si>
    <t>Jgheab 3 metri Lichidare stoc</t>
  </si>
  <si>
    <t>Gutter 3 meters stock liquidation</t>
  </si>
  <si>
    <t>Csatorna 4 méter</t>
  </si>
  <si>
    <t>Anti-condensation membrane – 100 gr/sqm - 75 sqm</t>
  </si>
  <si>
    <t>Антикондензна мембрана – 100 гр./кв. м.2 - 75 кв. м.</t>
  </si>
  <si>
    <t>Páragátló membrán - 100gr/m2</t>
  </si>
  <si>
    <t>Selectati Limba</t>
  </si>
  <si>
    <t>Select language</t>
  </si>
  <si>
    <t>Избери език</t>
  </si>
  <si>
    <t>Válasszon nyelvet</t>
  </si>
  <si>
    <t>Romanian</t>
  </si>
  <si>
    <t>Румънски</t>
  </si>
  <si>
    <t>English</t>
  </si>
  <si>
    <t>Английски</t>
  </si>
  <si>
    <t>Bulgarian</t>
  </si>
  <si>
    <t>български</t>
  </si>
  <si>
    <t>Hungarian</t>
  </si>
  <si>
    <t>Унгарски</t>
  </si>
  <si>
    <t>Magyar</t>
  </si>
  <si>
    <t>Román</t>
  </si>
  <si>
    <t>Angol</t>
  </si>
  <si>
    <t>Bolgár</t>
  </si>
  <si>
    <t>Roll width:</t>
  </si>
  <si>
    <t>Ширина на ролката:</t>
  </si>
  <si>
    <t>Tekercs szélessége:</t>
  </si>
  <si>
    <t>Бакшиш:</t>
  </si>
  <si>
    <t>Tipp:</t>
  </si>
  <si>
    <t>Window Dakea Good</t>
  </si>
  <si>
    <t>Прозорец Dakea Good</t>
  </si>
  <si>
    <t>Ablak Dakea Good</t>
  </si>
  <si>
    <t>Window Dakea Good PVC</t>
  </si>
  <si>
    <t>Прозорец Dakea Good PVC</t>
  </si>
  <si>
    <t>Ablak Dakea Good PVC</t>
  </si>
  <si>
    <t>Window Dakea Good Energy</t>
  </si>
  <si>
    <t>Прозорец Dakea Good Energy</t>
  </si>
  <si>
    <t>Ablak Dakea Good Energy</t>
  </si>
  <si>
    <t>Window Dakea Good Energy PVC</t>
  </si>
  <si>
    <t>Прозорец Dakea Good Energy PVC</t>
  </si>
  <si>
    <t>Ablak Dakea Good Energy PVC</t>
  </si>
  <si>
    <t>Window Dakea Better Safe</t>
  </si>
  <si>
    <t>Прозорец Dakea Better Safe</t>
  </si>
  <si>
    <t>Ablak Dakea Better Safe</t>
  </si>
  <si>
    <t>Window Dakea Better Safe PVC</t>
  </si>
  <si>
    <t>Прозорец Dakea Better Safe PVC</t>
  </si>
  <si>
    <t>Ablak Dakea Better Safe PVC</t>
  </si>
  <si>
    <t>Window Dakea Better Energy</t>
  </si>
  <si>
    <t>Прозорец Dakea Better Energy</t>
  </si>
  <si>
    <t>Ablak Dakea Better Energy</t>
  </si>
  <si>
    <t>Window Dakea Better Energy PVC</t>
  </si>
  <si>
    <t>Прозорец Dakea Better Energy PVC</t>
  </si>
  <si>
    <t>Ablak Dakea Better Energy PVC</t>
  </si>
  <si>
    <t>Window Dakea Ultima</t>
  </si>
  <si>
    <t>Прозорец Dakea Ultima</t>
  </si>
  <si>
    <t>Ablak Dakea Ultima</t>
  </si>
  <si>
    <t>Window Dakea Ultima Energy</t>
  </si>
  <si>
    <t>Прозорец Dakea Ultima Energy</t>
  </si>
  <si>
    <t>Ablak Dakea Ultima Energy</t>
  </si>
  <si>
    <t>Window Dakea Ultima Energy PVC</t>
  </si>
  <si>
    <t>Прозорец Dakea Ultima Energy PVC</t>
  </si>
  <si>
    <t>Ablak Dakea Ultima Energy PVC</t>
  </si>
  <si>
    <t>Window ROOFLITE</t>
  </si>
  <si>
    <t>Прозорец ROOFLITE</t>
  </si>
  <si>
    <t>Ablak ROOFLITE</t>
  </si>
  <si>
    <t>Rama Dakea KUF</t>
  </si>
  <si>
    <t>Frame  Dakea KUF</t>
  </si>
  <si>
    <t>Рамка  Dakea KUF</t>
  </si>
  <si>
    <t>Keret  Dakea KUF</t>
  </si>
  <si>
    <t>Manual rod opening device</t>
  </si>
  <si>
    <t>Устройство за ръчно отваряне на пръта</t>
  </si>
  <si>
    <t>Kézi rúdnyitó eszköz</t>
  </si>
  <si>
    <t>Electric opening device</t>
  </si>
  <si>
    <t>Електрическо отварящо устройство</t>
  </si>
  <si>
    <t>Elektromos nyitószerkezet</t>
  </si>
  <si>
    <t>Frame  ROOFLITE</t>
  </si>
  <si>
    <t>Рамка  ROOFLITE</t>
  </si>
  <si>
    <t>Keret  ROOFLITE</t>
  </si>
  <si>
    <t>LUCIOS 0.6</t>
  </si>
  <si>
    <t>GLOSSY 0.6</t>
  </si>
  <si>
    <t>ЛЪСКАВ 0.6</t>
  </si>
  <si>
    <t>FÉNYES 0.6</t>
  </si>
  <si>
    <t>LUCIOS 0.75</t>
  </si>
  <si>
    <t>GLOSSY 0.75</t>
  </si>
  <si>
    <t>ЛЪСКАВ 0.75</t>
  </si>
  <si>
    <t>FÉNYES 0.75</t>
  </si>
  <si>
    <t>Imitatie de lemn</t>
  </si>
  <si>
    <t xml:space="preserve"> imitation wood</t>
  </si>
  <si>
    <t>имитация на дърво</t>
  </si>
  <si>
    <t>Pre-painted double steel</t>
  </si>
  <si>
    <t>Предварително боядисана двойна стомана</t>
  </si>
  <si>
    <t>Előre festett dupla acél</t>
  </si>
  <si>
    <t>Acc. CLICK/FLATZ</t>
  </si>
  <si>
    <t>Descarcare***</t>
  </si>
  <si>
    <t>Download</t>
  </si>
  <si>
    <t>Изтегли</t>
  </si>
  <si>
    <t>Letöltés</t>
  </si>
  <si>
    <t>Mechanized</t>
  </si>
  <si>
    <t>Механизиран</t>
  </si>
  <si>
    <t>Gépesített</t>
  </si>
  <si>
    <t>Manual</t>
  </si>
  <si>
    <t>Ръчно</t>
  </si>
  <si>
    <t>Kézikönyv</t>
  </si>
  <si>
    <t>Fisier realizat de:</t>
  </si>
  <si>
    <t>File made by:</t>
  </si>
  <si>
    <t>Файлът е направен от:</t>
  </si>
  <si>
    <t>A fájlt készítette:</t>
  </si>
  <si>
    <t>WTB anti-condensation membrane 135 gr/sqm - 80 sqm</t>
  </si>
  <si>
    <t>WTB anti-condensation membrane 150 gr/sqm - 80 sqm</t>
  </si>
  <si>
    <t>WTB anti-condensation membrane 115 gr/sqm - 80 sqm</t>
  </si>
  <si>
    <t xml:space="preserve">          Membrana anticondens ACOFORT M  115 gr/mp - 75mp</t>
  </si>
  <si>
    <t xml:space="preserve">          ACOFORT M anti-condensation membrane 115 gr/mp - 75mp</t>
  </si>
  <si>
    <t xml:space="preserve">          Антикондензна мембранаs ACOFORT M  115 gr/mp - 75mp</t>
  </si>
  <si>
    <t xml:space="preserve">          Páragátló membrán ACOFORT M  115 gr/mp - 75mp</t>
  </si>
  <si>
    <t xml:space="preserve">          Membrana anticondens ACOFORT M  100 gr/mp - 75mp</t>
  </si>
  <si>
    <t xml:space="preserve">          ACOFORT M anti-condensation membrane 100 gr/mp - 75mp</t>
  </si>
  <si>
    <t xml:space="preserve">          Антикондензна мембранаs ACOFORT M  100 gr/mp - 75mp</t>
  </si>
  <si>
    <t xml:space="preserve">          Páragátló membrán ACOFORT M  100 gr/mp - 75mp</t>
  </si>
  <si>
    <t xml:space="preserve">Im Lemn </t>
  </si>
  <si>
    <t>Im lemn DP</t>
  </si>
  <si>
    <t>Profil ventilatie coama Click(Negru/Gri)</t>
  </si>
  <si>
    <t>TP</t>
  </si>
  <si>
    <t>Borduri Zincate</t>
  </si>
  <si>
    <t>Sort rupere  SRAS</t>
  </si>
  <si>
    <t>Blocator bara</t>
  </si>
  <si>
    <t>Tabla plana speciala</t>
  </si>
  <si>
    <t>Tabla Speciala</t>
  </si>
  <si>
    <t>78 x 140</t>
  </si>
  <si>
    <t>78 x140</t>
  </si>
  <si>
    <t>PANORAMA</t>
  </si>
  <si>
    <t>WETTERBEST PANORAMA</t>
  </si>
  <si>
    <t>Material</t>
  </si>
  <si>
    <t>Sipca Rotunda</t>
  </si>
  <si>
    <t>IMITATIE Lemn</t>
  </si>
  <si>
    <t>Mat 0.5 RAL:7016M</t>
  </si>
  <si>
    <t>Mat 0.5 RAL:8017M</t>
  </si>
  <si>
    <t>Mat 0.5 RAL:9005M</t>
  </si>
  <si>
    <t>Tabla plana PANORAMA 1240*2000</t>
  </si>
  <si>
    <t>Bordura speciala calcan PANORAMA</t>
  </si>
  <si>
    <t>Coama dreapta mare PANORAMA</t>
  </si>
  <si>
    <t>Coama dreapta mica PANORAMA</t>
  </si>
  <si>
    <t>Coama rotunda mica PANORAMA</t>
  </si>
  <si>
    <t>Coama modulara PANORAMA 0,385mm</t>
  </si>
  <si>
    <t>Coama rotunda mare PANORAMA</t>
  </si>
  <si>
    <t>Capac coama PANORAMA</t>
  </si>
  <si>
    <t>Colector frontonn PANORAMA</t>
  </si>
  <si>
    <t>Racord calcan PANORAMA</t>
  </si>
  <si>
    <t>Dolie PANORAMA</t>
  </si>
  <si>
    <t>Opritor zapada PANORAMA</t>
  </si>
  <si>
    <t>Pazie tip 1 PANORAMA</t>
  </si>
  <si>
    <t>Pazie streasina PANORAMA</t>
  </si>
  <si>
    <t>Parazapada ranforsata PANORAMA</t>
  </si>
  <si>
    <t>Sort rupere SRA PANORAMA</t>
  </si>
  <si>
    <t>Sort rupere vertical SRV PANORAMA</t>
  </si>
  <si>
    <t>Sort streasina PANORAMA</t>
  </si>
  <si>
    <t xml:space="preserve">Capac bara </t>
  </si>
  <si>
    <t>Conector bara</t>
  </si>
  <si>
    <t>Bara parazapada click 2m</t>
  </si>
  <si>
    <t xml:space="preserve">Suport Parazapada Click </t>
  </si>
  <si>
    <t>Click grid snow stopper bar</t>
  </si>
  <si>
    <t xml:space="preserve">Bar connector </t>
  </si>
  <si>
    <t xml:space="preserve">Bar cover </t>
  </si>
  <si>
    <t>Bordura speciala PANORAMA 0,5 mm mat</t>
  </si>
  <si>
    <t xml:space="preserve">Surub cap torx 4,8x20 RAL 250 buc/cutie </t>
  </si>
  <si>
    <t>Surub cap torx 4,8x35 RAL 250 buc/ cutie</t>
  </si>
  <si>
    <t>Modul PANORAMA 1195*740mm ( bucati )</t>
  </si>
  <si>
    <t>TABLA PLANA ( 1250x2000 )</t>
  </si>
  <si>
    <t>Pazie modulara stanga PANORAMA</t>
  </si>
  <si>
    <t>Pazie modulara dreapta  PANORAMA</t>
  </si>
  <si>
    <t>Set cos fum PANORAMA</t>
  </si>
  <si>
    <t>Set Cos Fum</t>
  </si>
  <si>
    <t>Sipca Dreapta</t>
  </si>
  <si>
    <t>LUCIOS 0.7</t>
  </si>
  <si>
    <t>Cod Postal***</t>
  </si>
  <si>
    <t>Surub 4.8*16 CF3 RAL</t>
  </si>
  <si>
    <t>Screw 4.8*16 CF3 RAL</t>
  </si>
  <si>
    <t>Винт 4.8*16 CF3 RAL</t>
  </si>
  <si>
    <t>4.8*16 CF3 RAL fém csavar</t>
  </si>
  <si>
    <t>n</t>
  </si>
  <si>
    <t>SAGEAC</t>
  </si>
  <si>
    <t>LUCIOS 8017</t>
  </si>
  <si>
    <t>LUCIOS 9002</t>
  </si>
  <si>
    <t>MAT 7024</t>
  </si>
  <si>
    <t>MAT 8019</t>
  </si>
  <si>
    <t>MAT 9005</t>
  </si>
  <si>
    <t>Lungime mm</t>
  </si>
  <si>
    <t>Latime mm</t>
  </si>
  <si>
    <t>ACCESORII</t>
  </si>
  <si>
    <t>COLTAR INTERIOR SAGEAC</t>
  </si>
  <si>
    <t>COLTAR EXTERIOR SAGEAC</t>
  </si>
  <si>
    <t>PROFIL J SAGEAC</t>
  </si>
  <si>
    <t>SAGEAC STOC LUCIOS 8017</t>
  </si>
  <si>
    <t>In</t>
  </si>
  <si>
    <t>Out</t>
  </si>
  <si>
    <t>SAGEAC STOC LUCIOS 9002</t>
  </si>
  <si>
    <t>SAGEAC STOC MAT 7024</t>
  </si>
  <si>
    <t>SAGEAC STOC MAT 8019</t>
  </si>
  <si>
    <t>SAGEAC STOC MAT 9005</t>
  </si>
  <si>
    <t>NEOMAT</t>
  </si>
  <si>
    <t>SUPREM</t>
  </si>
  <si>
    <t>SAGEAC CMD SUPREM</t>
  </si>
  <si>
    <t>SAGEAC CMD LUCIOS</t>
  </si>
  <si>
    <t>SAGEAC CMD MAT</t>
  </si>
  <si>
    <t>SAGEAC CMD NEOMAT</t>
  </si>
  <si>
    <t>SAGEAC CMD IMITATIE LEMN</t>
  </si>
  <si>
    <t>PROFIL J SAGEAC LUCIOS</t>
  </si>
  <si>
    <t>PROFIL J SAGEAC MAT</t>
  </si>
  <si>
    <t>PROFIL J SAGEAC NEOMAT</t>
  </si>
  <si>
    <t>PROFIL J SAGEAC SUPREM</t>
  </si>
  <si>
    <t>PROFIL J SAGEAC IMITATIE LEMN</t>
  </si>
  <si>
    <t>COLTAR INTERIOR SAGEAC LUCIOS</t>
  </si>
  <si>
    <t>COLTAR INTERIOR SAGEAC MAT</t>
  </si>
  <si>
    <t>COLTAR INTERIOR SAGEAC NEOMAT</t>
  </si>
  <si>
    <t>COLTAR INTERIOR SAGEAC SUPREM</t>
  </si>
  <si>
    <t>COLTAR INTERIOR SAGEAC IMITATIE LEMN</t>
  </si>
  <si>
    <t>COLTAR EXTERIOR SAGEAC LUCIOS</t>
  </si>
  <si>
    <t>COLTAR EXTERIOR SAGEAC MAT</t>
  </si>
  <si>
    <t>COLTAR EXTERIOR SAGEAC NEOMAT</t>
  </si>
  <si>
    <t>COLTAR EXTERIOR SAGEAC SUPREM</t>
  </si>
  <si>
    <t>COLTAR EXTERIOR SAGEAC IMITATIE LEMN</t>
  </si>
  <si>
    <t>Membrana  anticondens ACOVENT – 90 gr/mp - 80 mp</t>
  </si>
  <si>
    <t>Ventilatie Acoperis CLASIC RAL 7024, 8017 si 9005 ( alte RAL-uri comanda )</t>
  </si>
  <si>
    <t>Ventilatie Invelitori plate RAL 7024 si 9005 ( alte RAL-uri comanda )</t>
  </si>
  <si>
    <t xml:space="preserve">BUC </t>
  </si>
  <si>
    <t>Multiplu de 10</t>
  </si>
  <si>
    <t>Stanga</t>
  </si>
  <si>
    <t>Dreapta</t>
  </si>
  <si>
    <t xml:space="preserve">Foarfeca combinata </t>
  </si>
  <si>
    <t xml:space="preserve">Foarfeca circulara </t>
  </si>
  <si>
    <t>Tabla Plana</t>
  </si>
  <si>
    <t>OTEL PREVOPSIT 0.30 MM RAL 3011</t>
  </si>
  <si>
    <t>OTEL PREVOPSIT 0.30 MM RAL 8017</t>
  </si>
  <si>
    <t>OTEL ZINCAT 0.35 MM</t>
  </si>
  <si>
    <t>OTEL ZINCAT 0.30 MM</t>
  </si>
  <si>
    <t>OTEL ZINCAT 0.25 MM</t>
  </si>
  <si>
    <t>Buc</t>
  </si>
  <si>
    <t>Tabla plana subtire</t>
  </si>
  <si>
    <t>Cutata W10 subtire</t>
  </si>
  <si>
    <t>Cutata W8 subtire</t>
  </si>
  <si>
    <t>TABLA PLANA OTEL PREVOPSIT 0.30 MM RAL 3011</t>
  </si>
  <si>
    <t>TABLA PLANA OTEL PREVOPSIT 0.30 MM RAL 8017</t>
  </si>
  <si>
    <t>TABLA PLANA OTEL ZINCAT 0.35 MM</t>
  </si>
  <si>
    <t>TABLA PLANA OTEL ZINCAT 0.30 MM</t>
  </si>
  <si>
    <t>TABLA PLANA OTEL ZINCAT 0.25 MM</t>
  </si>
  <si>
    <t>TABLA CUTATA W10 OTEL PREVOPSIT 0.30 MM RAL 3011</t>
  </si>
  <si>
    <t>TABLA CUTATA W10 PREVOPSIT 0.30 MM RAL 8017</t>
  </si>
  <si>
    <t>TABLA CUTATA W10 ZINCAT 0.35 MM</t>
  </si>
  <si>
    <t>TABLA CUTATA W10 ZINCAT 0.30 MM</t>
  </si>
  <si>
    <t>TABLA CUTATA W10 ZINCAT 0.25 MM</t>
  </si>
  <si>
    <t>PANOU GARD METALIC</t>
  </si>
  <si>
    <t>Material:</t>
  </si>
  <si>
    <t>LAMELA GARD TIP JALUZEA</t>
  </si>
  <si>
    <t>PROFIL CADRU GARD TIP JALUZEA</t>
  </si>
  <si>
    <t>Surub cap torx 4,8 X 20 RAL - 250 buc/cut</t>
  </si>
  <si>
    <t>PROFIL CADRU GARD SIPCA DREAPTA</t>
  </si>
  <si>
    <t>TABLA CUTATA/PLANA SUBTIRE</t>
  </si>
  <si>
    <t>Dimenisuni admise intre 500 - 3000 mm</t>
  </si>
  <si>
    <t>PROFIL RANFORSARE GARD SIPCA DREAPTA</t>
  </si>
  <si>
    <t>PROFIL RANFORSARE GARD TIP JALUZEA</t>
  </si>
  <si>
    <t>LAMELA GARD SIPCA DREAPTA Lucios</t>
  </si>
  <si>
    <t>PROFIL CADRU GARD SIPCA DREAPTA Lucios</t>
  </si>
  <si>
    <t>PROFIL RANFORSARE GARD SIPCA DREAPTA Lucios</t>
  </si>
  <si>
    <t>LAMELA GARD SIPCA DREAPTA Mat</t>
  </si>
  <si>
    <t>PROFIL CADRU GARD SIPCA DREAPTA Mat</t>
  </si>
  <si>
    <t>PROFIL RANFORSARE GARD SIPCA DREAPTA Mat</t>
  </si>
  <si>
    <t>LAMELA GARD SIPCA DREAPTA Neomat</t>
  </si>
  <si>
    <t>PROFIL CADRU GARD SIPCA DREAPTA Neomat</t>
  </si>
  <si>
    <t>PROFIL RANFORSARE GARD  SIPCA DREAPTA Neomat</t>
  </si>
  <si>
    <t>LAMELA GARD SIPCA DREAPTA Suprem</t>
  </si>
  <si>
    <t>PROFIL CADRU GARD SIPCA DREAPTA Suprem</t>
  </si>
  <si>
    <t>PROFIL RANFORSARE GARD SIPCA DREAPTA Suprem</t>
  </si>
  <si>
    <t>LAMELA GARD SIPCA DREAPTA Imitatie Lemn</t>
  </si>
  <si>
    <t>PROFIL CADRU GARD SIPCA DREAPTA Imitatie Lemn</t>
  </si>
  <si>
    <t>PROFIL RANFORSARE GARD SIPCA DREAPTA Imitatie Lemn</t>
  </si>
  <si>
    <t>LAMELA GARD SIPCA DREAPTA Imitatie Lemn DP</t>
  </si>
  <si>
    <t>PROFIL CADRU GARD SIPCA DREAPTA Imitatie Lemn DP</t>
  </si>
  <si>
    <t>PROFIL RANFORSARE GARD SIPCA DREAPTA Imitatie Lemn DP</t>
  </si>
  <si>
    <t>LAMELA GARD SIPCA DREAPTA 0.6 DP</t>
  </si>
  <si>
    <t>PROFIL CADRU GARD SIPCA DREAPTA 0.6 DP</t>
  </si>
  <si>
    <t>PROFIL RANFORSARE GARD SIPCA DREAPTA 0.6 DP</t>
  </si>
  <si>
    <t>LAMELA GARD SIPCA ROTUNDA Lucios</t>
  </si>
  <si>
    <t>PROFIL CADRU GARD SIPCA ROTUNDA Lucios</t>
  </si>
  <si>
    <t>PROFIL RANFORSARE GARD SIPCA ROTUNDA Lucios</t>
  </si>
  <si>
    <t>LAMELA GARD SIPCA ROTUNDA Mat</t>
  </si>
  <si>
    <t>PROFIL CADRU GARD SIPCA ROTUNDA Mat</t>
  </si>
  <si>
    <t>PROFIL RANFORSARE GARD SIPCA ROTUNDA Mat</t>
  </si>
  <si>
    <t>LAMELA GARD SIPCA ROTUNDA Neomat</t>
  </si>
  <si>
    <t>PROFIL CADRU GARD SIPCA ROTUNDA Neomat</t>
  </si>
  <si>
    <t>PROFIL RANFORSARE GARD  SIPCA ROTUNDA Neomat</t>
  </si>
  <si>
    <t>LAMELA GARD SIPCA ROTUNDA Suprem</t>
  </si>
  <si>
    <t>PROFIL CADRU GARD SIPCA ROTUNDA Suprem</t>
  </si>
  <si>
    <t>PROFIL RANFORSARE GARD SIPCA ROTUNDA Suprem</t>
  </si>
  <si>
    <t>LAMELA GARD SIPCA ROTUNDA Imitatie Lemn</t>
  </si>
  <si>
    <t>PROFIL CADRU GARD SIPCA ROTUNDA Imitatie Lemn</t>
  </si>
  <si>
    <t>PROFIL RANFORSARE GARD SIPCA ROTUNDA Imitatie Lemn</t>
  </si>
  <si>
    <t>LAMELA GARD SIPCA ROTUNDA Imitatie Lemn DP</t>
  </si>
  <si>
    <t>PROFIL CADRU GARD SIPCA ROTUNDA Imitatie Lemn DP</t>
  </si>
  <si>
    <t>PROFIL RANFORSARE GARD SIPCA ROTUNDA Imitatie Lemn DP</t>
  </si>
  <si>
    <t>LAMELA GARD SIPCA ROTUNDA 0.6 DP</t>
  </si>
  <si>
    <t>PROFIL CADRU GARD SIPCA ROTUNDA 0.6 DP</t>
  </si>
  <si>
    <t>PROFIL RANFORSARE GARD SIPCA ROTUNDA 0.6 DP</t>
  </si>
  <si>
    <t>PROFIL CADRU GARD SIPCA ROTUNDA</t>
  </si>
  <si>
    <t>PROFIL RANFORSARE GARD SIPCA ROTUNDA</t>
  </si>
  <si>
    <t>LAMELA GARD SIPCA DREAPTA</t>
  </si>
  <si>
    <t>LAMELA GARD SIPCA ROTUNDA</t>
  </si>
  <si>
    <t>Panou gard</t>
  </si>
  <si>
    <t>IL</t>
  </si>
  <si>
    <t>ILDP</t>
  </si>
  <si>
    <t>FORMULAR COMANDA</t>
  </si>
  <si>
    <t>Coama dreapta mare</t>
  </si>
  <si>
    <t xml:space="preserve">Racord calcan Click </t>
  </si>
  <si>
    <t xml:space="preserve">Semicoama </t>
  </si>
  <si>
    <t>Piesa imbinare Click</t>
  </si>
  <si>
    <t>Rupere panta interior</t>
  </si>
  <si>
    <t>Banda fonica Click</t>
  </si>
  <si>
    <t>Suport Parazapada Click  ( Negru/Gri )</t>
  </si>
  <si>
    <t>Bara parazapada click 2m ( Negru/Gri )</t>
  </si>
  <si>
    <t>Conector bara ( Negru/Gri )</t>
  </si>
  <si>
    <t>Capac bara ( Negru/Gri )</t>
  </si>
  <si>
    <t>TABLA CUTATA W8 ZINCAT 0.25 MM</t>
  </si>
  <si>
    <t>TABLA CUTATA W8 OTEL PREVOPSIT 0.30 MM RAL 3011</t>
  </si>
  <si>
    <t>TABLA CUTATA W8 PREVOPSIT 0.30 MM RAL 8017</t>
  </si>
  <si>
    <t>TABLA CUTATA W8 ZINCAT 0.35 MM</t>
  </si>
  <si>
    <t>TABLA CUTATA W8 ZINCAT 0.30 MM</t>
  </si>
  <si>
    <t>Semicoama</t>
  </si>
  <si>
    <t xml:space="preserve">Coama dreapta mare </t>
  </si>
  <si>
    <t>Capac coama</t>
  </si>
  <si>
    <t>STOC - valabil doar la pachet de 10 buc</t>
  </si>
  <si>
    <t>SAGEAC/ LAMBRIU :</t>
  </si>
  <si>
    <t>LAMBRIU</t>
  </si>
  <si>
    <t>W18 Perete</t>
  </si>
  <si>
    <t>Dripstop + W60 Acoperis</t>
  </si>
  <si>
    <t>SAGEAC PERFORAT</t>
  </si>
  <si>
    <t>W18 Acoperis</t>
  </si>
  <si>
    <t>W35 Perete</t>
  </si>
  <si>
    <t>W35 Acoperis</t>
  </si>
  <si>
    <t>W60 Acoperis</t>
  </si>
  <si>
    <t>W60 Perete</t>
  </si>
  <si>
    <t>Dripstop + W35 Acoperis</t>
  </si>
  <si>
    <t>Dripstop + W18 Acoperis</t>
  </si>
  <si>
    <t>W8 LUCIOS 0.35</t>
  </si>
  <si>
    <t>W8 LUCIOS 0.4</t>
  </si>
  <si>
    <t>W8 LUCIOS 0.45</t>
  </si>
  <si>
    <t>W8 LUCIOS 0.5</t>
  </si>
  <si>
    <t>W8 MAT 0.4</t>
  </si>
  <si>
    <t>W8 MAT 0.45</t>
  </si>
  <si>
    <t>W8 MAT 0.5</t>
  </si>
  <si>
    <t>W8 SUPREM 50 0.5</t>
  </si>
  <si>
    <t>W8 NEOMAT 30 0.5</t>
  </si>
  <si>
    <t>W8 Imitatie de lemn DP</t>
  </si>
  <si>
    <t>W8 Imitatie de lemn</t>
  </si>
  <si>
    <t>W8 Zincat 0.4</t>
  </si>
  <si>
    <t>W8 Zincat 0.5</t>
  </si>
  <si>
    <t>W18 Acoperis LUCIOS 0.35</t>
  </si>
  <si>
    <t>W18 Acoperis LUCIOS 0.4</t>
  </si>
  <si>
    <t>W18 Acoperis LUCIOS 0.45</t>
  </si>
  <si>
    <t>W18 Acoperis LUCIOS 0.5</t>
  </si>
  <si>
    <t>W18 Acoperis MAT 0.4</t>
  </si>
  <si>
    <t>W18 Acoperis MAT 0.45</t>
  </si>
  <si>
    <t>W18 Acoperis MAT 0.5</t>
  </si>
  <si>
    <t>W18 Acoperis SUPREM 50 0.5</t>
  </si>
  <si>
    <t>W18 Acoperis NEOMAT 30 0.5</t>
  </si>
  <si>
    <t>W18 Acoperis Imitatie de lemn DP</t>
  </si>
  <si>
    <t>W18 Acoperis Imitatie de lemn</t>
  </si>
  <si>
    <t>W18 Acoperis Zincat 0.4</t>
  </si>
  <si>
    <t>W18 Acoperis Zincat 0.5</t>
  </si>
  <si>
    <t>W18 Perete LUCIOS 0.35</t>
  </si>
  <si>
    <t>W18 Perete LUCIOS 0.4</t>
  </si>
  <si>
    <t>W18 Perete LUCIOS 0.45</t>
  </si>
  <si>
    <t>W18 Perete LUCIOS 0.5</t>
  </si>
  <si>
    <t>W18 Perete MAT 0.4</t>
  </si>
  <si>
    <t>W18 Perete MAT 0.45</t>
  </si>
  <si>
    <t>W18 Perete MAT 0.5</t>
  </si>
  <si>
    <t>W18 Perete SUPREM 50 0.5</t>
  </si>
  <si>
    <t>W18 Perete NEOMAT 30 0.5</t>
  </si>
  <si>
    <t>W18 Perete Imitatie de lemn DP</t>
  </si>
  <si>
    <t>W18 Perete Imitatie de lemn</t>
  </si>
  <si>
    <t>W18 Perete Zincat 0.4</t>
  </si>
  <si>
    <t>W18 Perete Zincat 0.5</t>
  </si>
  <si>
    <t>W35 Acoperis LUCIOS 0.45</t>
  </si>
  <si>
    <t>W35 Acoperis LUCIOS 0.5</t>
  </si>
  <si>
    <t>W35 Acoperis LUCIOS 0.7</t>
  </si>
  <si>
    <t>W35 Acoperis LUCIOS 0.75</t>
  </si>
  <si>
    <t>W35 Acoperis MAT 0.45</t>
  </si>
  <si>
    <t>W35 Acoperis MAT 0.5</t>
  </si>
  <si>
    <t>W35 Acoperis SUPREM 50 0.5</t>
  </si>
  <si>
    <t>W35 Acoperis NEOMAT 30 0.5</t>
  </si>
  <si>
    <t>W35 Acoperis Zincat 0.5</t>
  </si>
  <si>
    <t>W35 Acoperis Zincat 0.8</t>
  </si>
  <si>
    <t>W35 Acoperis Zincat 1.0</t>
  </si>
  <si>
    <t>W18A</t>
  </si>
  <si>
    <t>W18P</t>
  </si>
  <si>
    <t>W35A</t>
  </si>
  <si>
    <t>W35P</t>
  </si>
  <si>
    <t>W60A</t>
  </si>
  <si>
    <t>W60P</t>
  </si>
  <si>
    <t>DW18</t>
  </si>
  <si>
    <t>DW35</t>
  </si>
  <si>
    <t>DW60</t>
  </si>
  <si>
    <t>W35 Perete LUCIOS 0.45</t>
  </si>
  <si>
    <t>W35 Perete LUCIOS 0.5</t>
  </si>
  <si>
    <t>W35 Perete LUCIOS 0.7</t>
  </si>
  <si>
    <t>W35 Perete LUCIOS 0.75</t>
  </si>
  <si>
    <t>W35 Perete MAT 0.45</t>
  </si>
  <si>
    <t>W35 Perete MAT 0.5</t>
  </si>
  <si>
    <t>W35 Perete SUPREM 50 0.5</t>
  </si>
  <si>
    <t>W35 Perete NEOMAT 30 0.5</t>
  </si>
  <si>
    <t>W35 Perete Zincat 0.5</t>
  </si>
  <si>
    <t>W35 Perete Zincat 0.8</t>
  </si>
  <si>
    <t>W35 Perete Zincat 1.0</t>
  </si>
  <si>
    <t>W60 Acoperis LUCIOS 0.5</t>
  </si>
  <si>
    <t>W60 Acoperis LUCIOS 0.7</t>
  </si>
  <si>
    <t>W60 Acoperis LUCIOS 0.75</t>
  </si>
  <si>
    <t>W60 Acoperis MAT 0.5</t>
  </si>
  <si>
    <t>W60 Acoperis SUPREM 50 0.5</t>
  </si>
  <si>
    <t>W60 Acoperis NEOMAT 30 0.5</t>
  </si>
  <si>
    <t>W60 Acoperis Zincat 0.5</t>
  </si>
  <si>
    <t>W60 Acoperis Zincat 0.8</t>
  </si>
  <si>
    <t>W60 Acoperis Zincat 1.0</t>
  </si>
  <si>
    <t>W60 Perete LUCIOS 0.5</t>
  </si>
  <si>
    <t>W60 Perete LUCIOS 0.7</t>
  </si>
  <si>
    <t>W60 Perete LUCIOS 0.75</t>
  </si>
  <si>
    <t>W60 Perete MAT 0.5</t>
  </si>
  <si>
    <t>W60 Perete SUPREM 50 0.5</t>
  </si>
  <si>
    <t>W60 Perete NEOMAT 30 0.5</t>
  </si>
  <si>
    <t>W60 Perete Zincat 0.5</t>
  </si>
  <si>
    <t>W60 Perete Zincat 0.8</t>
  </si>
  <si>
    <t>W60 Perete Zincat 1.0</t>
  </si>
  <si>
    <t>Dripstop + W18 Acoperis LUCIOS 0.45</t>
  </si>
  <si>
    <t>Dripstop + W18 Acoperis LUCIOS 0.5</t>
  </si>
  <si>
    <t>Dripstop + W18 Acoperis MAT 0.45</t>
  </si>
  <si>
    <t>Dripstop + W18 Acoperis MAT 0.5</t>
  </si>
  <si>
    <t>Dripstop + W18 Acoperis SUPREM 50 0.5</t>
  </si>
  <si>
    <t>Dripstop + W18 Acoperis NEOMAT 30 0.5</t>
  </si>
  <si>
    <t>Dripstop + W35 Acoperis LUCIOS 0.45</t>
  </si>
  <si>
    <t>Dripstop + W35 Acoperis LUCIOS 0.5</t>
  </si>
  <si>
    <t>Dripstop + W35 Acoperis LUCIOS 0.7</t>
  </si>
  <si>
    <t>Dripstop + W35 Acoperis LUCIOS 0.75</t>
  </si>
  <si>
    <t>Dripstop + W35 Acoperis MAT 0.45</t>
  </si>
  <si>
    <t>Dripstop + W35 Acoperis MAT 0.5</t>
  </si>
  <si>
    <t>Dripstop + W35 Acoperis SUPREM 50 0.5</t>
  </si>
  <si>
    <t>Dripstop + W35 Acoperis NEOMAT 30 0.5</t>
  </si>
  <si>
    <t>Dripstop + W60 Acoperis LUCIOS 0.5</t>
  </si>
  <si>
    <t>Dripstop + W60 Acoperis LUCIOS 0.7</t>
  </si>
  <si>
    <t>Dripstop + W60 Acoperis LUCIOS 0.75</t>
  </si>
  <si>
    <t>Dripstop + W60 Acoperis MAT 0.5</t>
  </si>
  <si>
    <t>Dripstop + W60 Acoperis SUPREM 50 0.5</t>
  </si>
  <si>
    <t>Dripstop + W60 Acoperis NEOMAT 30 0.5</t>
  </si>
  <si>
    <t>0.75L</t>
  </si>
  <si>
    <t>Modul 1 Lungime X Latime</t>
  </si>
  <si>
    <t>Modul 2 Lungime X Latime</t>
  </si>
  <si>
    <t>Modul 3 Lungime X Latime</t>
  </si>
  <si>
    <t>Modul 4 Lungime X Latime</t>
  </si>
  <si>
    <t>Modul 5 Lungime X Latime</t>
  </si>
  <si>
    <t>Modul 6 Lungime X Latime</t>
  </si>
  <si>
    <t>Modul 7 Lungime X Latime</t>
  </si>
  <si>
    <t>Modul 8 Lungime X Latime</t>
  </si>
  <si>
    <t>Modul 9 Lungime X Latime</t>
  </si>
  <si>
    <t>Modul 10 Lungime X Latime</t>
  </si>
  <si>
    <t>Modul 11 Lungime X Latime</t>
  </si>
  <si>
    <t>Modul 12 Lungime X Latime</t>
  </si>
  <si>
    <t>Modul 13 Lungime X Latime</t>
  </si>
  <si>
    <t>Modul 14 Lungime X Latime</t>
  </si>
  <si>
    <t>Modul 15 Lungime X Latime</t>
  </si>
  <si>
    <t>Modul 16 Lungime X Latime</t>
  </si>
  <si>
    <t>Modul 17 Lungime X Latime</t>
  </si>
  <si>
    <t>Modul 18 Lungime X Latime</t>
  </si>
  <si>
    <t>Modul 19 Lungime X Latime</t>
  </si>
  <si>
    <t>Modul 20 Lungime X Latime</t>
  </si>
  <si>
    <t>Modul 21 Lungime X Latime</t>
  </si>
  <si>
    <t>Modul 22 Lungime X Latime</t>
  </si>
  <si>
    <t>MINIRULOURI LUCIOS 0.4</t>
  </si>
  <si>
    <t>MINIRULOURI LUCIOS 0.45</t>
  </si>
  <si>
    <t>MINIRULOURI LUCIOS 0.5</t>
  </si>
  <si>
    <t>MINIRULOURI LUCIOS 0.7</t>
  </si>
  <si>
    <t>MINIRULOURI LUCIOS 0.75</t>
  </si>
  <si>
    <t>MINIRULOURI MAT 0.4</t>
  </si>
  <si>
    <t>MINIRULOURI MAT 0.45</t>
  </si>
  <si>
    <t>MINIRULOURI MAT 0.5</t>
  </si>
  <si>
    <t>MINIRULOURI SUPREM 50 0.5</t>
  </si>
  <si>
    <t>MINIRULOURI NEOMAT 30 0.5</t>
  </si>
  <si>
    <t>MINIRULOURI Otel Dublu prevopsit</t>
  </si>
  <si>
    <t>MINIRULOURI Zincat 0.4</t>
  </si>
  <si>
    <t>MINIRULOURI Zincat 0.5</t>
  </si>
  <si>
    <t>MINIRULOURI Zincat 1.0</t>
  </si>
  <si>
    <t>Suprafata mp</t>
  </si>
  <si>
    <t>Valoare euro fara tva</t>
  </si>
  <si>
    <t>FERESTRE SI RAME DE MANSARDA</t>
  </si>
  <si>
    <t>MATERIALE SI SERVICII AUXILIARE</t>
  </si>
  <si>
    <t>(euro fara tva )</t>
  </si>
  <si>
    <t>Euro fara tva</t>
  </si>
  <si>
    <t>Euro cu tva</t>
  </si>
  <si>
    <t>Lei fara tva</t>
  </si>
  <si>
    <t>Lei cu tva</t>
  </si>
  <si>
    <t>OFERTA</t>
  </si>
  <si>
    <t xml:space="preserve">TOTAL </t>
  </si>
  <si>
    <t>Inaltime mm</t>
  </si>
  <si>
    <t>DRIPSTOP+CARDINAL</t>
  </si>
  <si>
    <t>D+Cardinal</t>
  </si>
  <si>
    <t>D+C</t>
  </si>
  <si>
    <t>W35 Acoperis MAT 0.4</t>
  </si>
  <si>
    <t>W35 Perete MAT 0.4</t>
  </si>
  <si>
    <t>Membrana anticondens WETTERBEST 115 gr/mp - 75mp</t>
  </si>
  <si>
    <t>Membrana anticondens WETTERBEST 135 gr/mp - 75mp</t>
  </si>
  <si>
    <t>Membrana anticondens WETTERBEST 150 gr/mp - 75mp</t>
  </si>
  <si>
    <t>Membrana anticondens WETTERBEST 180 gr/mp - 75mp</t>
  </si>
  <si>
    <t>Membrana  anticondens ACOVENT 90 gr/mp - 80 mp</t>
  </si>
  <si>
    <t>Membrana anticondens DACHOVA 115 gr/mp - 80mp</t>
  </si>
  <si>
    <t>Membrana anticondens ACOVENT 135 gr/mp 80 mp</t>
  </si>
  <si>
    <t>Membrana anticondens DACHOVA 150 gr/mp 80 mp</t>
  </si>
  <si>
    <t>Membrana anticondens EKRAN 185 gr/mp 80mp</t>
  </si>
  <si>
    <t>Membrana METALLIC pentru tabla faltuita 450 gr/mp 1,5 X 25-37.5mp .</t>
  </si>
  <si>
    <t>BANDA EXPANDABILA IZOLANT 30X8/4.3 m</t>
  </si>
  <si>
    <t>Banda etansare Wtb Cardinal (coama),  lungime 1100 mm</t>
  </si>
  <si>
    <t>Silicon etansare Wetterbest</t>
  </si>
  <si>
    <t>Mastic etansare Wetterbest</t>
  </si>
  <si>
    <t>Pistol pentru silicon Albastru</t>
  </si>
  <si>
    <t>Pistol pentru silicon Galben</t>
  </si>
  <si>
    <t>Pistol pentru silicon Negru</t>
  </si>
  <si>
    <t>W10A</t>
  </si>
  <si>
    <t>W10P</t>
  </si>
  <si>
    <t>Pret Euro/Buc:</t>
  </si>
  <si>
    <t>W18 Acoperis LUCIOS 0.6</t>
  </si>
  <si>
    <t>W18 Perete LUCIOS 0.6</t>
  </si>
  <si>
    <t>W35 Acoperis LUCIOS 0.6</t>
  </si>
  <si>
    <t>W35 Perete LUCIOS 0.6</t>
  </si>
  <si>
    <t>W60 Acoperis LUCIOS 0.6</t>
  </si>
  <si>
    <t>W60 Perete LUCIOS 0.6</t>
  </si>
  <si>
    <t>Dripstop + W18 Acoperis LUCIOS 0.6</t>
  </si>
  <si>
    <t>Dripstop + W35 Acoperis LUCIOS 0.6</t>
  </si>
  <si>
    <t>Dripstop + W60 Acoperis LUCIOS 0.6</t>
  </si>
  <si>
    <t>MINIRULOURI LUCIOS 0.6</t>
  </si>
  <si>
    <t>LAMBRIU/SAGEAC</t>
  </si>
  <si>
    <t>CMD</t>
  </si>
  <si>
    <t>Dimensiune mm</t>
  </si>
  <si>
    <t>W10 Pozitiv</t>
  </si>
  <si>
    <t>W10 Negativ</t>
  </si>
  <si>
    <t>W10 Pozitiv LUCIOS 0.35</t>
  </si>
  <si>
    <t>W10 Pozitiv LUCIOS 0.4</t>
  </si>
  <si>
    <t>W10 Pozitiv LUCIOS 0.45</t>
  </si>
  <si>
    <t>W10 Pozitiv LUCIOS 0.5</t>
  </si>
  <si>
    <t>W10 Pozitiv LUCIOS 0.6</t>
  </si>
  <si>
    <t>W10 Pozitiv MAT 0.4</t>
  </si>
  <si>
    <t>W10 Pozitiv MAT 0.45</t>
  </si>
  <si>
    <t>W10 Pozitiv MAT 0.5</t>
  </si>
  <si>
    <t>W10 Pozitiv SUPREM 50 0.5</t>
  </si>
  <si>
    <t>W10 Pozitiv NEOMAT 30 0.5</t>
  </si>
  <si>
    <t>W10 Pozitiv Imitatie de lemn DP</t>
  </si>
  <si>
    <t>W10 Pozitiv Imitatie de lemn</t>
  </si>
  <si>
    <t>W10 Pozitiv Zincat 0.4</t>
  </si>
  <si>
    <t>W10 Pozitiv Zincat 0.5</t>
  </si>
  <si>
    <t>W10 Negativ LUCIOS 0.35</t>
  </si>
  <si>
    <t>W10 Negativ LUCIOS 0.4</t>
  </si>
  <si>
    <t>W10 Negativ LUCIOS 0.45</t>
  </si>
  <si>
    <t>W10 Negativ LUCIOS 0.5</t>
  </si>
  <si>
    <t>W10 Negativ LUCIOS 0.6</t>
  </si>
  <si>
    <t>W10 Negativ MAT 0.4</t>
  </si>
  <si>
    <t>W10 Negativ MAT 0.45</t>
  </si>
  <si>
    <t>W10 Negativ MAT 0.5</t>
  </si>
  <si>
    <t>W10 Negativ SUPREM 50 0.5</t>
  </si>
  <si>
    <t>W10 Negativ NEOMAT 30 0.5</t>
  </si>
  <si>
    <t>W10 Negativ Imitatie de lemn DP</t>
  </si>
  <si>
    <t>W10 Negativ Imitatie de lemn</t>
  </si>
  <si>
    <t>W10 Negativ Zincat 0.4</t>
  </si>
  <si>
    <t>W10 Negativ Zincat 0.5</t>
  </si>
  <si>
    <t>JIS45 Acoperis cu DRIPSTOP</t>
  </si>
  <si>
    <t>JIS16,5 Acoperis</t>
  </si>
  <si>
    <t>JIS16,5 Perete</t>
  </si>
  <si>
    <t>JIS35 Acoperis</t>
  </si>
  <si>
    <t>JIS45 Acoperis</t>
  </si>
  <si>
    <t>JIS45 Perete</t>
  </si>
  <si>
    <t>JIS35 Perete</t>
  </si>
  <si>
    <t>JIS16,5 Acoperis LUCIOS 0.35</t>
  </si>
  <si>
    <t>JIS16,5 Acoperis LUCIOS 0.4</t>
  </si>
  <si>
    <t>JIS16,5 Acoperis LUCIOS 0.45</t>
  </si>
  <si>
    <t>JIS16,5 Acoperis LUCIOS 0.5</t>
  </si>
  <si>
    <t>JIS16,5 Acoperis LUCIOS 0.6</t>
  </si>
  <si>
    <t>JIS16,5 Acoperis MAT 0.4</t>
  </si>
  <si>
    <t>JIS16,5 Acoperis MAT 0.45</t>
  </si>
  <si>
    <t>JIS16,5 Acoperis MAT 0.5</t>
  </si>
  <si>
    <t>JIS16,5 Acoperis SUPREM 50 0.5</t>
  </si>
  <si>
    <t>JIS16,5 Acoperis NEOMAT 30 0.5</t>
  </si>
  <si>
    <t>JIS16,5 Perete LUCIOS 0.35</t>
  </si>
  <si>
    <t>JIS16,5 Perete LUCIOS 0.4</t>
  </si>
  <si>
    <t>JIS16,5 Perete LUCIOS 0.45</t>
  </si>
  <si>
    <t>JIS16,5 Perete LUCIOS 0.5</t>
  </si>
  <si>
    <t>JIS16,5 Perete LUCIOS 0.6</t>
  </si>
  <si>
    <t>JIS16,5 Perete MAT 0.4</t>
  </si>
  <si>
    <t>JIS16,5 Perete MAT 0.45</t>
  </si>
  <si>
    <t>JIS16,5 Perete MAT 0.5</t>
  </si>
  <si>
    <t>JIS16,5 Perete SUPREM 50 0.5</t>
  </si>
  <si>
    <t>JIS16,5 Perete NEOMAT 30 0.5</t>
  </si>
  <si>
    <t>JIS35 Acoperis LUCIOS 0.45</t>
  </si>
  <si>
    <t>JIS35 Acoperis LUCIOS 0.5</t>
  </si>
  <si>
    <t>JIS35 Acoperis LUCIOS 0.6</t>
  </si>
  <si>
    <t>JIS35 Acoperis LUCIOS 0.75</t>
  </si>
  <si>
    <t>JIS35 Acoperis MAT 0.45</t>
  </si>
  <si>
    <t>JIS35 Acoperis MAT 0.5</t>
  </si>
  <si>
    <t>JIS35 Acoperis SUPREM 50 0.5</t>
  </si>
  <si>
    <t>JIS35 Acoperis NEOMAT 30 0.5</t>
  </si>
  <si>
    <t>JIS35 Perete LUCIOS 0.45</t>
  </si>
  <si>
    <t>JIS35 Perete LUCIOS 0.5</t>
  </si>
  <si>
    <t>JIS35 Perete LUCIOS 0.6</t>
  </si>
  <si>
    <t>JIS35 Perete LUCIOS 0.75</t>
  </si>
  <si>
    <t>JIS35 Perete MAT 0.45</t>
  </si>
  <si>
    <t>JIS35 Perete MAT 0.5</t>
  </si>
  <si>
    <t>JIS35 Perete SUPREM 50 0.5</t>
  </si>
  <si>
    <t>JIS35 Perete NEOMAT 30 0.5</t>
  </si>
  <si>
    <t>JIS45 Acoperis LUCIOS 0.45</t>
  </si>
  <si>
    <t>JIS45 Acoperis LUCIOS 0.5</t>
  </si>
  <si>
    <t>JIS45 Acoperis LUCIOS 0.6</t>
  </si>
  <si>
    <t>JIS45 Acoperis LUCIOS 0.75</t>
  </si>
  <si>
    <t>JIS45 Acoperis MAT 0.45</t>
  </si>
  <si>
    <t>JIS45 Acoperis MAT 0.5</t>
  </si>
  <si>
    <t>JIS45 Acoperis SUPREM 50 0.5</t>
  </si>
  <si>
    <t>JIS45 Acoperis NEOMAT 30 0.5</t>
  </si>
  <si>
    <t>JIS45 Perete LUCIOS 0.45</t>
  </si>
  <si>
    <t>JIS45 Perete LUCIOS 0.5</t>
  </si>
  <si>
    <t>JIS45 Perete LUCIOS 0.6</t>
  </si>
  <si>
    <t>JIS45 Perete LUCIOS 0.75</t>
  </si>
  <si>
    <t>JIS45 Perete MAT 0.45</t>
  </si>
  <si>
    <t>JIS45 Perete MAT 0.5</t>
  </si>
  <si>
    <t>JIS45 Perete SUPREM 50 0.5</t>
  </si>
  <si>
    <t>JIS45 Perete NEOMAT 30 0.5</t>
  </si>
  <si>
    <t>JIS45 Acoperis cu DRIPSTOP LUCIOS 0.45</t>
  </si>
  <si>
    <t>JIS45 Acoperis cu DRIPSTOP LUCIOS 0.5</t>
  </si>
  <si>
    <t>JIS45 Acoperis cu DRIPSTOP LUCIOS 0.6</t>
  </si>
  <si>
    <t>JIS45 Acoperis cu DRIPSTOP LUCIOS 0.75</t>
  </si>
  <si>
    <t>JIS45 Acoperis cu DRIPSTOP MAT 0.45</t>
  </si>
  <si>
    <t>JIS45 Acoperis cu DRIPSTOP MAT 0.5</t>
  </si>
  <si>
    <t>JIS45 Acoperis cu DRIPSTOP SUPREM 50 0.5</t>
  </si>
  <si>
    <t>JIS45 Acoperis cu DRIPSTOP NEOMAT 30 0.5</t>
  </si>
  <si>
    <t>Bordura speciala calcan BSC Zincat 0.4</t>
  </si>
  <si>
    <t>Coama dreapta mare CDMA Zincat 0.4</t>
  </si>
  <si>
    <t>Coama dreapta mica CDMI Zincat 0.4</t>
  </si>
  <si>
    <t>Coama rotunda mica CR Zincat 0.4</t>
  </si>
  <si>
    <t>Coama rotunda mare CRMA Zincat 0.4</t>
  </si>
  <si>
    <t>Colector fronton CF Zincat 0.4</t>
  </si>
  <si>
    <t>Racord calcan Zincat 0.4</t>
  </si>
  <si>
    <t>Dolie DO Zincat 0.4</t>
  </si>
  <si>
    <t>Pazie tip 1 PAZ 1 Zincat 0.4</t>
  </si>
  <si>
    <t>Pazie streasina PAZS Zincat 0.4</t>
  </si>
  <si>
    <t>Parazapada Ranforsata PRZS Zincat 0.4</t>
  </si>
  <si>
    <t>Sort rupere  SRAS Zincat 0.4</t>
  </si>
  <si>
    <t>Sort rupere perete vertical SRV Zincat 0.4</t>
  </si>
  <si>
    <t>Sort streasina SO Zincat 0.4</t>
  </si>
  <si>
    <t>Bordura speciala calcan BSC Zincat 0.5</t>
  </si>
  <si>
    <t>Coama dreapta mare CDMA Zincat 0.5</t>
  </si>
  <si>
    <t>Coama dreapta mica CDMI Zincat 0.5</t>
  </si>
  <si>
    <t>Coama rotunda mica CR Zincat 0.5</t>
  </si>
  <si>
    <t>Coama rotunda mare CRMA Zincat 0.5</t>
  </si>
  <si>
    <t>Colector fronton CF Zincat 0.5</t>
  </si>
  <si>
    <t>Racord calcan Zincat 0.5</t>
  </si>
  <si>
    <t>Dolie DO Zincat 0.5</t>
  </si>
  <si>
    <t>Pazie tip 1 PAZ 1 Zincat 0.5</t>
  </si>
  <si>
    <t>Pazie streasina PAZS Zincat 0.5</t>
  </si>
  <si>
    <t>Parazapada Ranforsata PRZS Zincat 0.5</t>
  </si>
  <si>
    <t>Sort rupere  SRAS Zincat 0.5</t>
  </si>
  <si>
    <t>Sort rupere perete vertical SRV Zincat 0.5</t>
  </si>
  <si>
    <t>Sort streasina SO Zincat 0.5</t>
  </si>
  <si>
    <t>Calota W35 Aluminiu</t>
  </si>
  <si>
    <t>Calota W35 Ral</t>
  </si>
  <si>
    <t>Clema fixa inox 28 mm</t>
  </si>
  <si>
    <t>Clema mobila inox 28 mm</t>
  </si>
  <si>
    <t>D+CARDINAL</t>
  </si>
  <si>
    <t>Banda etansare W60 Coama</t>
  </si>
  <si>
    <t>ID</t>
  </si>
  <si>
    <t>Cutata WTB</t>
  </si>
  <si>
    <t>Cutata JIS</t>
  </si>
  <si>
    <t>Jaluzele L</t>
  </si>
  <si>
    <t>Sipca si Panouri metalice gard</t>
  </si>
  <si>
    <t>Surub 4,8*50 ZN 100buc</t>
  </si>
  <si>
    <t>Surub 4,8*50 RAL 8017 100buc</t>
  </si>
  <si>
    <t>Fereastra mansarda Rooflite</t>
  </si>
  <si>
    <t>Rama Rooflite</t>
  </si>
  <si>
    <t>78 x 98</t>
  </si>
  <si>
    <t>114 x 118</t>
  </si>
  <si>
    <t>Fereastra mansarda Rooflite 55 x 78</t>
  </si>
  <si>
    <t>Fereastra mansarda Rooflite 55 x 98</t>
  </si>
  <si>
    <t>Fereastra mansarda Rooflite 66 x 118</t>
  </si>
  <si>
    <t>Fereastra mansarda Rooflite 78 x 98</t>
  </si>
  <si>
    <t>Fereastra mansarda Rooflite 78 x 118</t>
  </si>
  <si>
    <t>Fereastra mansarda Rooflite 78 x 140</t>
  </si>
  <si>
    <t>Fereastra mansarda Rooflite 114 x 118</t>
  </si>
  <si>
    <t>Rama Rooflite 55 x 78</t>
  </si>
  <si>
    <t>Rama Rooflite 55 x 98</t>
  </si>
  <si>
    <t>Rama Rooflite 66 x 118</t>
  </si>
  <si>
    <t>Rama Rooflite 78 x 98</t>
  </si>
  <si>
    <t>Rama Rooflite 78 x 118</t>
  </si>
  <si>
    <t>Rama Rooflite 78 x 140</t>
  </si>
  <si>
    <t>Rama Rooflite 114 x 118</t>
  </si>
  <si>
    <t>Tabla plana/cutata subtire</t>
  </si>
  <si>
    <t>AL</t>
  </si>
  <si>
    <t>Conditie livrare</t>
  </si>
  <si>
    <t>Ridicare client</t>
  </si>
  <si>
    <t>Cu livrare Wetterbest</t>
  </si>
  <si>
    <t>TAXA TRANSPORT</t>
  </si>
  <si>
    <t>Modul 23 Lungime X Latime</t>
  </si>
  <si>
    <t>Modul 24 Lungime X Latime</t>
  </si>
  <si>
    <t>Modul 25 Lungime X Latime</t>
  </si>
  <si>
    <t>Modul 26 Lungime X Latime</t>
  </si>
  <si>
    <t>Modul 27 Lungime X Latime</t>
  </si>
  <si>
    <t>Modul 28 Lungime X Latime</t>
  </si>
  <si>
    <t>Modul 29 Lungime X Latime</t>
  </si>
  <si>
    <t>Modul 30 Lungime X Latime</t>
  </si>
  <si>
    <t>Racord Perete Click</t>
  </si>
  <si>
    <t>IMPERATOR</t>
  </si>
  <si>
    <t>WETTERBEST IMPERATOR</t>
  </si>
  <si>
    <t>IMPERATOR Lucios 0.5</t>
  </si>
  <si>
    <t>IMPERATOR Mat 0.45</t>
  </si>
  <si>
    <t>IMPERATOR Mat 0.5</t>
  </si>
  <si>
    <t>GLADIATOR Lucios 0.45</t>
  </si>
  <si>
    <t>GLADIATOR Lucios 0.5</t>
  </si>
  <si>
    <t>GLADIATOR Mat 0.45</t>
  </si>
  <si>
    <t>GLADIATOR Mat 0.5</t>
  </si>
  <si>
    <t>CARDINAL Lucios 0.5</t>
  </si>
  <si>
    <t>CARDINAL Mat 0.45</t>
  </si>
  <si>
    <t>CARDINAL Mat 0.5</t>
  </si>
  <si>
    <t>COLOSSEUM Lucios 0.5</t>
  </si>
  <si>
    <t>COLOSSEUM Mat 0.45</t>
  </si>
  <si>
    <t>COLOSSEUM Mat 0.5</t>
  </si>
  <si>
    <t>PLUS Mat 0.5</t>
  </si>
  <si>
    <t>CLASIC 15 Lucios 0.45</t>
  </si>
  <si>
    <t>CLASIC 15 Lucios 0.5</t>
  </si>
  <si>
    <t>CLASIC 15 Mat 0.45</t>
  </si>
  <si>
    <t>CLASIC 15 Mat 0.5</t>
  </si>
  <si>
    <t>CLASIC 15 Lucios 0.35</t>
  </si>
  <si>
    <t>CLASIC 15 Lucios 0.4</t>
  </si>
  <si>
    <t>CLASIC 15 Mat 0.4</t>
  </si>
  <si>
    <t>CLASIC 20 Lucios 0.45</t>
  </si>
  <si>
    <t>CLASIC 20 Lucios 0.5</t>
  </si>
  <si>
    <t>CLASIC 20 Mat 0.45</t>
  </si>
  <si>
    <t>CLASIC 20 Mat 0.5</t>
  </si>
  <si>
    <t>DRIPSTOP+GLADIATOR LUCIOS 0.5</t>
  </si>
  <si>
    <t>DRIPSTOP+GLADIATOR MAT 0.5</t>
  </si>
  <si>
    <t>DRIPSTOP+CLASIC 15 LUCIOS 0.5</t>
  </si>
  <si>
    <t>DRIPSTOP+CLASIC 15 MAT 0.5</t>
  </si>
  <si>
    <t>DRIPSTOP+CLASIC 20 LUCIOS 0.5</t>
  </si>
  <si>
    <t>DRIPSTOP+CLASIC 20 MAT 0.5</t>
  </si>
  <si>
    <t>DRIPSTOP+CARDINAL LUCIOS 0.5</t>
  </si>
  <si>
    <t>DRIPSTOP+CARDINAL MAT 0.5</t>
  </si>
  <si>
    <t>DRIPSTOP+CARDINAL MAT 0.45</t>
  </si>
  <si>
    <t>IMPERATOR SUPREM 50 0.5</t>
  </si>
  <si>
    <t>GLADIATOR SUPREM 50 0.5</t>
  </si>
  <si>
    <t>CARDINAL SUPREM 50 0.5</t>
  </si>
  <si>
    <t>COLOSSEUM SUPREM 50 0.5</t>
  </si>
  <si>
    <t>PLUS SUPREM 50 0.5</t>
  </si>
  <si>
    <t>CLASIC 15 SUPREM 50 0.5</t>
  </si>
  <si>
    <t>CLASIC 20 SUPREM 50 0.5</t>
  </si>
  <si>
    <t>DRIPSTOP+GLADIATOR SUPREM 50 0.5</t>
  </si>
  <si>
    <t>DRIPSTOP+CLASIC 15 SUPREM 50 0.5</t>
  </si>
  <si>
    <t>DRIPSTOP+CLASIC 20 SUPREM 50 0.5</t>
  </si>
  <si>
    <t>DRIPSTOP+CARDINAL SUPREM 50 0.5</t>
  </si>
  <si>
    <t>IMPERATOR NEOMAT 30 0.5</t>
  </si>
  <si>
    <t>GLADIATOR NEOMAT 30 0.5</t>
  </si>
  <si>
    <t>CARDINAL NEOMAT 30 0.5</t>
  </si>
  <si>
    <t>COLOSSEUM NEOMAT 30 0.5</t>
  </si>
  <si>
    <t>PLUS NEOMAT 30 0.5</t>
  </si>
  <si>
    <t>CLASIC 15 NEOMAT 30 0.5</t>
  </si>
  <si>
    <t>CLASIC 20 NEOMAT 30 0.5</t>
  </si>
  <si>
    <t>DRIPSTOP+GLADIATOR NEOMAT 30 0.5</t>
  </si>
  <si>
    <t>DRIPSTOP+CLASIC 15 NEOMAT 30 0.5</t>
  </si>
  <si>
    <t>DRIPSTOP+CLASIC 20 NEOMAT 30 0.5</t>
  </si>
  <si>
    <t>DRIPSTOP+CARDINAL NEOMAT 30 0.5</t>
  </si>
  <si>
    <t>Banda etansare Wtb Imperator ( coama ), lungime 1100 mm</t>
  </si>
  <si>
    <t>Jaluzele A</t>
  </si>
  <si>
    <t>LAMELA GARD TIP JALUZEA D Lucios</t>
  </si>
  <si>
    <t>PROFIL CADRU GARD TIP JALUZEA D Lucios</t>
  </si>
  <si>
    <t>PROFIL RANFORSARE GARD TIP JALUZEA D Lucios</t>
  </si>
  <si>
    <t>LAMELA GARD TIP JALUZEA D Mat</t>
  </si>
  <si>
    <t>PROFIL CADRU GARD TIP JALUZEA D Mat</t>
  </si>
  <si>
    <t>PROFIL RANFORSARE GARD TIP JALUZEA D Mat</t>
  </si>
  <si>
    <t>LAMELA GARD TIP JALUZEA D Neomat</t>
  </si>
  <si>
    <t>PROFIL CADRU GARD TIP JALUZEA D Neomat</t>
  </si>
  <si>
    <t>PROFIL RANFORSARE GARD TIP JALUZEA D Neomat</t>
  </si>
  <si>
    <t>LAMELA GARD TIP JALUZEA D Suprem</t>
  </si>
  <si>
    <t>PROFIL CADRU GARD TIP JALUZEA D Suprem</t>
  </si>
  <si>
    <t>PROFIL RANFORSARE GARD TIP JALUZEA D Suprem</t>
  </si>
  <si>
    <t>LAMELA GARD TIP JALUZEA D Imitatie Lemn</t>
  </si>
  <si>
    <t>PROFIL CADRU GARD TIP JALUZEA D Imitatie Lemn</t>
  </si>
  <si>
    <t>PROFIL RANFORSARE GARD TIP JALUZEA D Imitatie Lemn</t>
  </si>
  <si>
    <t>LAMELA GARD TIP JALUZEA D Imitatie Lemn DP</t>
  </si>
  <si>
    <t>PROFIL CADRU GARD TIP JALUZEA D Imitatie Lemn DP</t>
  </si>
  <si>
    <t>PROFIL RANFORSARE GARD TIP JALUZEA D Imitatie Lemn DP</t>
  </si>
  <si>
    <t>LAMELA GARD TIP JALUZEA D 0.6 DP</t>
  </si>
  <si>
    <t>PROFIL CADRU GARD TIP JALUZEA D 0.6 DP</t>
  </si>
  <si>
    <t>PROFIL RANFORSARE GARD TIP JALUZEA D 0.6 DP</t>
  </si>
  <si>
    <t>LAMELA GARD TIP JALUZEA L Lucios</t>
  </si>
  <si>
    <t>PROFIL CADRU GARD TIP JALUZEA L Lucios</t>
  </si>
  <si>
    <t>PROFIL RANFORSARE GARD TIP JALUZEA L Lucios</t>
  </si>
  <si>
    <t>LAMELA GARD TIP JALUZEA L Mat</t>
  </si>
  <si>
    <t>PROFIL CADRU GARD TIP JALUZEA L Mat</t>
  </si>
  <si>
    <t>PROFIL RANFORSARE GARD TIP JALUZEA L Mat</t>
  </si>
  <si>
    <t>LAMELA GARD TIP JALUZEA L Neomat</t>
  </si>
  <si>
    <t>PROFIL CADRU GARD TIP JALUZEA L Neomat</t>
  </si>
  <si>
    <t>PROFIL RANFORSARE GARD TIP JALUZEA L Neomat</t>
  </si>
  <si>
    <t>LAMELA GARD TIP JALUZEA L Suprem</t>
  </si>
  <si>
    <t>PROFIL CADRU GARD TIP JALUZEA L Suprem</t>
  </si>
  <si>
    <t>PROFIL RANFORSARE GARD TIP JALUZEA L Suprem</t>
  </si>
  <si>
    <t>LAMELA GARD TIP JALUZEA L Imitatie Lemn</t>
  </si>
  <si>
    <t>PROFIL CADRU GARD TIP JALUZEA L Imitatie Lemn</t>
  </si>
  <si>
    <t>PROFIL RANFORSARE GARD TIP JALUZEA L Imitatie Lemn</t>
  </si>
  <si>
    <t>LAMELA GARD TIP JALUZEA L Imitatie Lemn DP</t>
  </si>
  <si>
    <t>PROFIL CADRU GARD TIP JALUZEA L Imitatie Lemn DP</t>
  </si>
  <si>
    <t>PROFIL RANFORSARE GARD TIP JALUZEA L Imitatie Lemn DP</t>
  </si>
  <si>
    <t>LAMELA GARD TIP JALUZEA L 0.6 DP</t>
  </si>
  <si>
    <t>PROFIL CADRU GARD TIP JALUZEA L 0.6 DP</t>
  </si>
  <si>
    <t>PROFIL RANFORSARE GARD TIP JALUZEA L 0.6 DP</t>
  </si>
  <si>
    <t>LAMELA GARD TIP JALUZEA L</t>
  </si>
  <si>
    <t>PROFIL CADRU GARD TIP JALUZEA L</t>
  </si>
  <si>
    <t>PROFIL RANFORSARE GARD TIP JALUZEA L</t>
  </si>
  <si>
    <t>LAMELA GARD TIP JALUZEA D</t>
  </si>
  <si>
    <t>PROFIL CADRU GARD TIP JALUZEA D</t>
  </si>
  <si>
    <t>PROFIL RANFORSARE GARD TIP JALUZEA D</t>
  </si>
  <si>
    <t>LAMELA GARD TIP JALUZEA A</t>
  </si>
  <si>
    <t>PROFIL CADRU GARD TIP JALUZEA A</t>
  </si>
  <si>
    <t>PROFIL RANFORSARE GARD TIP JALUZEA A</t>
  </si>
  <si>
    <t>Jaluzele D</t>
  </si>
  <si>
    <t>LAMELA GARD TIP JALUZEA A Lucios</t>
  </si>
  <si>
    <t>PROFIL CADRU GARD TIP JALUZEA A Lucios</t>
  </si>
  <si>
    <t>PROFIL RANFORSARE GARD TIP JALUZEA A Lucios</t>
  </si>
  <si>
    <t>LAMELA GARD TIP JALUZEA A Mat</t>
  </si>
  <si>
    <t>PROFIL CADRU GARD TIP JALUZEA A Mat</t>
  </si>
  <si>
    <t>PROFIL RANFORSARE GARD TIP JALUZEA A Mat</t>
  </si>
  <si>
    <t>LAMELA GARD TIP JALUZEA A Neomat</t>
  </si>
  <si>
    <t>PROFIL CADRU GARD TIP JALUZEA A Neomat</t>
  </si>
  <si>
    <t>PROFIL RANFORSARE GARD TIP JALUZEA A Neomat</t>
  </si>
  <si>
    <t>LAMELA GARD TIP JALUZEA A Suprem</t>
  </si>
  <si>
    <t>PROFIL CADRU GARD TIP JALUZEA A Suprem</t>
  </si>
  <si>
    <t>PROFIL RANFORSARE GARD TIP JALUZEA A Suprem</t>
  </si>
  <si>
    <t>LAMELA GARD TIP JALUZEA A Imitatie Lemn</t>
  </si>
  <si>
    <t>PROFIL CADRU GARD TIP JALUZEA A Imitatie Lemn</t>
  </si>
  <si>
    <t>PROFIL RANFORSARE GARD TIP JALUZEA A Imitatie Lemn</t>
  </si>
  <si>
    <t>LAMELA GARD TIP JALUZEA A Imitatie Lemn DP</t>
  </si>
  <si>
    <t>PROFIL CADRU GARD TIP JALUZEA A Imitatie Lemn DP</t>
  </si>
  <si>
    <t>PROFIL RANFORSARE GARD TIP JALUZEA A Imitatie Lemn DP</t>
  </si>
  <si>
    <t>LAMELA GARD TIP JALUZEA A 0.6 DP</t>
  </si>
  <si>
    <t>PROFIL CADRU GARD TIP JALUZEA A 0.6 DP</t>
  </si>
  <si>
    <t>PROFIL RANFORSARE GARD TIP JALUZEA A 0.6 DP</t>
  </si>
  <si>
    <t>Click Lucios 0.5</t>
  </si>
  <si>
    <t>Click + Dripstop Lucios 0.5</t>
  </si>
  <si>
    <t>Faltz 540 Lucios 0.5</t>
  </si>
  <si>
    <t>Click + Dripstop</t>
  </si>
  <si>
    <t>Click Mat 0.45</t>
  </si>
  <si>
    <t>Click + Dripstop Mat 0.45</t>
  </si>
  <si>
    <t>Faltz 540 Mat 0.45</t>
  </si>
  <si>
    <t>Click Mat 0.5</t>
  </si>
  <si>
    <t>Click + Dripstop Mat 0.5</t>
  </si>
  <si>
    <t>Faltz 540 Mat 0.5</t>
  </si>
  <si>
    <t>Click SUPREM 50 0.5</t>
  </si>
  <si>
    <t>Click + Dripstop SUPREM 50 0.5</t>
  </si>
  <si>
    <t>Faltz 540 SUPREM 50 0.5</t>
  </si>
  <si>
    <t>Click NEOMAT 30 0.5</t>
  </si>
  <si>
    <t>Click + Dripstop NEOMAT 30 0.5</t>
  </si>
  <si>
    <t>Faltz 540 NEOMAT 30 0.5</t>
  </si>
  <si>
    <t>Faltz 540 Lucios 0.45</t>
  </si>
  <si>
    <t>Faltz 410 DP Otel Dublu prevopsit</t>
  </si>
  <si>
    <t>Faltz 535 DP Otel Dublu prevopsit</t>
  </si>
  <si>
    <t>Click Elegant 340 Fara Profilare</t>
  </si>
  <si>
    <t>Click Elegant 340 Microprofilare</t>
  </si>
  <si>
    <t>Click Elegant 340 Profilare Liniara</t>
  </si>
  <si>
    <t>Click Elegant 340 Profilare Rectangulara</t>
  </si>
  <si>
    <t>Click Elegant 550 Fara Profilare</t>
  </si>
  <si>
    <t>Click Elegant 550 Microprofilare</t>
  </si>
  <si>
    <t>Click Elegant 550 Profilare Liniara</t>
  </si>
  <si>
    <t>Click Elegant 340 Fara Profilare Lucios 0.5</t>
  </si>
  <si>
    <t>Click Elegant 340 Fara Profilare Mat 0.45</t>
  </si>
  <si>
    <t>Click Elegant 340 Fara Profilare Mat 0.5</t>
  </si>
  <si>
    <t>Click Elegant 340 Fara Profilare SUPREM 50 0.5</t>
  </si>
  <si>
    <t>Click Elegant 340 Fara Profilare NEOMAT 30 0.5</t>
  </si>
  <si>
    <t>Click Elegant 550 Fara Profilare Lucios 0.5</t>
  </si>
  <si>
    <t>Click Elegant 550 Fara Profilare Mat 0.45</t>
  </si>
  <si>
    <t>Click Elegant 550 Fara Profilare Mat 0.5</t>
  </si>
  <si>
    <t>Click Elegant 550 Fara Profilare SUPREM 50 0.5</t>
  </si>
  <si>
    <t>Click Elegant 550 Fara Profilare NEOMAT 30 0.5</t>
  </si>
  <si>
    <t>Click Elegant 340 Microprofilare Lucios 0.5</t>
  </si>
  <si>
    <t>Click Elegant 340 Profilare Liniara Lucios 0.5</t>
  </si>
  <si>
    <t>Click Elegant 340 Profilare Rectangulara Lucios 0.5</t>
  </si>
  <si>
    <t>Click Elegant 550 Microprofilare Lucios 0.5</t>
  </si>
  <si>
    <t>Click Elegant 550 Profilare Liniara Lucios 0.5</t>
  </si>
  <si>
    <t>Click Elegant 550 Profilare Rectangulara Lucios 0.5</t>
  </si>
  <si>
    <t>Click Elegant 340 Microprofilare Mat 0.45</t>
  </si>
  <si>
    <t>Click Elegant 340 Profilare Liniara Mat 0.45</t>
  </si>
  <si>
    <t>Click Elegant 340 Profilare Rectangulara Mat 0.45</t>
  </si>
  <si>
    <t>Click Elegant 550 Microprofilare Mat 0.45</t>
  </si>
  <si>
    <t>Click Elegant 550 Profilare Liniara Mat 0.45</t>
  </si>
  <si>
    <t>Click Elegant 550 Profilare Rectangulara Mat 0.45</t>
  </si>
  <si>
    <t>Click Elegant 340 Microprofilare Mat 0.5</t>
  </si>
  <si>
    <t>Click Elegant 340 Profilare Liniara Mat 0.5</t>
  </si>
  <si>
    <t>Click Elegant 340 Profilare Rectangulara Mat 0.5</t>
  </si>
  <si>
    <t>Click Elegant 550 Microprofilare Mat 0.5</t>
  </si>
  <si>
    <t>Click Elegant 550 Profilare Liniara Mat 0.5</t>
  </si>
  <si>
    <t>Click Elegant 550 Profilare Rectangulara Mat 0.5</t>
  </si>
  <si>
    <t>Click Elegant 340 Microprofilare SUPREM 50 0.5</t>
  </si>
  <si>
    <t>Click Elegant 340 Profilare Liniara SUPREM 50 0.5</t>
  </si>
  <si>
    <t>Click Elegant 340 Profilare Rectangulara SUPREM 50 0.5</t>
  </si>
  <si>
    <t>Click Elegant 550 Microprofilare SUPREM 50 0.5</t>
  </si>
  <si>
    <t>Click Elegant 550 Profilare Liniara SUPREM 50 0.5</t>
  </si>
  <si>
    <t>Click Elegant 550 Profilare Rectangulara SUPREM 50 0.5</t>
  </si>
  <si>
    <t>Click Elegant 340 Microprofilare NEOMAT 30 0.5</t>
  </si>
  <si>
    <t>Click Elegant 340 Profilare Liniara NEOMAT 30 0.5</t>
  </si>
  <si>
    <t>Click Elegant 340 Profilare Rectangulara NEOMAT 30 0.5</t>
  </si>
  <si>
    <t>Click Elegant 550 Microprofilare NEOMAT 30 0.5</t>
  </si>
  <si>
    <t>Click Elegant 550 Profilare Liniara NEOMAT 30 0.5</t>
  </si>
  <si>
    <t>Click Elegant 550 Profilare Rectangulara NEOMAT 30 0.5</t>
  </si>
  <si>
    <t>Click Elegant 550 Profilare Rectangulara</t>
  </si>
  <si>
    <t>Coama dreapta mare LUCIOS 0.45</t>
  </si>
  <si>
    <t>Racord calcan Click  LUCIOS 0.45</t>
  </si>
  <si>
    <t>Dolie LUCIOS 0.45</t>
  </si>
  <si>
    <t>Pazie  Click LUCIOS 0.45</t>
  </si>
  <si>
    <t>Racord Perete Click LUCIOS 0.45</t>
  </si>
  <si>
    <t>Semicoama  LUCIOS 0.45</t>
  </si>
  <si>
    <t>Sort  Click streasina LUCIOS 0.45</t>
  </si>
  <si>
    <t>Sort imbinare Click LUCIOS 0.45</t>
  </si>
  <si>
    <t>Piesa imbinare Click LUCIOS 0.45</t>
  </si>
  <si>
    <t>Rupere panta interior LUCIOS 0.45</t>
  </si>
  <si>
    <t>Rupere panta exerior Click LUCIOS 0.45</t>
  </si>
  <si>
    <t>Suport inchideri Click LUCIOS 0.45</t>
  </si>
  <si>
    <t>Profil ventilatie coama Click(Negru/Gri) LUCIOS 0.45</t>
  </si>
  <si>
    <t>Banda fonica Click LUCIOS 0.45</t>
  </si>
  <si>
    <t>Suport Parazapada Click  ( Negru/Gri ) LUCIOS 0.45</t>
  </si>
  <si>
    <t>Bara parazapada click 2m ( Negru/Gri ) LUCIOS 0.45</t>
  </si>
  <si>
    <t>Conector bara ( Negru/Gri ) LUCIOS 0.45</t>
  </si>
  <si>
    <t>Capac bara ( Negru/Gri ) LUCIOS 0.45</t>
  </si>
  <si>
    <t>Blocator bara LUCIOS 0.45</t>
  </si>
  <si>
    <t>Clema fixa inox 28 mm LUCIOS 0.45</t>
  </si>
  <si>
    <t>Clema mobila inox 28 mm LUCIOS 0.45</t>
  </si>
  <si>
    <t>Coama dreapta mare LUCIOS 0.5</t>
  </si>
  <si>
    <t>Racord calcan Click  LUCIOS 0.5</t>
  </si>
  <si>
    <t>Dolie LUCIOS 0.5</t>
  </si>
  <si>
    <t>Pazie  Click LUCIOS 0.5</t>
  </si>
  <si>
    <t>Racord Perete Click LUCIOS 0.5</t>
  </si>
  <si>
    <t>Semicoama  LUCIOS 0.5</t>
  </si>
  <si>
    <t>Sort  Click streasina LUCIOS 0.5</t>
  </si>
  <si>
    <t>Sort imbinare Click LUCIOS 0.5</t>
  </si>
  <si>
    <t>Piesa imbinare Click LUCIOS 0.5</t>
  </si>
  <si>
    <t>Rupere panta interior LUCIOS 0.5</t>
  </si>
  <si>
    <t>Rupere panta exerior Click LUCIOS 0.5</t>
  </si>
  <si>
    <t>Suport inchideri Click LUCIOS 0.5</t>
  </si>
  <si>
    <t>Profil ventilatie coama Click(Negru/Gri) LUCIOS 0.5</t>
  </si>
  <si>
    <t>Banda fonica Click LUCIOS 0.5</t>
  </si>
  <si>
    <t>Suport Parazapada Click  ( Negru/Gri ) LUCIOS 0.5</t>
  </si>
  <si>
    <t>Bara parazapada click 2m ( Negru/Gri ) LUCIOS 0.5</t>
  </si>
  <si>
    <t>Conector bara ( Negru/Gri ) LUCIOS 0.5</t>
  </si>
  <si>
    <t>Capac bara ( Negru/Gri ) LUCIOS 0.5</t>
  </si>
  <si>
    <t>Blocator bara LUCIOS 0.5</t>
  </si>
  <si>
    <t>Clema fixa inox 28 mm LUCIOS 0.5</t>
  </si>
  <si>
    <t>Clema mobila inox 28 mm LUCIOS 0.5</t>
  </si>
  <si>
    <t>Coama dreapta mare MAT 0.45</t>
  </si>
  <si>
    <t>Racord calcan Click  MAT 0.45</t>
  </si>
  <si>
    <t>Dolie MAT 0.45</t>
  </si>
  <si>
    <t>Pazie  Click MAT 0.45</t>
  </si>
  <si>
    <t>Racord Perete Click MAT 0.45</t>
  </si>
  <si>
    <t>Semicoama  MAT 0.45</t>
  </si>
  <si>
    <t>Sort  Click streasina MAT 0.45</t>
  </si>
  <si>
    <t>Sort imbinare Click MAT 0.45</t>
  </si>
  <si>
    <t>Piesa imbinare Click MAT 0.45</t>
  </si>
  <si>
    <t>Rupere panta interior MAT 0.45</t>
  </si>
  <si>
    <t>Rupere panta exerior Click MAT 0.45</t>
  </si>
  <si>
    <t>Suport inchideri Click MAT 0.45</t>
  </si>
  <si>
    <t>Profil ventilatie coama Click(Negru/Gri) MAT 0.45</t>
  </si>
  <si>
    <t>Banda fonica Click MAT 0.45</t>
  </si>
  <si>
    <t>Suport Parazapada Click  ( Negru/Gri ) MAT 0.45</t>
  </si>
  <si>
    <t>Bara parazapada click 2m ( Negru/Gri ) MAT 0.45</t>
  </si>
  <si>
    <t>Conector bara ( Negru/Gri ) MAT 0.45</t>
  </si>
  <si>
    <t>Capac bara ( Negru/Gri ) MAT 0.45</t>
  </si>
  <si>
    <t>Blocator bara MAT 0.45</t>
  </si>
  <si>
    <t>Clema fixa inox 28 mm MAT 0.45</t>
  </si>
  <si>
    <t>Clema mobila inox 28 mm MAT 0.45</t>
  </si>
  <si>
    <t>Coama dreapta mare MAT 0.5</t>
  </si>
  <si>
    <t>Racord calcan Click  MAT 0.5</t>
  </si>
  <si>
    <t>Dolie MAT 0.5</t>
  </si>
  <si>
    <t>Pazie  Click MAT 0.5</t>
  </si>
  <si>
    <t>Racord Perete Click MAT 0.5</t>
  </si>
  <si>
    <t>Semicoama  MAT 0.5</t>
  </si>
  <si>
    <t>Sort  Click streasina MAT 0.5</t>
  </si>
  <si>
    <t>Sort imbinare Click MAT 0.5</t>
  </si>
  <si>
    <t>Piesa imbinare Click MAT 0.5</t>
  </si>
  <si>
    <t>Rupere panta interior MAT 0.5</t>
  </si>
  <si>
    <t>Rupere panta exerior Click MAT 0.5</t>
  </si>
  <si>
    <t>Suport inchideri Click MAT 0.5</t>
  </si>
  <si>
    <t>Profil ventilatie coama Click(Negru/Gri) MAT 0.5</t>
  </si>
  <si>
    <t>Banda fonica Click MAT 0.5</t>
  </si>
  <si>
    <t>Suport Parazapada Click  ( Negru/Gri ) MAT 0.5</t>
  </si>
  <si>
    <t>Bara parazapada click 2m ( Negru/Gri ) MAT 0.5</t>
  </si>
  <si>
    <t>Conector bara ( Negru/Gri ) MAT 0.5</t>
  </si>
  <si>
    <t>Capac bara ( Negru/Gri ) MAT 0.5</t>
  </si>
  <si>
    <t>Blocator bara MAT 0.5</t>
  </si>
  <si>
    <t>Clema fixa inox 28 mm MAT 0.5</t>
  </si>
  <si>
    <t>Clema mobila inox 28 mm MAT 0.5</t>
  </si>
  <si>
    <t>Coama dreapta mare SUPREM 50 0.5</t>
  </si>
  <si>
    <t>Racord calcan Click  SUPREM 50 0.5</t>
  </si>
  <si>
    <t>Dolie SUPREM 50 0.5</t>
  </si>
  <si>
    <t>Pazie  Click SUPREM 50 0.5</t>
  </si>
  <si>
    <t>Racord Perete Click SUPREM 50 0.5</t>
  </si>
  <si>
    <t>Semicoama  SUPREM 50 0.5</t>
  </si>
  <si>
    <t>Sort  Click streasina SUPREM 50 0.5</t>
  </si>
  <si>
    <t>Sort imbinare Click SUPREM 50 0.5</t>
  </si>
  <si>
    <t>Piesa imbinare Click SUPREM 50 0.5</t>
  </si>
  <si>
    <t>Rupere panta interior SUPREM 50 0.5</t>
  </si>
  <si>
    <t>Rupere panta exerior Click SUPREM 50 0.5</t>
  </si>
  <si>
    <t>Suport inchideri Click SUPREM 50 0.5</t>
  </si>
  <si>
    <t>Profil ventilatie coama Click(Negru/Gri) SUPREM 50 0.5</t>
  </si>
  <si>
    <t>Banda fonica Click SUPREM 50 0.5</t>
  </si>
  <si>
    <t>Suport Parazapada Click  ( Negru/Gri ) SUPREM 50 0.5</t>
  </si>
  <si>
    <t>Bara parazapada click 2m ( Negru/Gri ) SUPREM 50 0.5</t>
  </si>
  <si>
    <t>Conector bara ( Negru/Gri ) SUPREM 50 0.5</t>
  </si>
  <si>
    <t>Capac bara ( Negru/Gri ) SUPREM 50 0.5</t>
  </si>
  <si>
    <t>Blocator bara SUPREM 50 0.5</t>
  </si>
  <si>
    <t>Clema fixa inox 28 mm SUPREM 50 0.5</t>
  </si>
  <si>
    <t>Clema mobila inox 28 mm SUPREM 50 0.5</t>
  </si>
  <si>
    <t>Coama dreapta mare NEOMAT 30 0.5</t>
  </si>
  <si>
    <t>Racord calcan Click  NEOMAT 30 0.5</t>
  </si>
  <si>
    <t>Dolie NEOMAT 30 0.5</t>
  </si>
  <si>
    <t>Pazie  Click NEOMAT 30 0.5</t>
  </si>
  <si>
    <t>Racord Perete Click NEOMAT 30 0.5</t>
  </si>
  <si>
    <t>Semicoama  NEOMAT 30 0.5</t>
  </si>
  <si>
    <t>Sort  Click streasina NEOMAT 30 0.5</t>
  </si>
  <si>
    <t>Sort imbinare Click NEOMAT 30 0.5</t>
  </si>
  <si>
    <t>Piesa imbinare Click NEOMAT 30 0.5</t>
  </si>
  <si>
    <t>Rupere panta interior NEOMAT 30 0.5</t>
  </si>
  <si>
    <t>Rupere panta exerior Click NEOMAT 30 0.5</t>
  </si>
  <si>
    <t>Suport inchideri Click NEOMAT 30 0.5</t>
  </si>
  <si>
    <t>Profil ventilatie coama Click(Negru/Gri) NEOMAT 30 0.5</t>
  </si>
  <si>
    <t>Banda fonica Click NEOMAT 30 0.5</t>
  </si>
  <si>
    <t>Suport Parazapada Click  ( Negru/Gri ) NEOMAT 30 0.5</t>
  </si>
  <si>
    <t>Bara parazapada click 2m ( Negru/Gri ) NEOMAT 30 0.5</t>
  </si>
  <si>
    <t>Conector bara ( Negru/Gri ) NEOMAT 30 0.5</t>
  </si>
  <si>
    <t>Capac bara ( Negru/Gri ) NEOMAT 30 0.5</t>
  </si>
  <si>
    <t>Blocator bara NEOMAT 30 0.5</t>
  </si>
  <si>
    <t>Clema fixa inox 28 mm NEOMAT 30 0.5</t>
  </si>
  <si>
    <t>Clema mobila inox 28 mm NEOMAT 30 0.5</t>
  </si>
  <si>
    <t>7016-NEOMAT</t>
  </si>
  <si>
    <t>Zincat 0.7</t>
  </si>
  <si>
    <t>W35 Acoperis Zincat 0.7</t>
  </si>
  <si>
    <t>W35 Perete Zincat 0.7</t>
  </si>
  <si>
    <t>W60 Acoperis Zincat 0.7</t>
  </si>
  <si>
    <t>W60 Perete Zincat 0.7</t>
  </si>
  <si>
    <t>MINIRULOURI Zincat 0.7</t>
  </si>
  <si>
    <t>Z 0.7</t>
  </si>
  <si>
    <t>Z 0.75</t>
  </si>
  <si>
    <t>euro/ml:</t>
  </si>
  <si>
    <t>Dimenisuni admise minim 800mm Click , 400mm Click Elegant</t>
  </si>
  <si>
    <t>Surub 4.8*19 CF 3mm Zn</t>
  </si>
  <si>
    <t>Screw 4.8*19 CF 3mm Zn</t>
  </si>
  <si>
    <t>Винт  4.8*19 CF 3 мм. Zn</t>
  </si>
  <si>
    <t>4.8*19 CF 3mm HORG fém csavar</t>
  </si>
  <si>
    <t>4.8*19 CF3 RAL fém csavar</t>
  </si>
  <si>
    <t>Винт 4.8*19 CF3 RAL</t>
  </si>
  <si>
    <t>Screw 4.8*19 CF3 RAL</t>
  </si>
  <si>
    <t>Surub 4.8*19 CF3 RAL</t>
  </si>
  <si>
    <t>WOOD GOLDEN OAK</t>
  </si>
  <si>
    <t xml:space="preserve"> WOOD DARK WALNUT</t>
  </si>
  <si>
    <t>WOOD DARK WALNUT</t>
  </si>
  <si>
    <t>COMANDA MINIM 400mm</t>
  </si>
  <si>
    <t>MINIRULOURI Zincat 0.8</t>
  </si>
  <si>
    <t>MP Total :</t>
  </si>
  <si>
    <t>MP Utili(Apare pe factura):</t>
  </si>
  <si>
    <t>Membrana Acofort 100 gr/mp - 75 mp</t>
  </si>
  <si>
    <t>Membrana Acofort 115 gr/mp - 75 mp</t>
  </si>
  <si>
    <t>Membrana Acofort 135 gr/mp - 75 mp</t>
  </si>
  <si>
    <t>Banda etansare JIS 35 NEGATIV</t>
  </si>
  <si>
    <t>Banda etansare JIS 45 NEGATIV</t>
  </si>
  <si>
    <t>JIS35 Acoperis LUCIOS 0.7</t>
  </si>
  <si>
    <t>JIS35 Perete LUCIOS 0.7</t>
  </si>
  <si>
    <t>JIS45 Acoperis LUCIOS 0.7</t>
  </si>
  <si>
    <t>JIS45 Perete LUCIOS 0.7</t>
  </si>
  <si>
    <t>JIS45 Acoperis cu DRIPSTOP LUCIOS 0.7</t>
  </si>
  <si>
    <t xml:space="preserve">Faltz 535 DP </t>
  </si>
  <si>
    <t xml:space="preserve">Faltz 410 DP </t>
  </si>
  <si>
    <t xml:space="preserve">стойност </t>
  </si>
  <si>
    <t>TOTAL RON without VAT</t>
  </si>
  <si>
    <t>ОБЩО леи без ДДС</t>
  </si>
  <si>
    <t>ÖSSZESEN lej áfa nélkül</t>
  </si>
  <si>
    <t>ACCESORII TIGLA METALICA</t>
  </si>
  <si>
    <t>Metal tile accessories</t>
  </si>
  <si>
    <t>Аксесоари за метални керемиди</t>
  </si>
  <si>
    <t>Fémcserép kiegészítők</t>
  </si>
  <si>
    <t xml:space="preserve">Valoare </t>
  </si>
  <si>
    <t xml:space="preserve">value </t>
  </si>
  <si>
    <t xml:space="preserve">érték </t>
  </si>
  <si>
    <t xml:space="preserve"> euro fara tva </t>
  </si>
  <si>
    <t xml:space="preserve"> euro without VAT </t>
  </si>
  <si>
    <t xml:space="preserve"> евро без ДДС </t>
  </si>
  <si>
    <t xml:space="preserve"> euró áfa nélkül </t>
  </si>
  <si>
    <t xml:space="preserve">SISTEM PLUVIAL  </t>
  </si>
  <si>
    <t xml:space="preserve">Gutter system </t>
  </si>
  <si>
    <t xml:space="preserve">Улуци </t>
  </si>
  <si>
    <t xml:space="preserve">Ereszcsatorna rendszer </t>
  </si>
  <si>
    <t xml:space="preserve">INVELITORI PLANE  </t>
  </si>
  <si>
    <t xml:space="preserve">Flat roofing systems </t>
  </si>
  <si>
    <t xml:space="preserve">Покрития за плоски покриви </t>
  </si>
  <si>
    <t xml:space="preserve">Lapostető rendszerek </t>
  </si>
  <si>
    <t xml:space="preserve">Total MP </t>
  </si>
  <si>
    <t xml:space="preserve">Total SQM </t>
  </si>
  <si>
    <t xml:space="preserve">Общо Кв.м. </t>
  </si>
  <si>
    <t xml:space="preserve">Összesen (m2) </t>
  </si>
  <si>
    <t xml:space="preserve">ACCESORII INVELITORI PLANE </t>
  </si>
  <si>
    <t xml:space="preserve">Flat roof accessories </t>
  </si>
  <si>
    <t xml:space="preserve">Аксесоари за покрития на плоски покриви </t>
  </si>
  <si>
    <t xml:space="preserve">Lapostető kiegészítők </t>
  </si>
  <si>
    <t xml:space="preserve">TABLA CUTATA </t>
  </si>
  <si>
    <t xml:space="preserve">Corrugated metal sheet </t>
  </si>
  <si>
    <t xml:space="preserve">Гофрирана ламарина </t>
  </si>
  <si>
    <t xml:space="preserve">Hullámlemez </t>
  </si>
  <si>
    <t>Miscellaneous Materials</t>
  </si>
  <si>
    <t>Разнообразни материали</t>
  </si>
  <si>
    <t>Különféle anyagok</t>
  </si>
  <si>
    <t>Tools</t>
  </si>
  <si>
    <t>Инструменти</t>
  </si>
  <si>
    <t>Szerszámok</t>
  </si>
  <si>
    <t>Thin Corrugated/Flat Sheet</t>
  </si>
  <si>
    <t>Тънка профилирана/плоска ламарина</t>
  </si>
  <si>
    <t>Vékony hullámos/lapos lemez</t>
  </si>
  <si>
    <t>Metal Fence Panel</t>
  </si>
  <si>
    <t>Метална оградна панел</t>
  </si>
  <si>
    <t>Fém kerítéselem</t>
  </si>
  <si>
    <t>Discount</t>
  </si>
  <si>
    <t>Отстъпка</t>
  </si>
  <si>
    <t>Kedvezmény</t>
  </si>
  <si>
    <t>Transport Fee</t>
  </si>
  <si>
    <t>Такса за транспорт</t>
  </si>
  <si>
    <t>Szállítási díj</t>
  </si>
  <si>
    <t>TOTAL RON with VAT</t>
  </si>
  <si>
    <t>ОБЩО лева с ДДС</t>
  </si>
  <si>
    <t>ÖSSZESEN lej ÁFÁ-val</t>
  </si>
  <si>
    <t>Minimum allowed dimensions: 800mm Click, 400mm Click Elegant</t>
  </si>
  <si>
    <t>Минимално допустими размери: 800 мм Click, 400 мм Click Elegant</t>
  </si>
  <si>
    <t>Megengedett minimális méretek: 800 mm Click, 400 mm Click Elegant</t>
  </si>
  <si>
    <t>Minimum allowed dimensions 400mm</t>
  </si>
  <si>
    <t xml:space="preserve">Dimenisuni admise minim 400mm  </t>
  </si>
  <si>
    <t>Минимално допустими размери 400 мм</t>
  </si>
  <si>
    <t>Megengedett minimális méretek 400 mm</t>
  </si>
  <si>
    <t>Anti-condensation membrane WETTERBEST 115 g/m² - 75 m²</t>
  </si>
  <si>
    <t>Антикондензационна мембрана WETTERBEST 115 г/м² - 75 м²</t>
  </si>
  <si>
    <t>WETTERBEST páralecsapódás elleni membrán 115 g/m² - 75 m²</t>
  </si>
  <si>
    <t>Anti-condensation membrane WETTERBEST 135 g/m² - 75 m²</t>
  </si>
  <si>
    <t>Антикондензационна мембрана WETTERBEST 135 г/м² - 75 м²</t>
  </si>
  <si>
    <t>WETTERBEST páralecsapódás elleni membrán 135 g/m² - 75 m²</t>
  </si>
  <si>
    <t>Anti-condensation membrane WETTERBEST 150 g/m² - 75 m²</t>
  </si>
  <si>
    <t>Антикондензационна мембрана WETTERBEST 150 г/м² - 75 м²</t>
  </si>
  <si>
    <t>WETTERBEST páralecsapódás elleni membrán 150 g/m² - 75 m²</t>
  </si>
  <si>
    <t>Anti-condensation membrane WETTERBEST 180 g/m² - 75 m²</t>
  </si>
  <si>
    <t>Антикондензационна мембрана WETTERBEST 180 г/м² - 75 м²</t>
  </si>
  <si>
    <t>WETTERBEST páralecsapódás elleni membrán 180 g/m² - 75 m²</t>
  </si>
  <si>
    <t>Membrane Acofort 100 g/m² - 75 m²</t>
  </si>
  <si>
    <t>Мембрана Acofort 100 г/м² - 75 м²</t>
  </si>
  <si>
    <t>Acofort membrán 100 g/m² - 75 m²</t>
  </si>
  <si>
    <t>Membrane Acofort 115 g/m² - 75 m²</t>
  </si>
  <si>
    <t>Мембрана Acofort 115 г/м² - 75 м²</t>
  </si>
  <si>
    <t>Acofort membrán 115 g/m² - 75 m²</t>
  </si>
  <si>
    <t>Membrane Acofort 135 g/m² - 75 m²</t>
  </si>
  <si>
    <t>Мембрана Acofort 135 г/м² - 75 м²</t>
  </si>
  <si>
    <t>Acofort membrán 135 g/m² - 75 m²</t>
  </si>
  <si>
    <t>Anti-condensation membrane ACOVENT 90 g/m² - 80 m²</t>
  </si>
  <si>
    <t>Антикондензационна мембрана ACOVENT 90 г/м² - 80 м²</t>
  </si>
  <si>
    <t>ACOVENT páralecsapódás elleni membrán 90 g/m² - 80 m²</t>
  </si>
  <si>
    <t>Anti-condensation membrane DACHOVA 115 g/m² - 80 m²</t>
  </si>
  <si>
    <t>Антикондензационна мембрана DACHOVA 115 г/м² - 80 м²</t>
  </si>
  <si>
    <t>DACHOVA páralecsapódás elleni membrán 115 g/m² - 80 m²</t>
  </si>
  <si>
    <t>Anti-condensation membrane ACOVENT 135 g/m² - 80 m²</t>
  </si>
  <si>
    <t>Антикондензационна мембрана ACOVENT 135 г/м² - 80 м²</t>
  </si>
  <si>
    <t>ACOVENT páralecsapódás elleni membrán 135 g/m² - 80 m²</t>
  </si>
  <si>
    <t>Anti-condensation membrane DACHOVA 150 g/m² - 80 m²</t>
  </si>
  <si>
    <t>Антикондензационна мембрана DACHOVA 150 г/м² - 80 м²</t>
  </si>
  <si>
    <t>DACHOVA páralecsapódás elleni membrán 150 g/m² - 80 m²</t>
  </si>
  <si>
    <t>Anti-condensation membrane EKRAN 185 g/m² - 80 m²</t>
  </si>
  <si>
    <t>Антикондензационна мембрана EKRAN 185 г/м² - 80 м²</t>
  </si>
  <si>
    <t>EKRAN páralecsapódás elleni membrán 185 g/m² - 80 m²</t>
  </si>
  <si>
    <t>METALLIC membrane for standing seam roofing 450 g/m² 1.5 x 25 - 37.5 m²</t>
  </si>
  <si>
    <t>МЕТАЛИЧНА мембрана за покрив с фалц 450 г/м² 1,5 х 25 - 37,5 м²</t>
  </si>
  <si>
    <t>Fémlemezhez METALLIC membrán állókorcolt tetőhöz 450 g/m² 1,5 x 25 - 37,5 m²</t>
  </si>
  <si>
    <t>Aluband 100 - 10,000 mm</t>
  </si>
  <si>
    <t>Алубанд 100 - 10 000 мм</t>
  </si>
  <si>
    <t>Aluband 100 - 10 000 mm</t>
  </si>
  <si>
    <t>Aluband 150 - 10,000 mm</t>
  </si>
  <si>
    <t>Алубанд 150 - 10 000 мм</t>
  </si>
  <si>
    <t>Aluband 150 - 10 000 mm</t>
  </si>
  <si>
    <t>Aluband 300 - 10,000 mm</t>
  </si>
  <si>
    <t>Алубанд 300 - 10 000 мм</t>
  </si>
  <si>
    <t>Aluband 300 - 10 000 mm</t>
  </si>
  <si>
    <t>Self-adhesive protection roll under ridges IZOVENT - 0.31 x 5 m</t>
  </si>
  <si>
    <t>Самозалепващо защитно ролка под ребрата IZOVENT - 0,31 х 5 м</t>
  </si>
  <si>
    <t>Öntapadó védőszalag gerincek alá IZOVENT - 0,31 x 5 m</t>
  </si>
  <si>
    <t>Self-adhesive protection roll under ridges IZOVENT - 0.24 x 5 m</t>
  </si>
  <si>
    <t>Самозалепващо защитно ролка под ребрата IZOVENT - 0,24 х 5 м</t>
  </si>
  <si>
    <t>Öntapadó védőszalag gerincek alá IZOVENT - 0,24 x 5 m</t>
  </si>
  <si>
    <t>IZOBUTYL adhesive tape (for CLICK) - 15 mm x 60 m</t>
  </si>
  <si>
    <t>Залепваща лента IZOBUTYL (за CLICK) - 15 мм х 60 м</t>
  </si>
  <si>
    <t>IZOBUTYL ragasztószalag (CLICK-hez) - 15 mm x 60 m</t>
  </si>
  <si>
    <t>EXPANDABLE INSULATING TAPE 30x8/4.3 m</t>
  </si>
  <si>
    <t>РАЗТЕГАЕМА ИЗОЛАЦИОННА ЛЕНТА 30x8/4,3 м</t>
  </si>
  <si>
    <t>Táguló szigetelő szalag 30x8/4,3 m</t>
  </si>
  <si>
    <t>Wtb Imperator sealing tape (ridge), length 1100 mm</t>
  </si>
  <si>
    <t>Уплътнителна лента Wtb Imperator (ребро), дължина 1100 мм</t>
  </si>
  <si>
    <t>Wtb Imperator tömítőszalag (gerinc), hossz 1100 mm</t>
  </si>
  <si>
    <t>Universal self-adhesive tape (valley), length 1000 mm</t>
  </si>
  <si>
    <t>Универсална самозалепваща лента (долина), дължина 1000 мм</t>
  </si>
  <si>
    <t>Univerzális öntapadó szalag (völgy), hossz 1000 mm</t>
  </si>
  <si>
    <t>Wtb Classic ETM sealing tape (ridge), length 1100 mm</t>
  </si>
  <si>
    <t>Уплътнителна лента Wtb Classic ETM (ребро), дължина 1100 мм</t>
  </si>
  <si>
    <t>Wtb Classic ETM tömítőszalag (gerinc), hossz 1100 mm</t>
  </si>
  <si>
    <t>Wtb Gladiator/Plus ETM sealing tape (ridge), length 1100 mm</t>
  </si>
  <si>
    <t>Уплътнителна лента Wtb Gladiator/Plus ETM (ребро), дължина 1100 мм</t>
  </si>
  <si>
    <t>Wtb Gladiator/Plus ETM tömítőszalag (gerinc), hossz 1100 mm</t>
  </si>
  <si>
    <t>Wtb Cardinal sealing tape (ridge), length 1100 mm</t>
  </si>
  <si>
    <t>Уплътнителна лента Wtb Cardinal (ребро), дължина 1100 мм</t>
  </si>
  <si>
    <t>Wtb Cardinal tömítőszalag (gerinc), hossz 1100 mm</t>
  </si>
  <si>
    <t>Wtb Colosseum ETM sealing tape (ridge), length 1100 mm</t>
  </si>
  <si>
    <t>Уплътнителна лента Wtb Colosseum ETM (ребро), дължина 1100 мм</t>
  </si>
  <si>
    <t>Wtb Colosseum ETM tömítőszalag (gerinc), hossz 1100 mm</t>
  </si>
  <si>
    <t>Sealing tape W18</t>
  </si>
  <si>
    <t>Уплътнителна лента W18</t>
  </si>
  <si>
    <t>W18 tömítőszalag</t>
  </si>
  <si>
    <t>Sealing tape W35</t>
  </si>
  <si>
    <t>Уплътнителна лента W35</t>
  </si>
  <si>
    <t>W35 tömítőszalag</t>
  </si>
  <si>
    <t>Sealing tape W60 Ridge</t>
  </si>
  <si>
    <t>Уплътнителна лента W60 Ребро</t>
  </si>
  <si>
    <t>W60 gerinc tömítőszalag</t>
  </si>
  <si>
    <t>Plastic anti-bird comb 1000 x 60 mm</t>
  </si>
  <si>
    <t>Пластмасова гребен против птици 1000x60 мм</t>
  </si>
  <si>
    <t>Műanyag madárvédő fésű 1000x60 mm</t>
  </si>
  <si>
    <t>Wetterbest sealing silicone</t>
  </si>
  <si>
    <t>Силикон за уплътняване Wetterbest</t>
  </si>
  <si>
    <t>Wetterbest tömítő szilikon</t>
  </si>
  <si>
    <t>Wetterbest sealing mastic</t>
  </si>
  <si>
    <t>Мастик за уплътняване Wetterbest</t>
  </si>
  <si>
    <t>Wetterbest tömítő paszta</t>
  </si>
  <si>
    <t>Blue silicone gun</t>
  </si>
  <si>
    <t>Пистолет за силикон син</t>
  </si>
  <si>
    <t>Kék szilikon pisztoly</t>
  </si>
  <si>
    <t>Yellow silicone gun</t>
  </si>
  <si>
    <t>Пистолет за силикон жълт</t>
  </si>
  <si>
    <t>Sárga szilikon pisztoly</t>
  </si>
  <si>
    <t>Black silicone gun</t>
  </si>
  <si>
    <t>Пистолет за силикон черен</t>
  </si>
  <si>
    <t>Fekete szilikon pisztoly</t>
  </si>
  <si>
    <t>Touch-up paint + brush 20 ml</t>
  </si>
  <si>
    <t>Боя за ретуш + четка 20 мл</t>
  </si>
  <si>
    <t>Retusáló festék + ecset 20 ml</t>
  </si>
  <si>
    <t>**Ventilatie Acoperis CLASIC RAL 7024, 8017 si 9005 ( alte RAL-uri comanda )</t>
  </si>
  <si>
    <t>Roof ventilation CLASSIC RAL 7024, 8017 and 9005 (other RAL colors on request)</t>
  </si>
  <si>
    <t>Вентилация за покрив КЛАСИК RAL 7024, 8017 и 9005 (други RAL по поръчка)</t>
  </si>
  <si>
    <t>Tető szellőzés KLASSZIK RAL 7024, 8017 és 9005 (egyéb RAL színek rendelésre)</t>
  </si>
  <si>
    <t>**Ventilatie Invelitori plate RAL 7024 si 9005 ( alte RAL-uri comanda )</t>
  </si>
  <si>
    <t>Flat roofing ventilation RAL 7024 and 9005 (other RAL colors on request)</t>
  </si>
  <si>
    <t>Вентилация за плоски покриви RAL 7024 и 9005 (други RAL по поръчка)</t>
  </si>
  <si>
    <t>Lapos tető szellőzés RAL 7024 és 9005 (egyéb RAL színek rendelésre)</t>
  </si>
  <si>
    <t>Roof ventilation COLOSSEUM</t>
  </si>
  <si>
    <t>Вентилация за покрив COLOSSEUM</t>
  </si>
  <si>
    <t>Tető szellőzés COLOSSEUM</t>
  </si>
  <si>
    <t>Roof ventilation GLADIATOR</t>
  </si>
  <si>
    <t>Вентилация за покрив GLADIATOR</t>
  </si>
  <si>
    <t>Tető szellőzés GLADIATOR</t>
  </si>
  <si>
    <t>Roof ventilation PLUS</t>
  </si>
  <si>
    <t>Вентилация за покрив PLUS</t>
  </si>
  <si>
    <t>Tető szellőzés PLUS</t>
  </si>
  <si>
    <t>Roof ventilation CARDINAL</t>
  </si>
  <si>
    <t>Вентилация за покрив CARDINAL</t>
  </si>
  <si>
    <t>Tető szellőzés CARDINAL</t>
  </si>
  <si>
    <t>Flexible ventilation connector</t>
  </si>
  <si>
    <t>Гъвкав въздуховод за вентилация</t>
  </si>
  <si>
    <t>Rugalmas szellőző csatlakozó</t>
  </si>
  <si>
    <t>Sealing sleeve MF 1 (6-60 mm)</t>
  </si>
  <si>
    <t>Уплътнителна втулка MF 1 (6-60 мм)</t>
  </si>
  <si>
    <t>MF 1 tömítő hüvely (6-60 mm)</t>
  </si>
  <si>
    <t>Sealing sleeve MF 2 (32-82 mm)</t>
  </si>
  <si>
    <t>Уплътнителна втулка MF 2 (32-82 мм)</t>
  </si>
  <si>
    <t>MF 2 tömítő hüvely (32-82 mm)</t>
  </si>
  <si>
    <t>Sealing sleeve MF 3 (6-110 mm)</t>
  </si>
  <si>
    <t>Уплътнителна втулка MF 3 (6-110 мм)</t>
  </si>
  <si>
    <t>MF 3 tömítő hüvely (6-110 mm)</t>
  </si>
  <si>
    <t>Sealing sleeve MF 4 (75-150 mm)</t>
  </si>
  <si>
    <t>Уплътнителна втулка MF 4 (75-150 мм)</t>
  </si>
  <si>
    <t>MF 4 tömítő hüvely (75-150 mm)</t>
  </si>
  <si>
    <t>Sealing sleeve MF 5 (102-175 mm)</t>
  </si>
  <si>
    <t>Уплътнителна втулка MF 5 (102-175 мм)</t>
  </si>
  <si>
    <t>MF 5 tömítő hüvely (102-175 mm)</t>
  </si>
  <si>
    <t>Sealing sleeve MF 6 (125-230 mm)</t>
  </si>
  <si>
    <t>Уплътнителна втулка MF 6 (125-230 мм)</t>
  </si>
  <si>
    <t>MF 6 tömítő hüvely (125-230 mm)</t>
  </si>
  <si>
    <t>Sealing sleeve MF 8 (175-330 mm)</t>
  </si>
  <si>
    <t>Уплътнителна втулка MF 8 (175-330 мм)</t>
  </si>
  <si>
    <t>MF 8 tömítő hüvely (175-330 mm)</t>
  </si>
  <si>
    <t>Sealing sleeve MF 9 (240-475 mm)</t>
  </si>
  <si>
    <t>Уплътнителна втулка MF 9 (240-475 мм)</t>
  </si>
  <si>
    <t>MF 9 tömítő hüvely (240-475 mm)</t>
  </si>
  <si>
    <t>JIS 35 NEGATIVE sealing tape</t>
  </si>
  <si>
    <t>Уплътнителна лента JIS 35 NEGATIVE</t>
  </si>
  <si>
    <t>JIS 35 NEGATÍV tömítőszalag</t>
  </si>
  <si>
    <t>JIS 45 NEGATIVE sealing tape</t>
  </si>
  <si>
    <t>Уплътнителна лента JIS 45 NEGATIVE</t>
  </si>
  <si>
    <t>JIS 45 NEGATÍV tömítőszalag</t>
  </si>
  <si>
    <t>Special ridge border BSC</t>
  </si>
  <si>
    <t>Large straight ridge CDMA</t>
  </si>
  <si>
    <t>Small straight ridge CDMI</t>
  </si>
  <si>
    <t>Small round ridge CR</t>
  </si>
  <si>
    <t>Large round ridge CRMA</t>
  </si>
  <si>
    <t>Gable collector CF</t>
  </si>
  <si>
    <t>Gable connection</t>
  </si>
  <si>
    <t>Valley DO</t>
  </si>
  <si>
    <t>Fascia type 1 PAZ 1</t>
  </si>
  <si>
    <t>Eaves fascia PAZS</t>
  </si>
  <si>
    <t>Reinforced snow guard PRZS</t>
  </si>
  <si>
    <t>Interior slope break</t>
  </si>
  <si>
    <t>Vertical wall break strip SRV</t>
  </si>
  <si>
    <t>Eaves break strip SO</t>
  </si>
  <si>
    <t>Специален бордюр за щипка BSC</t>
  </si>
  <si>
    <t>Голям прав гребен CDMA</t>
  </si>
  <si>
    <t>Малък прав гребен CDMI</t>
  </si>
  <si>
    <t>Малък кръгъл гребен CR</t>
  </si>
  <si>
    <t>Голям кръгъл гребен CRMA</t>
  </si>
  <si>
    <t>Колектор за фронтон CF</t>
  </si>
  <si>
    <t>Връзка за щипка</t>
  </si>
  <si>
    <t>Долина DO</t>
  </si>
  <si>
    <t>Лента тип 1 PAZ 1</t>
  </si>
  <si>
    <t>Лента за стряха PAZS</t>
  </si>
  <si>
    <t>Подсилен снежен предпазител PRZS</t>
  </si>
  <si>
    <t>Вътрешно прекъсване на наклона</t>
  </si>
  <si>
    <t>Лента за прекъсване на вертикална стена SRV</t>
  </si>
  <si>
    <t>Лента за прекъсване на стряха SO</t>
  </si>
  <si>
    <t>Speciális gerinc szegély BSC</t>
  </si>
  <si>
    <t>Nagy egyenes gerinc CDMA</t>
  </si>
  <si>
    <t>Kicsi egyenes gerinc CDMI</t>
  </si>
  <si>
    <t>Kicsi kerek gerinc CR</t>
  </si>
  <si>
    <t>Nagy kerek gerinc CRMA</t>
  </si>
  <si>
    <t>Orsógyűjtő CF</t>
  </si>
  <si>
    <t>Orsó csatlakozás</t>
  </si>
  <si>
    <t>Völgy DO</t>
  </si>
  <si>
    <t>Él típus 1 PAZ 1</t>
  </si>
  <si>
    <t>Eresz él PAZS</t>
  </si>
  <si>
    <t>Megerősített hófogó PRZS</t>
  </si>
  <si>
    <t>Belső lejtőtörés</t>
  </si>
  <si>
    <t>Függőleges fal törő szegély SRV</t>
  </si>
  <si>
    <t>Eresz törő szegély SO</t>
  </si>
  <si>
    <t>Specială bordură calcan BSC</t>
  </si>
  <si>
    <t>Coamă dreaptă mare CDMA</t>
  </si>
  <si>
    <t>Coamă dreaptă mică CDMI</t>
  </si>
  <si>
    <t>Coamă rotundă mică CR</t>
  </si>
  <si>
    <t>Coamă rotundă mare CRMA</t>
  </si>
  <si>
    <t>Pazie streașină PAZS</t>
  </si>
  <si>
    <t>Parazăpadă ranforsată PRZS</t>
  </si>
  <si>
    <t>Rupere pantă interior</t>
  </si>
  <si>
    <t>Șort rupere perete vertical SRV</t>
  </si>
  <si>
    <t>Șort streașină SO</t>
  </si>
  <si>
    <t>Tabla plană PANORAMA 1240*2000</t>
  </si>
  <si>
    <t>Bordură specială calcan PANORAMA</t>
  </si>
  <si>
    <t>Coamă dreaptă mare PANORAMA</t>
  </si>
  <si>
    <t>Coamă dreaptă mică PANORAMA</t>
  </si>
  <si>
    <t>Coamă rotundă mică PANORAMA</t>
  </si>
  <si>
    <t>Coamă modulară PANORAMA 0,385mm</t>
  </si>
  <si>
    <t>Coamă rotundă mare PANORAMA</t>
  </si>
  <si>
    <t>Capac coamă PANORAMA</t>
  </si>
  <si>
    <t>Colector fronton PANORAMA</t>
  </si>
  <si>
    <t>Opritor zăpadă PANORAMA</t>
  </si>
  <si>
    <t>Pazie modulară stânga PANORAMA</t>
  </si>
  <si>
    <t>Pazie modulară dreapta PANORAMA</t>
  </si>
  <si>
    <t>Pazie streașină PANORAMA</t>
  </si>
  <si>
    <t>Parazăpadă ranforsată PANORAMA</t>
  </si>
  <si>
    <t>Șort rupere SRA PANORAMA</t>
  </si>
  <si>
    <t>Șort rupere vertical SRV PANORAMA</t>
  </si>
  <si>
    <t>Șort streașină PANORAMA</t>
  </si>
  <si>
    <t>Set coș fum PANORAMA</t>
  </si>
  <si>
    <t>Flat sheet PANORAMA 1240*2000</t>
  </si>
  <si>
    <t>Special gable border PANORAMA</t>
  </si>
  <si>
    <t>Large straight ridge PANORAMA</t>
  </si>
  <si>
    <t>Small straight ridge PANORAMA</t>
  </si>
  <si>
    <t>Small round ridge PANORAMA</t>
  </si>
  <si>
    <t>Modular ridge PANORAMA 0.385mm</t>
  </si>
  <si>
    <t>Large round ridge PANORAMA</t>
  </si>
  <si>
    <t>Ridge cap PANORAMA</t>
  </si>
  <si>
    <t>Gable collector PANORAMA</t>
  </si>
  <si>
    <t>Gable connection PANORAMA</t>
  </si>
  <si>
    <t>Valley PANORAMA</t>
  </si>
  <si>
    <t>Snow stop PANORAMA</t>
  </si>
  <si>
    <t>Fascia type 1 PANORAMA</t>
  </si>
  <si>
    <t>Modular fascia left PANORAMA</t>
  </si>
  <si>
    <t>Modular fascia right PANORAMA</t>
  </si>
  <si>
    <t>Eaves fascia PANORAMA</t>
  </si>
  <si>
    <t>Reinforced snow guard PANORAMA</t>
  </si>
  <si>
    <t>Break strip SRA PANORAMA</t>
  </si>
  <si>
    <t>Vertical break strip SRV PANORAMA</t>
  </si>
  <si>
    <t>Eaves break strip PANORAMA</t>
  </si>
  <si>
    <t>Chimney set PANORAMA</t>
  </si>
  <si>
    <t>Плосък лист PANORAMA 1240*2000</t>
  </si>
  <si>
    <t>Специален бордюр за щипка PANORAMA</t>
  </si>
  <si>
    <t>Голям прав гребен PANORAMA</t>
  </si>
  <si>
    <t>Малък прав гребен PANORAMA</t>
  </si>
  <si>
    <t>Малък кръгъл гребен PANORAMA</t>
  </si>
  <si>
    <t>Модулен гребен PANORAMA 0,385 мм</t>
  </si>
  <si>
    <t>Голям кръгъл гребен PANORAMA</t>
  </si>
  <si>
    <t>Капак за гребен PANORAMA</t>
  </si>
  <si>
    <t>Колектор за фронтон PANORAMA</t>
  </si>
  <si>
    <t>Връзка за щипка PANORAMA</t>
  </si>
  <si>
    <t>Долина PANORAMA</t>
  </si>
  <si>
    <t>Стопер за сняг PANORAMA</t>
  </si>
  <si>
    <t>Лента тип 1 PANORAMA</t>
  </si>
  <si>
    <t>Модулна лента лява PANORAMA</t>
  </si>
  <si>
    <t>Модулна лента дясна PANORAMA</t>
  </si>
  <si>
    <t>Лента за стряха PANORAMA</t>
  </si>
  <si>
    <t>Подсилен снежен предпазител PANORAMA</t>
  </si>
  <si>
    <t>Лента за прекъсване SRA PANORAMA</t>
  </si>
  <si>
    <t>Вертикална лента за прекъсване SRV PANORAMA</t>
  </si>
  <si>
    <t>Лента за прекъсване на стряха PANORAMA</t>
  </si>
  <si>
    <t>Комплект за комин PANORAMA</t>
  </si>
  <si>
    <t>Lapos lemez PANORAMA 1240*2000</t>
  </si>
  <si>
    <t>Speciális orom szegély PANORAMA</t>
  </si>
  <si>
    <t>Nagy egyenes gerinc PANORAMA</t>
  </si>
  <si>
    <t>Kicsi egyenes gerinc PANORAMA</t>
  </si>
  <si>
    <t>Kicsi kerek gerinc PANORAMA</t>
  </si>
  <si>
    <t>Moduláris gerinc PANORAMA 0,385 mm</t>
  </si>
  <si>
    <t>Nagy kerek gerinc PANORAMA</t>
  </si>
  <si>
    <t>Gerinc fedél PANORAMA</t>
  </si>
  <si>
    <t>Oromgyűjtő PANORAMA</t>
  </si>
  <si>
    <t>Orom csatlakozás PANORAMA</t>
  </si>
  <si>
    <t>Völgy PANORAMA</t>
  </si>
  <si>
    <t>Hófogó PANORAMA</t>
  </si>
  <si>
    <t>Él típus 1 PANORAMA</t>
  </si>
  <si>
    <t>Moduláris él bal PANORAMA</t>
  </si>
  <si>
    <t>Moduláris él jobb PANORAMA</t>
  </si>
  <si>
    <t>Eresz él PANORAMA</t>
  </si>
  <si>
    <t>Megerősített hófogó PANORAMA</t>
  </si>
  <si>
    <t>Törő szegély SRA PANORAMA</t>
  </si>
  <si>
    <t>Függőleges törő szegély SRV PANORAMA</t>
  </si>
  <si>
    <t>Eresz törő szegély PANORAMA</t>
  </si>
  <si>
    <t>Kémény szett PANORAMA</t>
  </si>
  <si>
    <t>Modul PANORAMA 1195*740mm (bucăți)</t>
  </si>
  <si>
    <t>Module PANORAMA 1195*740mm (pieces)</t>
  </si>
  <si>
    <t>Модул PANORAMA 1195*740мм (брой)</t>
  </si>
  <si>
    <t>Modul PANORAMA 1195*740mm (darab)</t>
  </si>
  <si>
    <t>Șurub cap torx 4,8x20 RAL 250 buc/cutie RAL:</t>
  </si>
  <si>
    <t>Șurub cap torx 4,8x35 RAL 250 buc/cutie RAL:</t>
  </si>
  <si>
    <t>B. Specială Pan. Lățime x 2000</t>
  </si>
  <si>
    <t>Torx head screw 4.8x20 RAL 250 pcs/box RAL:</t>
  </si>
  <si>
    <t>Torx head screw 4.8x35 RAL 250 pcs/box RAL:</t>
  </si>
  <si>
    <t>Special B. Panel Width x 2000</t>
  </si>
  <si>
    <t>Винт с торкс глава 4,8x20 RAL 250 бр./кутия RAL:</t>
  </si>
  <si>
    <t>Винт с торкс глава 4,8x35 RAL 250 бр./кутия RAL:</t>
  </si>
  <si>
    <t>Специална B. Панел Ширина x 2000</t>
  </si>
  <si>
    <t>Torx fejű csavar 4,8x20 RAL 250 db/doboz RAL:</t>
  </si>
  <si>
    <t>Torx fejű csavar 4,8x35 RAL 250 db/doboz RAL:</t>
  </si>
  <si>
    <t>Speciális B. Panel Szélesség x 2000</t>
  </si>
  <si>
    <t>WOOD GOLDEN OAK SP</t>
  </si>
  <si>
    <t>IMITATIE Lemn GOLDEN OAK DP</t>
  </si>
  <si>
    <t>WOOD DARK WAL SP</t>
  </si>
  <si>
    <t>SAGEAC STOC WOOD GOLDEN OAK SP</t>
  </si>
  <si>
    <t>SAGEAC STOC WOOD DARK WAL SP</t>
  </si>
  <si>
    <t>Colorat 125/88</t>
  </si>
  <si>
    <t>Colorat 150/97</t>
  </si>
  <si>
    <t>Mat 125/88</t>
  </si>
  <si>
    <t>Mat 150/97</t>
  </si>
  <si>
    <t>Aluzinc 125/88</t>
  </si>
  <si>
    <t>Aluzinc 150/97</t>
  </si>
  <si>
    <t>Culori speciale 125/88</t>
  </si>
  <si>
    <t>Culori speciale 150/97</t>
  </si>
  <si>
    <t>Carlig,  210 mm Colorat 125/88</t>
  </si>
  <si>
    <t>Carlig,  RASUCIT 210 mm Colorat 125/88</t>
  </si>
  <si>
    <t xml:space="preserve">  Colorat 125/88</t>
  </si>
  <si>
    <t>Carlig,  160 mm Colorat 125/88</t>
  </si>
  <si>
    <t>Carlig aplicat Colorat 125/88</t>
  </si>
  <si>
    <t>Jgheab 4 metri Colorat 125/88</t>
  </si>
  <si>
    <t>Jgheab 2 metri Colorat 125/88</t>
  </si>
  <si>
    <t>Coltar jgheab interior Colorat 125/88</t>
  </si>
  <si>
    <t>Coltar jgheab exterior Colorat 125/88</t>
  </si>
  <si>
    <t>Bratara jgheab Colorat 125/88</t>
  </si>
  <si>
    <t>Capac jgheab Colorat 125/88</t>
  </si>
  <si>
    <t>Contracarlig Colorat 125/88</t>
  </si>
  <si>
    <t>Racord jgheab-burlan Colorat 125/88</t>
  </si>
  <si>
    <t>Cot burlan Colorat 125/88</t>
  </si>
  <si>
    <t>Prelungire burlan 0.9m Colorat 125/88</t>
  </si>
  <si>
    <t>Burlan 3 metri Colorat 125/88</t>
  </si>
  <si>
    <t>Colier burlan Colorat 125/88</t>
  </si>
  <si>
    <t>Ramificatie burlan Y Colorat 125/88</t>
  </si>
  <si>
    <t>Evacuare Colorat 125/88</t>
  </si>
  <si>
    <t>Palnie colectoare Colorat 125/88</t>
  </si>
  <si>
    <t>Carlig,  210 mm Colorat 150/97</t>
  </si>
  <si>
    <t>Carlig,  RASUCIT 210 mm Colorat 150/97</t>
  </si>
  <si>
    <t xml:space="preserve">  Colorat 150/97</t>
  </si>
  <si>
    <t>Carlig aplicat Colorat 150/97</t>
  </si>
  <si>
    <t>Jgheab 4 metri Colorat 150/97</t>
  </si>
  <si>
    <t>Jgheab 2 metri Colorat 150/97</t>
  </si>
  <si>
    <t>Coltar jgheab interior Colorat 150/97</t>
  </si>
  <si>
    <t>Coltar jgheab exterior Colorat 150/97</t>
  </si>
  <si>
    <t>Bratara jgheab Colorat 150/97</t>
  </si>
  <si>
    <t>Capac jgheab Colorat 150/97</t>
  </si>
  <si>
    <t>Contracarlig Colorat 150/97</t>
  </si>
  <si>
    <t>Racord jgheab-burlan Colorat 150/97</t>
  </si>
  <si>
    <t>Cot burlan Colorat 150/97</t>
  </si>
  <si>
    <t>Prelungire burlan 0.9m Colorat 150/97</t>
  </si>
  <si>
    <t>Burlan 3 metri Colorat 150/97</t>
  </si>
  <si>
    <t>Colier burlan Colorat 150/97</t>
  </si>
  <si>
    <t>Ramificatie burlan Y Colorat 150/97</t>
  </si>
  <si>
    <t>Evacuare Colorat 150/97</t>
  </si>
  <si>
    <t>Palnie colectoare Colorat 150/97</t>
  </si>
  <si>
    <t>Carlig,  210 mm Mat 125/88</t>
  </si>
  <si>
    <t>Carlig,  RASUCIT 210 mm Mat 125/88</t>
  </si>
  <si>
    <t xml:space="preserve">  Mat 125/88</t>
  </si>
  <si>
    <t>Carlig,  160 mm Mat 125/88</t>
  </si>
  <si>
    <t>Carlig aplicat Mat 125/88</t>
  </si>
  <si>
    <t>Jgheab 4 metri Mat 125/88</t>
  </si>
  <si>
    <t>Jgheab 2 metri Mat 125/88</t>
  </si>
  <si>
    <t>Coltar jgheab interior Mat 125/88</t>
  </si>
  <si>
    <t>Coltar jgheab exterior Mat 125/88</t>
  </si>
  <si>
    <t>Bratara jgheab Mat 125/88</t>
  </si>
  <si>
    <t>Capac jgheab Mat 125/88</t>
  </si>
  <si>
    <t>Contracarlig Mat 125/88</t>
  </si>
  <si>
    <t>Racord jgheab-burlan Mat 125/88</t>
  </si>
  <si>
    <t>Cot burlan Mat 125/88</t>
  </si>
  <si>
    <t>Prelungire burlan 0.9m Mat 125/88</t>
  </si>
  <si>
    <t>Burlan 3 metri Mat 125/88</t>
  </si>
  <si>
    <t>Colier burlan Mat 125/88</t>
  </si>
  <si>
    <t>Ramificatie burlan Y Mat 125/88</t>
  </si>
  <si>
    <t>Evacuare Mat 125/88</t>
  </si>
  <si>
    <t>Palnie colectoare Mat 125/88</t>
  </si>
  <si>
    <t>Carlig,  210 mm Mat 150/97</t>
  </si>
  <si>
    <t>Carlig,  RASUCIT 210 mm Mat 150/97</t>
  </si>
  <si>
    <t xml:space="preserve">  Mat 150/97</t>
  </si>
  <si>
    <t>Carlig aplicat Mat 150/97</t>
  </si>
  <si>
    <t>Jgheab 4 metri Mat 150/97</t>
  </si>
  <si>
    <t>Jgheab 2 metri Mat 150/97</t>
  </si>
  <si>
    <t>Coltar jgheab interior Mat 150/97</t>
  </si>
  <si>
    <t>Coltar jgheab exterior Mat 150/97</t>
  </si>
  <si>
    <t>Bratara jgheab Mat 150/97</t>
  </si>
  <si>
    <t>Capac jgheab Mat 150/97</t>
  </si>
  <si>
    <t>Contracarlig Mat 150/97</t>
  </si>
  <si>
    <t>Racord jgheab-burlan Mat 150/97</t>
  </si>
  <si>
    <t>Cot burlan Mat 150/97</t>
  </si>
  <si>
    <t>Prelungire burlan 0.9m Mat 150/97</t>
  </si>
  <si>
    <t>Burlan 3 metri Mat 150/97</t>
  </si>
  <si>
    <t>Colier burlan Mat 150/97</t>
  </si>
  <si>
    <t>Ramificatie burlan Y Mat 150/97</t>
  </si>
  <si>
    <t>Evacuare Mat 150/97</t>
  </si>
  <si>
    <t>Palnie colectoare Mat 150/97</t>
  </si>
  <si>
    <t xml:space="preserve">  Aluzinc 125/88</t>
  </si>
  <si>
    <t>Carlig zincat 210mm Aluzinc 125/88</t>
  </si>
  <si>
    <t>Carlig,  RASUCIT ZINCAT 210 mm Aluzinc 125/88</t>
  </si>
  <si>
    <t>Carlig zincat 160mm Aluzinc 125/88</t>
  </si>
  <si>
    <t>Carlig aplicat Zincat Aluzinc 125/88</t>
  </si>
  <si>
    <t>Jgheab 4 metri Aluzinc 125/88</t>
  </si>
  <si>
    <t>Jgheab 2 metri Aluzinc 125/88</t>
  </si>
  <si>
    <t>Coltar jgheab interior Aluzinc 125/88</t>
  </si>
  <si>
    <t>Coltar jgheab exterior Aluzinc 125/88</t>
  </si>
  <si>
    <t>Bratara jgheab Aluzinc 125/88</t>
  </si>
  <si>
    <t>Capac jgheab Aluzinc 125/88</t>
  </si>
  <si>
    <t>Contracarlig Aluzinc 125/88</t>
  </si>
  <si>
    <t>Racord jgheab-burlan Aluzinc 125/88</t>
  </si>
  <si>
    <t>Cot burlan Aluzinc 125/88</t>
  </si>
  <si>
    <t>Prelungire burlan 0.9m Aluzinc 125/88</t>
  </si>
  <si>
    <t>Burlan 3 metri Aluzinc 125/88</t>
  </si>
  <si>
    <t>Colier burlan Aluzinc 125/88</t>
  </si>
  <si>
    <t>Ramificatie burlan Y Aluzinc 125/88</t>
  </si>
  <si>
    <t>Evacuare Aluzinc 125/88</t>
  </si>
  <si>
    <t>Palnie colectoare Aluzinc 125/88</t>
  </si>
  <si>
    <t xml:space="preserve">  Aluzinc 150/97</t>
  </si>
  <si>
    <t>Carlig zincat 210mm Aluzinc 150/97</t>
  </si>
  <si>
    <t>Carlig,  RASUCIT ZINCAT 210 mm Aluzinc 150/97</t>
  </si>
  <si>
    <t>Carlig aplicat Zincat Aluzinc 150/97</t>
  </si>
  <si>
    <t>Jgheab 4 metri Aluzinc 150/97</t>
  </si>
  <si>
    <t>Jgheab 2 metri Aluzinc 150/97</t>
  </si>
  <si>
    <t>Coltar jgheab interior Aluzinc 150/97</t>
  </si>
  <si>
    <t>Coltar jgheab exterior Aluzinc 150/97</t>
  </si>
  <si>
    <t>Bratara jgheab Aluzinc 150/97</t>
  </si>
  <si>
    <t>Capac jgheab Aluzinc 150/97</t>
  </si>
  <si>
    <t>Contracarlig Aluzinc 150/97</t>
  </si>
  <si>
    <t>Racord jgheab-burlan Aluzinc 150/97</t>
  </si>
  <si>
    <t>Cot burlan Aluzinc 150/97</t>
  </si>
  <si>
    <t>Prelungire burlan 0.9m Aluzinc 150/97</t>
  </si>
  <si>
    <t>Burlan 3 metri Aluzinc 150/97</t>
  </si>
  <si>
    <t>Colier burlan Aluzinc 150/97</t>
  </si>
  <si>
    <t>Ramificatie burlan Y Aluzinc 150/97</t>
  </si>
  <si>
    <t>Evacuare Aluzinc 150/97</t>
  </si>
  <si>
    <t>Palnie colectoare Aluzinc 150/97</t>
  </si>
  <si>
    <t>Carlig,  210 mm Culori speciale 125/88</t>
  </si>
  <si>
    <t>Carlig,  RASUCIT 210 mm Culori speciale 125/88</t>
  </si>
  <si>
    <t xml:space="preserve">  Culori speciale 125/88</t>
  </si>
  <si>
    <t>Carlig,  160 mm Culori speciale 125/88</t>
  </si>
  <si>
    <t>Carlig aplicat Culori speciale 125/88</t>
  </si>
  <si>
    <t>Jgheab 4 metri Culori speciale 125/88</t>
  </si>
  <si>
    <t>Jgheab 2 metri Culori speciale 125/88</t>
  </si>
  <si>
    <t>Coltar jgheab interior Culori speciale 125/88</t>
  </si>
  <si>
    <t>Coltar jgheab exterior Culori speciale 125/88</t>
  </si>
  <si>
    <t>Bratara jgheab Culori speciale 125/88</t>
  </si>
  <si>
    <t>Capac jgheab Culori speciale 125/88</t>
  </si>
  <si>
    <t>Racord jgheab-burlan Culori speciale 125/88</t>
  </si>
  <si>
    <t>Cot burlan Culori speciale 125/88</t>
  </si>
  <si>
    <t>Prelungire burlan 0.9m Culori speciale 125/88</t>
  </si>
  <si>
    <t>Burlan 3 metri Culori speciale 125/88</t>
  </si>
  <si>
    <t>Colier burlan Culori speciale 125/88</t>
  </si>
  <si>
    <t>Ramificatie burlan Y Culori speciale 125/88</t>
  </si>
  <si>
    <t>Evacuare Culori speciale 125/88</t>
  </si>
  <si>
    <t>Carlig,  210 mm Culori speciale 150/97</t>
  </si>
  <si>
    <t>Carlig,  RASUCIT 210 mm Culori speciale 150/97</t>
  </si>
  <si>
    <t xml:space="preserve">  Culori speciale 150/97</t>
  </si>
  <si>
    <t>Carlig aplicat Culori speciale 150/97</t>
  </si>
  <si>
    <t>Jgheab 4 metri Culori speciale 150/97</t>
  </si>
  <si>
    <t>Jgheab 2 metri Culori speciale 150/97</t>
  </si>
  <si>
    <t>Coltar jgheab interior Culori speciale 150/97</t>
  </si>
  <si>
    <t>Coltar jgheab exterior Culori speciale 150/97</t>
  </si>
  <si>
    <t>Bratara jgheab Culori speciale 150/97</t>
  </si>
  <si>
    <t>Capac jgheab Culori speciale 150/97</t>
  </si>
  <si>
    <t>Racord jgheab-burlan Culori speciale 150/97</t>
  </si>
  <si>
    <t>Cot burlan Culori speciale 150/97</t>
  </si>
  <si>
    <t>Prelungire burlan 0.9m Culori speciale 150/97</t>
  </si>
  <si>
    <t>Burlan 3 metri Culori speciale 150/97</t>
  </si>
  <si>
    <t>Colier burlan Culori speciale 150/97</t>
  </si>
  <si>
    <t>Ramificatie burlan Y Culori speciale 150/97</t>
  </si>
  <si>
    <t>Evacuare Culori speciale 150/97</t>
  </si>
  <si>
    <t>Sipca Dreapta ( drept la ambele capete )</t>
  </si>
  <si>
    <t>MAT DUBLU PREVOPSIT 0.5</t>
  </si>
  <si>
    <t>Imitatie Lemn SP</t>
  </si>
  <si>
    <t>N-8019</t>
  </si>
  <si>
    <t>N-7024</t>
  </si>
  <si>
    <t>7016-M DP</t>
  </si>
  <si>
    <t>8017-M DP</t>
  </si>
  <si>
    <t>9005-M DP</t>
  </si>
  <si>
    <t>3005-L DP</t>
  </si>
  <si>
    <t>3009-L DP</t>
  </si>
  <si>
    <t>3011-L DP</t>
  </si>
  <si>
    <t>6020-L DP</t>
  </si>
  <si>
    <t>7016-L DP</t>
  </si>
  <si>
    <t>7024-L DP</t>
  </si>
  <si>
    <t>8004-L DP</t>
  </si>
  <si>
    <t>8017-L DP</t>
  </si>
  <si>
    <t>8019-L DP</t>
  </si>
  <si>
    <t>9005-L DP</t>
  </si>
  <si>
    <t>9006-L DP</t>
  </si>
  <si>
    <t>ALUZINC</t>
  </si>
  <si>
    <t>WOOD GOLDEN OAK DP</t>
  </si>
  <si>
    <t>LUCIOS DUBLU PREVOPSIT 0.6</t>
  </si>
  <si>
    <t>Sipca Rotunda LUCIOS 0.4</t>
  </si>
  <si>
    <t>Sipca Rotunda LUCIOS 0.45</t>
  </si>
  <si>
    <t>Sipca Rotunda LUCIOS 0.5</t>
  </si>
  <si>
    <t>Sipca Rotunda MAT 0.45</t>
  </si>
  <si>
    <t>Sipca Rotunda MAT 0.5</t>
  </si>
  <si>
    <t>Sipca Rotunda NEOMAT 30 0.5</t>
  </si>
  <si>
    <t>Sipca Rotunda Aluzinc 0.5</t>
  </si>
  <si>
    <t>Sipca Rotunda Imitatie Lemn SP</t>
  </si>
  <si>
    <t>Sipca Rotunda Imitatie Lemn DP</t>
  </si>
  <si>
    <t>Sipca Dreapta LUCIOS 0.4</t>
  </si>
  <si>
    <t>Sipca Dreapta LUCIOS 0.45</t>
  </si>
  <si>
    <t>Sipca Dreapta LUCIOS 0.5</t>
  </si>
  <si>
    <t>Sipca Dreapta MAT 0.45</t>
  </si>
  <si>
    <t>Sipca Dreapta MAT 0.5</t>
  </si>
  <si>
    <t>Sipca Dreapta NEOMAT 30 0.5</t>
  </si>
  <si>
    <t>Sipca Dreapta Aluzinc 0.5</t>
  </si>
  <si>
    <t>Sipca Dreapta Imitatie Lemn SP</t>
  </si>
  <si>
    <t>Sipca Dreapta Imitatie Lemn DP</t>
  </si>
  <si>
    <t>Sipca Dreapta ( drept la ambele capete ) LUCIOS 0.4</t>
  </si>
  <si>
    <t>Sipca Dreapta ( drept la ambele capete ) LUCIOS 0.45</t>
  </si>
  <si>
    <t>Sipca Dreapta ( drept la ambele capete ) LUCIOS 0.5</t>
  </si>
  <si>
    <t>Sipca Dreapta ( drept la ambele capete ) MAT 0.45</t>
  </si>
  <si>
    <t>Sipca Dreapta ( drept la ambele capete ) MAT 0.5</t>
  </si>
  <si>
    <t>Sipca Dreapta ( drept la ambele capete ) NEOMAT 30 0.5</t>
  </si>
  <si>
    <t>Sipca Dreapta ( drept la ambele capete ) Aluzinc 0.5</t>
  </si>
  <si>
    <t>Sipca Dreapta ( drept la ambele capete ) Imitatie Lemn SP</t>
  </si>
  <si>
    <t>Sipca Dreapta ( drept la ambele capete ) Imitatie Lemn DP</t>
  </si>
  <si>
    <t>0.5 MAT DP</t>
  </si>
  <si>
    <t>MAT DP</t>
  </si>
  <si>
    <t>LAMELA GARD TIP JALUZEA L 0.5 MAT DP</t>
  </si>
  <si>
    <t>PROFIL CADRU GARD TIP JALUZEA L 0.5 MAT DP</t>
  </si>
  <si>
    <t>PROFIL RANFORSARE GARD TIP JALUZEA L 0.5 MAT DP</t>
  </si>
  <si>
    <t>LAMELA GARD TIP JALUZEA D 0.5 MAT DP</t>
  </si>
  <si>
    <t>PROFIL CADRU GARD TIP JALUZEA D 0.5 MAT DP</t>
  </si>
  <si>
    <t>PROFIL RANFORSARE GARD TIP JALUZEA D 0.5 MAT DP</t>
  </si>
  <si>
    <t>LAMELA GARD TIP JALUZEA A 0.5 MAT DP</t>
  </si>
  <si>
    <t>PROFIL CADRU GARD TIP JALUZEA A 0.5 MAT DP</t>
  </si>
  <si>
    <t>PROFIL RANFORSARE GARD TIP JALUZEA A 0.5 MAT DP</t>
  </si>
  <si>
    <t>Sipca Rotunda MAT DUBLU PREVOPSIT 0.5</t>
  </si>
  <si>
    <t>Sipca Dreapta MAT DUBLU PREVOPSIT 0.5</t>
  </si>
  <si>
    <t>Sipca Dreapta ( drept la ambele capete ) MAT DUBLU PREVOPSIT 0.5</t>
  </si>
  <si>
    <t>LUCIOS DUBLU PREVOPSIT 0.5</t>
  </si>
  <si>
    <t>Sipca Dreapta LUCIOS DUBLU PREVOPSIT 0.6</t>
  </si>
  <si>
    <t>Sipca Rotunda LUCIOS DUBLU PREVOPSIT 0.6</t>
  </si>
  <si>
    <t>Sipca Dreapta ( drept la ambele capete ) LUCIOS DUBLU PREVOPSIT 0.6</t>
  </si>
  <si>
    <t>MAT 0.5 DP</t>
  </si>
  <si>
    <t>W18 Acoperis MAT 0.5 DP</t>
  </si>
  <si>
    <t>W18 Perete MAT 0.5 DP</t>
  </si>
  <si>
    <t>W35 Acoperis MAT 0.5 DP</t>
  </si>
  <si>
    <t>W35 Perete MAT 0.5 DP</t>
  </si>
  <si>
    <t>JIS16,5 Perete MAT 0.5 DP</t>
  </si>
  <si>
    <t>JIS16,5 Acoperis MAT 0.5 DP</t>
  </si>
  <si>
    <t>JIS35 Perete MAT 0.5 DP</t>
  </si>
  <si>
    <t>JIS35 Acoperis MAT 0.5 DP</t>
  </si>
  <si>
    <t>JIS45 Acoperis MAT 0.5 DP</t>
  </si>
  <si>
    <t>JIS45 Perete MAT 0.5 DP</t>
  </si>
  <si>
    <t>MAT 8017</t>
  </si>
  <si>
    <t>SAGEAC STOC MAT 8017</t>
  </si>
  <si>
    <t>29.10.2025</t>
  </si>
  <si>
    <t>FV-1030-V1</t>
  </si>
  <si>
    <t>30.10.2025</t>
  </si>
  <si>
    <t>IND CEMA INTERNATIONAL SRL</t>
  </si>
  <si>
    <t>100902</t>
  </si>
  <si>
    <t xml:space="preserve"> ELENA TATU</t>
  </si>
  <si>
    <t>0784 433 851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</si>
</sst>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4"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22F0E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rgb="FF007033"/>
      <name val="Calibri"/>
      <family val="2"/>
      <scheme val="minor"/>
    </font>
    <font>
      <b/>
      <sz val="11"/>
      <color rgb="FF0070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7033"/>
      <name val="Cuprum"/>
    </font>
    <font>
      <sz val="11"/>
      <color theme="1"/>
      <name val="Cuprum"/>
    </font>
    <font>
      <b/>
      <sz val="11"/>
      <color theme="1"/>
      <name val="Cuprum"/>
    </font>
    <font>
      <sz val="10"/>
      <name val="Cuprum"/>
    </font>
    <font>
      <b/>
      <sz val="10"/>
      <name val="Cuprum"/>
    </font>
    <font>
      <b/>
      <sz val="10"/>
      <color rgb="FFFF0000"/>
      <name val="Cuprum"/>
    </font>
    <font>
      <sz val="8"/>
      <color rgb="FFFF0000"/>
      <name val="Cuprum"/>
    </font>
    <font>
      <sz val="8"/>
      <color theme="1"/>
      <name val="Cuprum"/>
    </font>
    <font>
      <b/>
      <sz val="11"/>
      <name val="Cuprum"/>
    </font>
    <font>
      <b/>
      <sz val="10"/>
      <color theme="1"/>
      <name val="Cuprum"/>
    </font>
    <font>
      <sz val="11"/>
      <name val="Cuprum"/>
    </font>
    <font>
      <sz val="10"/>
      <color theme="6" tint="0.39997558519241921"/>
      <name val="Cuprum"/>
    </font>
    <font>
      <sz val="11"/>
      <color theme="0"/>
      <name val="Cuprum"/>
    </font>
    <font>
      <b/>
      <sz val="16"/>
      <color theme="0"/>
      <name val="Cuprum"/>
    </font>
    <font>
      <b/>
      <sz val="14"/>
      <color theme="0"/>
      <name val="Cuprum"/>
    </font>
    <font>
      <b/>
      <sz val="11"/>
      <color theme="0"/>
      <name val="Cuprum"/>
    </font>
    <font>
      <sz val="10"/>
      <color theme="0"/>
      <name val="Cuprum"/>
    </font>
    <font>
      <sz val="10"/>
      <color theme="1"/>
      <name val="Cuprum"/>
    </font>
    <font>
      <b/>
      <sz val="11"/>
      <color rgb="FFFFFFFF"/>
      <name val="Cuprum"/>
    </font>
    <font>
      <b/>
      <sz val="12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uprum"/>
    </font>
    <font>
      <sz val="14"/>
      <color rgb="FFFFFFFF"/>
      <name val="Cuprum"/>
    </font>
    <font>
      <sz val="11"/>
      <color theme="0" tint="-0.14999847407452621"/>
      <name val="Cuprum"/>
    </font>
    <font>
      <sz val="12"/>
      <color rgb="FFFFFFFF"/>
      <name val="Cuprum"/>
    </font>
    <font>
      <sz val="22"/>
      <color rgb="FFFFFFFF"/>
      <name val="Cuprum"/>
    </font>
    <font>
      <sz val="11"/>
      <color rgb="FFFFFFFF"/>
      <name val="Calibri"/>
      <family val="2"/>
      <scheme val="minor"/>
    </font>
    <font>
      <sz val="10"/>
      <name val="Arial Unicode MS"/>
      <family val="2"/>
    </font>
    <font>
      <sz val="18"/>
      <name val="Calibri"/>
      <family val="2"/>
      <scheme val="minor"/>
    </font>
    <font>
      <sz val="12"/>
      <name val="Calibri"/>
      <family val="2"/>
      <scheme val="minor"/>
    </font>
    <font>
      <b/>
      <sz val="8"/>
      <name val="Times New Roman"/>
      <family val="1"/>
    </font>
    <font>
      <b/>
      <sz val="11"/>
      <name val="Times New Roman"/>
      <family val="1"/>
      <charset val="1"/>
    </font>
    <font>
      <b/>
      <sz val="11"/>
      <name val="Times New Roman"/>
      <family val="1"/>
    </font>
    <font>
      <b/>
      <sz val="13"/>
      <name val="Times New Roman"/>
      <family val="1"/>
      <charset val="1"/>
    </font>
    <font>
      <b/>
      <sz val="10"/>
      <name val="Arial"/>
      <family val="2"/>
    </font>
    <font>
      <sz val="11"/>
      <color rgb="FFFFFF00"/>
      <name val="Calibri"/>
      <family val="2"/>
      <scheme val="minor"/>
    </font>
    <font>
      <sz val="12"/>
      <color theme="1"/>
      <name val="Cuprum"/>
    </font>
    <font>
      <sz val="8"/>
      <name val="Arial"/>
      <family val="2"/>
    </font>
    <font>
      <i/>
      <sz val="8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8"/>
      <color rgb="FFFF0000"/>
      <name val="Arial"/>
      <family val="2"/>
    </font>
    <font>
      <b/>
      <sz val="8"/>
      <color rgb="FFFF0000"/>
      <name val="Cuprum"/>
    </font>
    <font>
      <sz val="14"/>
      <color rgb="FF007033"/>
      <name val="Cuprum"/>
    </font>
    <font>
      <sz val="18"/>
      <color rgb="FF007033"/>
      <name val="Cuprum"/>
    </font>
    <font>
      <sz val="18"/>
      <color theme="0"/>
      <name val="Cuprum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uprum"/>
    </font>
    <font>
      <b/>
      <sz val="11"/>
      <color theme="1"/>
      <name val="Cuprum"/>
    </font>
    <font>
      <b/>
      <sz val="11"/>
      <color theme="0"/>
      <name val="Cuprum"/>
    </font>
    <font>
      <b/>
      <sz val="12"/>
      <color theme="0"/>
      <name val="Cuprum"/>
    </font>
    <font>
      <b/>
      <sz val="10"/>
      <name val="Cuprum"/>
    </font>
    <font>
      <b/>
      <sz val="8"/>
      <name val="Arial"/>
      <family val="2"/>
    </font>
    <font>
      <b/>
      <sz val="8"/>
      <color theme="1"/>
      <name val="Calibri"/>
      <family val="2"/>
      <scheme val="minor"/>
    </font>
    <font>
      <b/>
      <sz val="18"/>
      <color theme="0"/>
      <name val="Cuprum"/>
    </font>
    <font>
      <sz val="12"/>
      <color theme="1"/>
      <name val="Calibri"/>
      <family val="2"/>
      <scheme val="minor"/>
    </font>
    <font>
      <b/>
      <sz val="12"/>
      <color rgb="FFFFFF00"/>
      <name val="Cuprum"/>
    </font>
    <font>
      <i/>
      <sz val="10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rgb="FF3A8486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0"/>
      <name val="Calibri"/>
      <family val="2"/>
      <scheme val="minor"/>
    </font>
    <font>
      <sz val="6"/>
      <name val="Calibri"/>
      <family val="2"/>
      <scheme val="minor"/>
    </font>
    <font>
      <sz val="8"/>
      <name val="Calibri"/>
      <family val="2"/>
      <scheme val="minor"/>
    </font>
    <font>
      <sz val="11"/>
      <color rgb="FF2EA9DF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rgb="FFFF0000"/>
      <name val="Cuprum"/>
    </font>
    <font>
      <sz val="10"/>
      <color rgb="FFFF0000"/>
      <name val="Cuprum"/>
    </font>
    <font>
      <b/>
      <sz val="8"/>
      <name val="Cuprum"/>
    </font>
    <font>
      <b/>
      <sz val="11"/>
      <color rgb="FF288861"/>
      <name val="Cuprum"/>
    </font>
    <font>
      <b/>
      <sz val="14"/>
      <color rgb="FF288861"/>
      <name val="Cuprum"/>
    </font>
    <font>
      <b/>
      <sz val="11"/>
      <color rgb="FFFFFFFF"/>
      <name val="Calibri"/>
      <family val="2"/>
      <scheme val="minor"/>
    </font>
    <font>
      <b/>
      <sz val="9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name val="Cuprum"/>
    </font>
    <font>
      <sz val="11"/>
      <color theme="1"/>
      <name val="Georgia"/>
      <family val="1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8886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169A3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8" fillId="0" borderId="0"/>
    <xf numFmtId="9" fontId="20" fillId="0" borderId="0" applyFont="0" applyFill="0" applyBorder="0" applyAlignment="0" applyProtection="0"/>
  </cellStyleXfs>
  <cellXfs count="1059">
    <xf numFmtId="0" fontId="0" fillId="0" borderId="0" xfId="0"/>
    <xf numFmtId="0" fontId="0" fillId="0" borderId="0" xfId="0"/>
    <xf numFmtId="10" fontId="0" fillId="0" borderId="0" xfId="0" applyNumberFormat="1"/>
    <xf numFmtId="2" fontId="7" fillId="0" borderId="0" xfId="0" applyNumberFormat="1" applyFont="1"/>
    <xf numFmtId="0" fontId="7" fillId="0" borderId="0" xfId="0" applyFont="1"/>
    <xf numFmtId="0" fontId="2" fillId="0" borderId="0" xfId="0" applyFont="1"/>
    <xf numFmtId="0" fontId="0" fillId="10" borderId="0" xfId="0" applyFill="1"/>
    <xf numFmtId="0" fontId="0" fillId="10" borderId="0" xfId="0" applyFill="1" applyAlignment="1">
      <alignment horizontal="left"/>
    </xf>
    <xf numFmtId="0" fontId="10" fillId="10" borderId="0" xfId="0" applyFont="1" applyFill="1" applyAlignment="1"/>
    <xf numFmtId="0" fontId="10" fillId="10" borderId="0" xfId="0" applyFont="1" applyFill="1"/>
    <xf numFmtId="0" fontId="16" fillId="0" borderId="1" xfId="0" applyFont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10" fontId="7" fillId="0" borderId="0" xfId="0" applyNumberFormat="1" applyFont="1"/>
    <xf numFmtId="2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2" fontId="16" fillId="10" borderId="0" xfId="0" applyNumberFormat="1" applyFont="1" applyFill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0" fontId="10" fillId="0" borderId="0" xfId="0" applyFont="1"/>
    <xf numFmtId="0" fontId="16" fillId="0" borderId="1" xfId="0" applyFont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7" fillId="14" borderId="30" xfId="0" applyFont="1" applyFill="1" applyBorder="1"/>
    <xf numFmtId="10" fontId="18" fillId="14" borderId="31" xfId="0" applyNumberFormat="1" applyFont="1" applyFill="1" applyBorder="1"/>
    <xf numFmtId="10" fontId="10" fillId="8" borderId="28" xfId="0" applyNumberFormat="1" applyFont="1" applyFill="1" applyBorder="1"/>
    <xf numFmtId="10" fontId="18" fillId="14" borderId="32" xfId="0" applyNumberFormat="1" applyFont="1" applyFill="1" applyBorder="1"/>
    <xf numFmtId="0" fontId="7" fillId="3" borderId="30" xfId="0" applyFont="1" applyFill="1" applyBorder="1"/>
    <xf numFmtId="10" fontId="2" fillId="3" borderId="31" xfId="0" applyNumberFormat="1" applyFont="1" applyFill="1" applyBorder="1"/>
    <xf numFmtId="10" fontId="7" fillId="3" borderId="28" xfId="0" applyNumberFormat="1" applyFont="1" applyFill="1" applyBorder="1"/>
    <xf numFmtId="0" fontId="7" fillId="11" borderId="30" xfId="0" applyFont="1" applyFill="1" applyBorder="1"/>
    <xf numFmtId="10" fontId="3" fillId="11" borderId="31" xfId="0" applyNumberFormat="1" applyFont="1" applyFill="1" applyBorder="1"/>
    <xf numFmtId="0" fontId="17" fillId="0" borderId="1" xfId="1" applyFont="1" applyBorder="1" applyAlignment="1">
      <alignment vertical="center" wrapText="1"/>
    </xf>
    <xf numFmtId="0" fontId="7" fillId="0" borderId="0" xfId="0" applyFont="1" applyFill="1" applyBorder="1" applyAlignment="1"/>
    <xf numFmtId="2" fontId="5" fillId="0" borderId="0" xfId="0" applyNumberFormat="1" applyFont="1" applyFill="1" applyBorder="1" applyAlignment="1" applyProtection="1">
      <alignment horizontal="center" vertical="center"/>
      <protection hidden="1"/>
    </xf>
    <xf numFmtId="9" fontId="5" fillId="0" borderId="0" xfId="0" applyNumberFormat="1" applyFont="1" applyFill="1" applyBorder="1" applyAlignment="1" applyProtection="1">
      <alignment horizontal="center" vertical="center"/>
      <protection hidden="1"/>
    </xf>
    <xf numFmtId="2" fontId="5" fillId="0" borderId="0" xfId="3" applyNumberFormat="1" applyFont="1" applyFill="1" applyBorder="1" applyAlignment="1" applyProtection="1">
      <alignment horizontal="center"/>
      <protection hidden="1"/>
    </xf>
    <xf numFmtId="2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0" fillId="0" borderId="0" xfId="0" applyFont="1"/>
    <xf numFmtId="0" fontId="6" fillId="0" borderId="0" xfId="0" applyFont="1" applyFill="1"/>
    <xf numFmtId="10" fontId="6" fillId="0" borderId="0" xfId="0" applyNumberFormat="1" applyFont="1" applyFill="1"/>
    <xf numFmtId="10" fontId="7" fillId="0" borderId="0" xfId="0" applyNumberFormat="1" applyFont="1" applyFill="1"/>
    <xf numFmtId="10" fontId="7" fillId="11" borderId="41" xfId="0" applyNumberFormat="1" applyFont="1" applyFill="1" applyBorder="1"/>
    <xf numFmtId="10" fontId="7" fillId="11" borderId="42" xfId="0" applyNumberFormat="1" applyFont="1" applyFill="1" applyBorder="1"/>
    <xf numFmtId="10" fontId="7" fillId="11" borderId="43" xfId="0" applyNumberFormat="1" applyFont="1" applyFill="1" applyBorder="1"/>
    <xf numFmtId="2" fontId="16" fillId="0" borderId="1" xfId="0" applyNumberFormat="1" applyFont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23" fillId="0" borderId="0" xfId="0" applyFont="1"/>
    <xf numFmtId="0" fontId="28" fillId="15" borderId="20" xfId="0" applyFont="1" applyFill="1" applyBorder="1"/>
    <xf numFmtId="0" fontId="23" fillId="15" borderId="0" xfId="0" applyFont="1" applyFill="1" applyBorder="1"/>
    <xf numFmtId="0" fontId="25" fillId="2" borderId="1" xfId="1" applyFont="1" applyFill="1" applyBorder="1" applyAlignment="1">
      <alignment horizontal="center" vertical="center" wrapText="1"/>
    </xf>
    <xf numFmtId="0" fontId="24" fillId="2" borderId="0" xfId="0" applyFont="1" applyFill="1" applyBorder="1" applyAlignment="1"/>
    <xf numFmtId="0" fontId="23" fillId="10" borderId="0" xfId="0" applyFont="1" applyFill="1" applyBorder="1" applyAlignment="1">
      <alignment horizontal="center"/>
    </xf>
    <xf numFmtId="0" fontId="24" fillId="10" borderId="11" xfId="0" applyFont="1" applyFill="1" applyBorder="1" applyAlignment="1"/>
    <xf numFmtId="0" fontId="23" fillId="10" borderId="0" xfId="0" applyFont="1" applyFill="1" applyBorder="1" applyAlignment="1"/>
    <xf numFmtId="0" fontId="23" fillId="10" borderId="10" xfId="0" applyFont="1" applyFill="1" applyBorder="1" applyAlignment="1"/>
    <xf numFmtId="0" fontId="23" fillId="10" borderId="2" xfId="0" applyFont="1" applyFill="1" applyBorder="1" applyAlignment="1"/>
    <xf numFmtId="0" fontId="23" fillId="10" borderId="12" xfId="0" applyFont="1" applyFill="1" applyBorder="1" applyAlignment="1"/>
    <xf numFmtId="0" fontId="24" fillId="10" borderId="13" xfId="0" applyFont="1" applyFill="1" applyBorder="1" applyAlignment="1"/>
    <xf numFmtId="0" fontId="34" fillId="0" borderId="0" xfId="0" applyFont="1"/>
    <xf numFmtId="0" fontId="40" fillId="14" borderId="14" xfId="0" applyFont="1" applyFill="1" applyBorder="1" applyAlignment="1">
      <alignment vertical="center"/>
    </xf>
    <xf numFmtId="0" fontId="0" fillId="0" borderId="0" xfId="0"/>
    <xf numFmtId="0" fontId="16" fillId="0" borderId="1" xfId="0" applyFont="1" applyBorder="1" applyAlignment="1">
      <alignment horizontal="center"/>
    </xf>
    <xf numFmtId="0" fontId="22" fillId="13" borderId="1" xfId="0" applyFont="1" applyFill="1" applyBorder="1" applyAlignment="1"/>
    <xf numFmtId="0" fontId="41" fillId="13" borderId="1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vertical="center" wrapText="1"/>
    </xf>
    <xf numFmtId="0" fontId="22" fillId="13" borderId="46" xfId="0" applyFont="1" applyFill="1" applyBorder="1" applyAlignment="1"/>
    <xf numFmtId="0" fontId="31" fillId="13" borderId="6" xfId="0" applyFont="1" applyFill="1" applyBorder="1" applyAlignment="1">
      <alignment vertical="center" wrapText="1"/>
    </xf>
    <xf numFmtId="0" fontId="31" fillId="13" borderId="4" xfId="0" applyFont="1" applyFill="1" applyBorder="1" applyAlignment="1">
      <alignment vertical="center" wrapText="1"/>
    </xf>
    <xf numFmtId="0" fontId="0" fillId="0" borderId="0" xfId="0"/>
    <xf numFmtId="2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2" fontId="16" fillId="0" borderId="0" xfId="0" applyNumberFormat="1" applyFont="1" applyBorder="1" applyAlignment="1">
      <alignment horizontal="center"/>
    </xf>
    <xf numFmtId="0" fontId="0" fillId="0" borderId="0" xfId="0"/>
    <xf numFmtId="0" fontId="16" fillId="0" borderId="1" xfId="0" applyFont="1" applyBorder="1" applyAlignment="1">
      <alignment horizontal="center"/>
    </xf>
    <xf numFmtId="0" fontId="23" fillId="19" borderId="15" xfId="0" applyFont="1" applyFill="1" applyBorder="1"/>
    <xf numFmtId="0" fontId="23" fillId="19" borderId="16" xfId="0" applyFont="1" applyFill="1" applyBorder="1"/>
    <xf numFmtId="0" fontId="24" fillId="19" borderId="15" xfId="0" applyFont="1" applyFill="1" applyBorder="1" applyAlignment="1"/>
    <xf numFmtId="0" fontId="23" fillId="19" borderId="0" xfId="0" applyFont="1" applyFill="1" applyBorder="1"/>
    <xf numFmtId="0" fontId="23" fillId="19" borderId="21" xfId="0" applyFont="1" applyFill="1" applyBorder="1"/>
    <xf numFmtId="0" fontId="23" fillId="19" borderId="20" xfId="0" applyFont="1" applyFill="1" applyBorder="1"/>
    <xf numFmtId="0" fontId="23" fillId="19" borderId="2" xfId="0" applyFont="1" applyFill="1" applyBorder="1"/>
    <xf numFmtId="0" fontId="23" fillId="19" borderId="35" xfId="0" applyFont="1" applyFill="1" applyBorder="1"/>
    <xf numFmtId="0" fontId="23" fillId="19" borderId="34" xfId="0" applyFont="1" applyFill="1" applyBorder="1"/>
    <xf numFmtId="0" fontId="37" fillId="19" borderId="0" xfId="0" applyFont="1" applyFill="1" applyBorder="1" applyAlignment="1">
      <alignment vertical="center"/>
    </xf>
    <xf numFmtId="0" fontId="35" fillId="19" borderId="0" xfId="0" applyFont="1" applyFill="1" applyBorder="1" applyAlignment="1">
      <alignment vertical="center"/>
    </xf>
    <xf numFmtId="0" fontId="36" fillId="19" borderId="0" xfId="0" applyFont="1" applyFill="1" applyBorder="1" applyAlignment="1">
      <alignment horizontal="right" vertical="center"/>
    </xf>
    <xf numFmtId="2" fontId="37" fillId="19" borderId="0" xfId="0" applyNumberFormat="1" applyFont="1" applyFill="1" applyBorder="1" applyAlignment="1">
      <alignment vertical="center"/>
    </xf>
    <xf numFmtId="0" fontId="35" fillId="19" borderId="17" xfId="0" applyFont="1" applyFill="1" applyBorder="1" applyAlignment="1">
      <alignment vertical="center"/>
    </xf>
    <xf numFmtId="0" fontId="35" fillId="19" borderId="18" xfId="0" applyFont="1" applyFill="1" applyBorder="1" applyAlignment="1">
      <alignment vertical="center"/>
    </xf>
    <xf numFmtId="0" fontId="36" fillId="19" borderId="18" xfId="0" applyFont="1" applyFill="1" applyBorder="1" applyAlignment="1">
      <alignment vertical="center"/>
    </xf>
    <xf numFmtId="0" fontId="38" fillId="19" borderId="18" xfId="0" applyFont="1" applyFill="1" applyBorder="1" applyAlignment="1">
      <alignment horizontal="center" vertical="center"/>
    </xf>
    <xf numFmtId="0" fontId="37" fillId="19" borderId="18" xfId="0" applyFont="1" applyFill="1" applyBorder="1" applyAlignment="1">
      <alignment vertical="center"/>
    </xf>
    <xf numFmtId="2" fontId="37" fillId="19" borderId="18" xfId="0" applyNumberFormat="1" applyFont="1" applyFill="1" applyBorder="1" applyAlignment="1">
      <alignment vertical="center"/>
    </xf>
    <xf numFmtId="0" fontId="34" fillId="19" borderId="0" xfId="0" applyFont="1" applyFill="1" applyBorder="1" applyAlignment="1">
      <alignment horizontal="left" vertical="center"/>
    </xf>
    <xf numFmtId="0" fontId="37" fillId="19" borderId="21" xfId="0" applyFont="1" applyFill="1" applyBorder="1" applyAlignment="1">
      <alignment horizontal="center"/>
    </xf>
    <xf numFmtId="0" fontId="34" fillId="19" borderId="0" xfId="0" applyFont="1" applyFill="1" applyBorder="1" applyAlignment="1">
      <alignment horizontal="center" vertical="center"/>
    </xf>
    <xf numFmtId="0" fontId="34" fillId="19" borderId="0" xfId="0" applyFont="1" applyFill="1" applyBorder="1"/>
    <xf numFmtId="0" fontId="34" fillId="19" borderId="21" xfId="0" applyFont="1" applyFill="1" applyBorder="1"/>
    <xf numFmtId="0" fontId="37" fillId="19" borderId="17" xfId="0" applyFont="1" applyFill="1" applyBorder="1" applyAlignment="1">
      <alignment horizontal="center"/>
    </xf>
    <xf numFmtId="0" fontId="23" fillId="19" borderId="0" xfId="0" applyFont="1" applyFill="1" applyBorder="1" applyAlignment="1">
      <alignment horizontal="center" vertical="center"/>
    </xf>
    <xf numFmtId="0" fontId="34" fillId="2" borderId="0" xfId="0" applyFont="1" applyFill="1" applyBorder="1" applyAlignment="1"/>
    <xf numFmtId="1" fontId="33" fillId="15" borderId="20" xfId="1" applyNumberFormat="1" applyFont="1" applyFill="1" applyBorder="1" applyAlignment="1">
      <alignment vertical="center" wrapText="1"/>
    </xf>
    <xf numFmtId="0" fontId="14" fillId="12" borderId="24" xfId="0" applyFont="1" applyFill="1" applyBorder="1" applyAlignment="1">
      <alignment horizontal="center" vertical="center" wrapText="1"/>
    </xf>
    <xf numFmtId="0" fontId="34" fillId="19" borderId="15" xfId="0" applyFont="1" applyFill="1" applyBorder="1" applyAlignment="1">
      <alignment vertical="center"/>
    </xf>
    <xf numFmtId="0" fontId="34" fillId="19" borderId="20" xfId="0" applyFont="1" applyFill="1" applyBorder="1" applyAlignment="1"/>
    <xf numFmtId="0" fontId="34" fillId="19" borderId="0" xfId="0" applyFont="1" applyFill="1" applyBorder="1" applyAlignment="1"/>
    <xf numFmtId="0" fontId="23" fillId="19" borderId="18" xfId="0" applyFont="1" applyFill="1" applyBorder="1" applyAlignment="1">
      <alignment horizontal="center"/>
    </xf>
    <xf numFmtId="0" fontId="0" fillId="0" borderId="0" xfId="0" applyBorder="1"/>
    <xf numFmtId="10" fontId="20" fillId="8" borderId="0" xfId="0" applyNumberFormat="1" applyFont="1" applyFill="1"/>
    <xf numFmtId="0" fontId="7" fillId="0" borderId="0" xfId="0" applyFont="1" applyFill="1"/>
    <xf numFmtId="10" fontId="0" fillId="0" borderId="0" xfId="0" applyNumberFormat="1" applyBorder="1"/>
    <xf numFmtId="0" fontId="7" fillId="0" borderId="0" xfId="0" applyFont="1" applyFill="1" applyBorder="1"/>
    <xf numFmtId="10" fontId="7" fillId="0" borderId="0" xfId="0" applyNumberFormat="1" applyFont="1" applyFill="1" applyBorder="1"/>
    <xf numFmtId="0" fontId="6" fillId="0" borderId="0" xfId="0" applyFont="1" applyFill="1" applyBorder="1" applyAlignment="1">
      <alignment horizontal="center"/>
    </xf>
    <xf numFmtId="10" fontId="7" fillId="0" borderId="0" xfId="0" applyNumberFormat="1" applyFont="1" applyFill="1" applyBorder="1" applyAlignment="1">
      <alignment horizontal="center"/>
    </xf>
    <xf numFmtId="0" fontId="6" fillId="0" borderId="0" xfId="0" applyFont="1" applyFill="1" applyBorder="1"/>
    <xf numFmtId="10" fontId="7" fillId="0" borderId="0" xfId="0" applyNumberFormat="1" applyFont="1" applyFill="1" applyProtection="1"/>
    <xf numFmtId="0" fontId="15" fillId="18" borderId="0" xfId="0" applyFont="1" applyFill="1"/>
    <xf numFmtId="0" fontId="10" fillId="18" borderId="0" xfId="0" applyFont="1" applyFill="1"/>
    <xf numFmtId="0" fontId="6" fillId="0" borderId="0" xfId="0" applyFont="1" applyFill="1" applyBorder="1" applyAlignment="1">
      <alignment horizontal="left"/>
    </xf>
    <xf numFmtId="0" fontId="16" fillId="0" borderId="1" xfId="0" applyFont="1" applyBorder="1" applyAlignment="1">
      <alignment horizontal="center"/>
    </xf>
    <xf numFmtId="0" fontId="7" fillId="0" borderId="0" xfId="0" applyFont="1" applyFill="1" applyBorder="1"/>
    <xf numFmtId="2" fontId="16" fillId="0" borderId="1" xfId="0" applyNumberFormat="1" applyFont="1" applyBorder="1" applyAlignment="1">
      <alignment horizontal="center"/>
    </xf>
    <xf numFmtId="0" fontId="2" fillId="0" borderId="0" xfId="0" applyFont="1" applyFill="1" applyBorder="1"/>
    <xf numFmtId="0" fontId="12" fillId="0" borderId="0" xfId="0" applyFont="1" applyFill="1"/>
    <xf numFmtId="0" fontId="2" fillId="0" borderId="0" xfId="0" applyFont="1" applyBorder="1"/>
    <xf numFmtId="0" fontId="2" fillId="0" borderId="0" xfId="0" applyFont="1" applyFill="1"/>
    <xf numFmtId="10" fontId="2" fillId="0" borderId="0" xfId="0" applyNumberFormat="1" applyFont="1" applyFill="1" applyBorder="1"/>
    <xf numFmtId="10" fontId="2" fillId="0" borderId="0" xfId="0" applyNumberFormat="1" applyFont="1" applyFill="1"/>
    <xf numFmtId="0" fontId="10" fillId="0" borderId="0" xfId="0" applyFont="1" applyFill="1"/>
    <xf numFmtId="10" fontId="10" fillId="0" borderId="0" xfId="0" applyNumberFormat="1" applyFont="1" applyFill="1"/>
    <xf numFmtId="10" fontId="10" fillId="0" borderId="0" xfId="0" applyNumberFormat="1" applyFont="1"/>
    <xf numFmtId="0" fontId="0" fillId="2" borderId="0" xfId="0" applyFill="1"/>
    <xf numFmtId="0" fontId="4" fillId="2" borderId="0" xfId="0" applyFont="1" applyFill="1" applyAlignment="1"/>
    <xf numFmtId="0" fontId="6" fillId="0" borderId="0" xfId="0" applyFont="1" applyFill="1" applyAlignment="1">
      <alignment horizontal="left"/>
    </xf>
    <xf numFmtId="0" fontId="16" fillId="0" borderId="1" xfId="0" applyFont="1" applyBorder="1" applyAlignment="1">
      <alignment horizontal="center"/>
    </xf>
    <xf numFmtId="10" fontId="0" fillId="0" borderId="0" xfId="0" applyNumberFormat="1" applyFont="1" applyFill="1"/>
    <xf numFmtId="0" fontId="0" fillId="0" borderId="0" xfId="0" applyFont="1" applyFill="1"/>
    <xf numFmtId="10" fontId="0" fillId="0" borderId="0" xfId="0" applyNumberFormat="1" applyFont="1"/>
    <xf numFmtId="0" fontId="48" fillId="0" borderId="0" xfId="0" applyFont="1"/>
    <xf numFmtId="2" fontId="16" fillId="0" borderId="1" xfId="0" applyNumberFormat="1" applyFont="1" applyBorder="1" applyAlignment="1">
      <alignment horizontal="center"/>
    </xf>
    <xf numFmtId="0" fontId="10" fillId="0" borderId="0" xfId="0" applyFont="1" applyFill="1" applyBorder="1"/>
    <xf numFmtId="0" fontId="9" fillId="0" borderId="0" xfId="0" applyFont="1" applyFill="1" applyBorder="1"/>
    <xf numFmtId="2" fontId="10" fillId="0" borderId="0" xfId="0" applyNumberFormat="1" applyFont="1" applyFill="1" applyBorder="1" applyAlignment="1">
      <alignment horizontal="right"/>
    </xf>
    <xf numFmtId="0" fontId="10" fillId="0" borderId="0" xfId="0" applyFont="1" applyFill="1" applyBorder="1" applyAlignment="1">
      <alignment horizontal="center"/>
    </xf>
    <xf numFmtId="0" fontId="42" fillId="0" borderId="0" xfId="0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vertical="center" wrapText="1"/>
    </xf>
    <xf numFmtId="0" fontId="10" fillId="0" borderId="0" xfId="0" applyFont="1" applyAlignment="1">
      <alignment horizontal="center"/>
    </xf>
    <xf numFmtId="0" fontId="49" fillId="0" borderId="0" xfId="0" applyFont="1" applyAlignment="1">
      <alignment horizontal="left"/>
    </xf>
    <xf numFmtId="1" fontId="10" fillId="0" borderId="0" xfId="0" applyNumberFormat="1" applyFont="1" applyFill="1" applyBorder="1"/>
    <xf numFmtId="0" fontId="10" fillId="0" borderId="0" xfId="0" applyFont="1" applyFill="1" applyBorder="1" applyAlignment="1">
      <alignment horizontal="center" vertical="center" textRotation="255"/>
    </xf>
    <xf numFmtId="0" fontId="1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50" fillId="0" borderId="0" xfId="0" applyFont="1" applyFill="1" applyBorder="1"/>
    <xf numFmtId="0" fontId="10" fillId="0" borderId="0" xfId="0" applyFont="1" applyFill="1" applyBorder="1" applyAlignment="1">
      <alignment horizontal="right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/>
    <xf numFmtId="0" fontId="52" fillId="0" borderId="0" xfId="1" applyFont="1" applyFill="1" applyBorder="1" applyAlignment="1">
      <alignment horizontal="left" vertical="center" wrapText="1"/>
    </xf>
    <xf numFmtId="2" fontId="9" fillId="0" borderId="0" xfId="0" applyNumberFormat="1" applyFont="1" applyFill="1" applyBorder="1"/>
    <xf numFmtId="0" fontId="53" fillId="0" borderId="0" xfId="1" applyFont="1" applyFill="1" applyBorder="1" applyAlignment="1">
      <alignment horizontal="left" vertical="center" wrapText="1"/>
    </xf>
    <xf numFmtId="0" fontId="54" fillId="0" borderId="0" xfId="1" applyFont="1" applyFill="1" applyBorder="1" applyAlignment="1">
      <alignment horizontal="left"/>
    </xf>
    <xf numFmtId="4" fontId="55" fillId="0" borderId="0" xfId="1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left"/>
    </xf>
    <xf numFmtId="0" fontId="54" fillId="0" borderId="0" xfId="1" applyFont="1" applyFill="1" applyBorder="1" applyAlignment="1"/>
    <xf numFmtId="0" fontId="10" fillId="0" borderId="0" xfId="0" applyFont="1" applyFill="1" applyBorder="1" applyAlignment="1"/>
    <xf numFmtId="0" fontId="56" fillId="0" borderId="0" xfId="0" applyFont="1" applyFill="1" applyBorder="1" applyAlignment="1"/>
    <xf numFmtId="0" fontId="53" fillId="0" borderId="0" xfId="1" applyFont="1" applyFill="1" applyBorder="1" applyAlignment="1">
      <alignment horizontal="center" vertical="center" wrapText="1"/>
    </xf>
    <xf numFmtId="2" fontId="11" fillId="0" borderId="1" xfId="0" applyNumberFormat="1" applyFont="1" applyFill="1" applyBorder="1" applyAlignment="1">
      <alignment horizontal="center"/>
    </xf>
    <xf numFmtId="0" fontId="10" fillId="19" borderId="0" xfId="0" applyFont="1" applyFill="1" applyBorder="1" applyAlignment="1">
      <alignment horizontal="right"/>
    </xf>
    <xf numFmtId="0" fontId="10" fillId="22" borderId="0" xfId="0" applyFont="1" applyFill="1" applyBorder="1"/>
    <xf numFmtId="0" fontId="9" fillId="16" borderId="0" xfId="0" applyFont="1" applyFill="1" applyBorder="1"/>
    <xf numFmtId="2" fontId="9" fillId="23" borderId="0" xfId="0" applyNumberFormat="1" applyFont="1" applyFill="1" applyBorder="1"/>
    <xf numFmtId="0" fontId="10" fillId="0" borderId="0" xfId="0" applyFont="1" applyFill="1" applyBorder="1"/>
    <xf numFmtId="0" fontId="16" fillId="0" borderId="1" xfId="0" applyFont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23" fillId="2" borderId="20" xfId="0" applyFont="1" applyFill="1" applyBorder="1" applyAlignment="1"/>
    <xf numFmtId="0" fontId="23" fillId="2" borderId="0" xfId="0" applyFont="1" applyFill="1" applyBorder="1" applyAlignment="1"/>
    <xf numFmtId="0" fontId="24" fillId="2" borderId="11" xfId="0" applyFont="1" applyFill="1" applyBorder="1" applyAlignment="1"/>
    <xf numFmtId="0" fontId="17" fillId="0" borderId="6" xfId="1" applyFont="1" applyBorder="1" applyAlignment="1">
      <alignment vertical="center" wrapText="1"/>
    </xf>
    <xf numFmtId="0" fontId="2" fillId="0" borderId="0" xfId="0" applyFont="1" applyFill="1" applyBorder="1" applyAlignment="1"/>
    <xf numFmtId="2" fontId="2" fillId="0" borderId="0" xfId="0" applyNumberFormat="1" applyFont="1"/>
    <xf numFmtId="10" fontId="2" fillId="0" borderId="0" xfId="0" applyNumberFormat="1" applyFont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0" fontId="10" fillId="0" borderId="0" xfId="0" applyFont="1" applyFill="1" applyBorder="1"/>
    <xf numFmtId="0" fontId="54" fillId="0" borderId="0" xfId="1" applyFont="1" applyFill="1" applyBorder="1" applyAlignment="1">
      <alignment horizontal="left"/>
    </xf>
    <xf numFmtId="0" fontId="10" fillId="0" borderId="0" xfId="0" applyFont="1" applyFill="1" applyBorder="1"/>
    <xf numFmtId="0" fontId="9" fillId="17" borderId="0" xfId="0" applyFont="1" applyFill="1" applyBorder="1" applyAlignment="1">
      <alignment horizontal="center"/>
    </xf>
    <xf numFmtId="0" fontId="9" fillId="17" borderId="0" xfId="0" applyFont="1" applyFill="1" applyBorder="1"/>
    <xf numFmtId="0" fontId="42" fillId="17" borderId="0" xfId="0" applyFont="1" applyFill="1" applyBorder="1" applyAlignment="1">
      <alignment horizontal="center" vertical="center" wrapText="1"/>
    </xf>
    <xf numFmtId="0" fontId="10" fillId="0" borderId="0" xfId="0" applyFont="1" applyFill="1" applyBorder="1"/>
    <xf numFmtId="0" fontId="10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/>
    <xf numFmtId="2" fontId="16" fillId="0" borderId="1" xfId="0" applyNumberFormat="1" applyFont="1" applyBorder="1" applyAlignment="1">
      <alignment horizontal="center"/>
    </xf>
    <xf numFmtId="0" fontId="10" fillId="0" borderId="0" xfId="0" applyFont="1" applyFill="1" applyBorder="1"/>
    <xf numFmtId="2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4" fillId="0" borderId="49" xfId="0" applyFont="1" applyBorder="1" applyAlignment="1">
      <alignment horizontal="center" vertical="center" wrapText="1"/>
    </xf>
    <xf numFmtId="0" fontId="20" fillId="0" borderId="45" xfId="0" applyFont="1" applyBorder="1" applyAlignment="1">
      <alignment horizontal="left" vertical="center" wrapText="1"/>
    </xf>
    <xf numFmtId="0" fontId="0" fillId="0" borderId="34" xfId="0" applyBorder="1"/>
    <xf numFmtId="0" fontId="0" fillId="0" borderId="36" xfId="0" applyBorder="1"/>
    <xf numFmtId="0" fontId="0" fillId="0" borderId="50" xfId="0" applyBorder="1"/>
    <xf numFmtId="0" fontId="0" fillId="0" borderId="51" xfId="0" applyBorder="1" applyAlignment="1">
      <alignment horizontal="right"/>
    </xf>
    <xf numFmtId="0" fontId="0" fillId="0" borderId="47" xfId="0" applyBorder="1" applyAlignment="1">
      <alignment horizontal="right"/>
    </xf>
    <xf numFmtId="4" fontId="0" fillId="0" borderId="39" xfId="0" applyNumberFormat="1" applyBorder="1"/>
    <xf numFmtId="4" fontId="0" fillId="0" borderId="24" xfId="0" applyNumberFormat="1" applyBorder="1"/>
    <xf numFmtId="4" fontId="0" fillId="0" borderId="25" xfId="0" applyNumberFormat="1" applyBorder="1"/>
    <xf numFmtId="0" fontId="4" fillId="0" borderId="28" xfId="0" applyFont="1" applyBorder="1"/>
    <xf numFmtId="0" fontId="20" fillId="0" borderId="28" xfId="0" applyFont="1" applyBorder="1"/>
    <xf numFmtId="0" fontId="10" fillId="0" borderId="0" xfId="0" applyFont="1" applyFill="1" applyBorder="1"/>
    <xf numFmtId="0" fontId="11" fillId="0" borderId="6" xfId="1" applyFont="1" applyBorder="1" applyAlignment="1">
      <alignment horizontal="right" vertical="center" wrapText="1"/>
    </xf>
    <xf numFmtId="0" fontId="10" fillId="0" borderId="0" xfId="0" applyFont="1" applyFill="1" applyBorder="1"/>
    <xf numFmtId="0" fontId="0" fillId="10" borderId="0" xfId="0" applyFill="1" applyAlignment="1">
      <alignment horizontal="left"/>
    </xf>
    <xf numFmtId="0" fontId="16" fillId="0" borderId="1" xfId="0" applyFont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0" fontId="0" fillId="0" borderId="28" xfId="0" applyBorder="1"/>
    <xf numFmtId="4" fontId="0" fillId="0" borderId="0" xfId="0" applyNumberFormat="1" applyBorder="1"/>
    <xf numFmtId="0" fontId="10" fillId="0" borderId="0" xfId="0" applyFont="1" applyFill="1" applyBorder="1"/>
    <xf numFmtId="10" fontId="2" fillId="18" borderId="1" xfId="0" applyNumberFormat="1" applyFont="1" applyFill="1" applyBorder="1" applyAlignment="1">
      <alignment horizontal="center"/>
    </xf>
    <xf numFmtId="0" fontId="7" fillId="10" borderId="0" xfId="0" applyFont="1" applyFill="1"/>
    <xf numFmtId="0" fontId="7" fillId="0" borderId="0" xfId="0" applyFont="1" applyAlignment="1">
      <alignment horizontal="center"/>
    </xf>
    <xf numFmtId="10" fontId="6" fillId="0" borderId="0" xfId="0" applyNumberFormat="1" applyFont="1" applyBorder="1" applyAlignment="1"/>
    <xf numFmtId="0" fontId="10" fillId="0" borderId="0" xfId="0" applyFont="1" applyFill="1" applyBorder="1"/>
    <xf numFmtId="10" fontId="57" fillId="18" borderId="4" xfId="0" applyNumberFormat="1" applyFont="1" applyFill="1" applyBorder="1" applyAlignment="1"/>
    <xf numFmtId="0" fontId="10" fillId="0" borderId="0" xfId="0" applyFont="1" applyFill="1" applyBorder="1"/>
    <xf numFmtId="0" fontId="16" fillId="0" borderId="1" xfId="0" applyFont="1" applyBorder="1" applyAlignment="1">
      <alignment horizontal="center"/>
    </xf>
    <xf numFmtId="2" fontId="16" fillId="0" borderId="1" xfId="0" applyNumberFormat="1" applyFont="1" applyBorder="1" applyAlignment="1">
      <alignment horizontal="center"/>
    </xf>
    <xf numFmtId="2" fontId="10" fillId="12" borderId="0" xfId="0" applyNumberFormat="1" applyFont="1" applyFill="1" applyBorder="1"/>
    <xf numFmtId="2" fontId="51" fillId="12" borderId="0" xfId="1" applyNumberFormat="1" applyFont="1" applyFill="1" applyBorder="1"/>
    <xf numFmtId="0" fontId="9" fillId="12" borderId="0" xfId="0" applyFont="1" applyFill="1" applyBorder="1"/>
    <xf numFmtId="0" fontId="42" fillId="12" borderId="0" xfId="0" applyFont="1" applyFill="1" applyBorder="1" applyAlignment="1">
      <alignment vertical="center" wrapText="1"/>
    </xf>
    <xf numFmtId="0" fontId="9" fillId="12" borderId="0" xfId="0" applyFont="1" applyFill="1" applyBorder="1" applyAlignment="1"/>
    <xf numFmtId="4" fontId="55" fillId="12" borderId="0" xfId="1" applyNumberFormat="1" applyFont="1" applyFill="1" applyBorder="1" applyAlignment="1">
      <alignment horizontal="center" vertical="center" wrapText="1"/>
    </xf>
    <xf numFmtId="2" fontId="55" fillId="12" borderId="0" xfId="1" applyNumberFormat="1" applyFont="1" applyFill="1" applyBorder="1" applyAlignment="1">
      <alignment horizontal="center" vertical="center" wrapText="1"/>
    </xf>
    <xf numFmtId="0" fontId="26" fillId="2" borderId="0" xfId="0" applyFont="1" applyFill="1" applyBorder="1" applyAlignment="1">
      <alignment vertical="center"/>
    </xf>
    <xf numFmtId="0" fontId="22" fillId="13" borderId="5" xfId="0" applyFont="1" applyFill="1" applyBorder="1" applyAlignment="1"/>
    <xf numFmtId="0" fontId="26" fillId="2" borderId="21" xfId="0" applyFont="1" applyFill="1" applyBorder="1" applyAlignment="1">
      <alignment horizontal="center" vertical="center"/>
    </xf>
    <xf numFmtId="0" fontId="7" fillId="25" borderId="0" xfId="0" applyFont="1" applyFill="1" applyBorder="1"/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0" fillId="0" borderId="0" xfId="0" applyFont="1" applyBorder="1"/>
    <xf numFmtId="0" fontId="26" fillId="12" borderId="24" xfId="0" applyFont="1" applyFill="1" applyBorder="1" applyAlignment="1">
      <alignment horizontal="center" vertical="center"/>
    </xf>
    <xf numFmtId="0" fontId="26" fillId="12" borderId="25" xfId="0" applyFont="1" applyFill="1" applyBorder="1" applyAlignment="1">
      <alignment horizontal="center" vertical="center"/>
    </xf>
    <xf numFmtId="0" fontId="10" fillId="0" borderId="0" xfId="0" applyFont="1" applyFill="1" applyBorder="1"/>
    <xf numFmtId="0" fontId="23" fillId="7" borderId="3" xfId="0" applyFont="1" applyFill="1" applyBorder="1" applyAlignment="1" applyProtection="1">
      <alignment horizontal="center"/>
    </xf>
    <xf numFmtId="0" fontId="10" fillId="0" borderId="0" xfId="0" applyFont="1" applyFill="1" applyBorder="1"/>
    <xf numFmtId="2" fontId="16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26" fillId="2" borderId="2" xfId="0" applyFont="1" applyFill="1" applyBorder="1" applyAlignment="1">
      <alignment vertical="center"/>
    </xf>
    <xf numFmtId="0" fontId="30" fillId="2" borderId="20" xfId="0" applyFont="1" applyFill="1" applyBorder="1" applyAlignment="1">
      <alignment vertical="center"/>
    </xf>
    <xf numFmtId="0" fontId="30" fillId="2" borderId="34" xfId="0" applyFont="1" applyFill="1" applyBorder="1" applyAlignment="1">
      <alignment vertical="center"/>
    </xf>
    <xf numFmtId="0" fontId="10" fillId="0" borderId="0" xfId="0" applyFont="1" applyFill="1" applyBorder="1"/>
    <xf numFmtId="2" fontId="16" fillId="0" borderId="1" xfId="0" applyNumberFormat="1" applyFont="1" applyBorder="1" applyAlignment="1">
      <alignment horizontal="center"/>
    </xf>
    <xf numFmtId="0" fontId="59" fillId="2" borderId="2" xfId="0" applyFont="1" applyFill="1" applyBorder="1" applyAlignment="1">
      <alignment horizontal="center" vertical="center"/>
    </xf>
    <xf numFmtId="2" fontId="16" fillId="13" borderId="1" xfId="0" applyNumberFormat="1" applyFont="1" applyFill="1" applyBorder="1" applyAlignment="1">
      <alignment horizontal="center"/>
    </xf>
    <xf numFmtId="2" fontId="16" fillId="13" borderId="3" xfId="0" applyNumberFormat="1" applyFont="1" applyFill="1" applyBorder="1" applyAlignment="1">
      <alignment horizontal="center"/>
    </xf>
    <xf numFmtId="2" fontId="16" fillId="13" borderId="4" xfId="0" applyNumberFormat="1" applyFont="1" applyFill="1" applyBorder="1" applyAlignment="1">
      <alignment horizontal="center"/>
    </xf>
    <xf numFmtId="2" fontId="16" fillId="23" borderId="1" xfId="0" applyNumberFormat="1" applyFont="1" applyFill="1" applyBorder="1" applyAlignment="1">
      <alignment horizontal="center"/>
    </xf>
    <xf numFmtId="2" fontId="16" fillId="23" borderId="3" xfId="0" applyNumberFormat="1" applyFont="1" applyFill="1" applyBorder="1" applyAlignment="1">
      <alignment horizontal="center"/>
    </xf>
    <xf numFmtId="2" fontId="16" fillId="23" borderId="4" xfId="0" applyNumberFormat="1" applyFont="1" applyFill="1" applyBorder="1" applyAlignment="1">
      <alignment horizontal="center"/>
    </xf>
    <xf numFmtId="0" fontId="63" fillId="23" borderId="1" xfId="0" applyFont="1" applyFill="1" applyBorder="1" applyAlignment="1">
      <alignment horizontal="center"/>
    </xf>
    <xf numFmtId="0" fontId="62" fillId="13" borderId="1" xfId="0" applyFont="1" applyFill="1" applyBorder="1" applyAlignment="1">
      <alignment horizontal="center"/>
    </xf>
    <xf numFmtId="0" fontId="23" fillId="13" borderId="0" xfId="0" applyFont="1" applyFill="1" applyBorder="1" applyAlignment="1"/>
    <xf numFmtId="0" fontId="23" fillId="12" borderId="7" xfId="0" applyFont="1" applyFill="1" applyBorder="1" applyAlignment="1">
      <alignment horizontal="center"/>
    </xf>
    <xf numFmtId="0" fontId="25" fillId="12" borderId="23" xfId="0" applyFont="1" applyFill="1" applyBorder="1" applyAlignment="1">
      <alignment horizontal="center"/>
    </xf>
    <xf numFmtId="0" fontId="25" fillId="12" borderId="24" xfId="0" applyFont="1" applyFill="1" applyBorder="1" applyAlignment="1">
      <alignment horizontal="center"/>
    </xf>
    <xf numFmtId="2" fontId="61" fillId="2" borderId="1" xfId="0" applyNumberFormat="1" applyFont="1" applyFill="1" applyBorder="1" applyAlignment="1">
      <alignment horizontal="center"/>
    </xf>
    <xf numFmtId="1" fontId="16" fillId="0" borderId="1" xfId="0" applyNumberFormat="1" applyFont="1" applyBorder="1" applyAlignment="1">
      <alignment horizontal="center"/>
    </xf>
    <xf numFmtId="0" fontId="23" fillId="7" borderId="1" xfId="0" applyFont="1" applyFill="1" applyBorder="1" applyAlignment="1">
      <alignment horizontal="center"/>
    </xf>
    <xf numFmtId="0" fontId="23" fillId="12" borderId="24" xfId="0" applyFont="1" applyFill="1" applyBorder="1" applyAlignment="1">
      <alignment horizontal="center"/>
    </xf>
    <xf numFmtId="0" fontId="26" fillId="13" borderId="23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3" fillId="12" borderId="47" xfId="0" applyFont="1" applyFill="1" applyBorder="1" applyAlignment="1">
      <alignment horizontal="center"/>
    </xf>
    <xf numFmtId="0" fontId="24" fillId="19" borderId="15" xfId="0" applyFont="1" applyFill="1" applyBorder="1" applyAlignment="1">
      <alignment horizontal="center"/>
    </xf>
    <xf numFmtId="0" fontId="23" fillId="19" borderId="0" xfId="0" applyFont="1" applyFill="1" applyBorder="1" applyAlignment="1">
      <alignment horizontal="center"/>
    </xf>
    <xf numFmtId="0" fontId="23" fillId="7" borderId="3" xfId="0" applyFont="1" applyFill="1" applyBorder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23" fillId="12" borderId="3" xfId="0" applyFont="1" applyFill="1" applyBorder="1" applyAlignment="1">
      <alignment horizontal="center"/>
    </xf>
    <xf numFmtId="0" fontId="23" fillId="12" borderId="3" xfId="0" applyFont="1" applyFill="1" applyBorder="1" applyAlignment="1" applyProtection="1">
      <alignment horizontal="center"/>
    </xf>
    <xf numFmtId="0" fontId="34" fillId="19" borderId="0" xfId="0" applyFont="1" applyFill="1" applyBorder="1" applyAlignment="1">
      <alignment horizontal="left"/>
    </xf>
    <xf numFmtId="0" fontId="23" fillId="12" borderId="13" xfId="0" applyFont="1" applyFill="1" applyBorder="1" applyAlignment="1">
      <alignment horizontal="center"/>
    </xf>
    <xf numFmtId="0" fontId="37" fillId="19" borderId="20" xfId="0" applyFont="1" applyFill="1" applyBorder="1" applyAlignment="1">
      <alignment horizontal="center"/>
    </xf>
    <xf numFmtId="0" fontId="37" fillId="19" borderId="0" xfId="0" applyFont="1" applyFill="1" applyBorder="1" applyAlignment="1">
      <alignment horizontal="center"/>
    </xf>
    <xf numFmtId="0" fontId="34" fillId="19" borderId="0" xfId="0" applyFont="1" applyFill="1" applyBorder="1" applyAlignment="1">
      <alignment horizontal="center"/>
    </xf>
    <xf numFmtId="0" fontId="10" fillId="0" borderId="0" xfId="0" applyFont="1" applyFill="1" applyBorder="1"/>
    <xf numFmtId="0" fontId="65" fillId="2" borderId="21" xfId="0" applyFont="1" applyFill="1" applyBorder="1" applyAlignment="1">
      <alignment horizontal="center" vertical="center"/>
    </xf>
    <xf numFmtId="1" fontId="16" fillId="0" borderId="1" xfId="0" applyNumberFormat="1" applyFont="1" applyFill="1" applyBorder="1" applyAlignment="1">
      <alignment horizontal="center"/>
    </xf>
    <xf numFmtId="1" fontId="2" fillId="0" borderId="0" xfId="0" applyNumberFormat="1" applyFont="1"/>
    <xf numFmtId="0" fontId="4" fillId="18" borderId="0" xfId="0" applyFont="1" applyFill="1" applyAlignment="1">
      <alignment horizontal="left"/>
    </xf>
    <xf numFmtId="0" fontId="0" fillId="10" borderId="0" xfId="0" applyFont="1" applyFill="1" applyAlignment="1">
      <alignment horizontal="left"/>
    </xf>
    <xf numFmtId="0" fontId="0" fillId="10" borderId="0" xfId="0" applyFont="1" applyFill="1"/>
    <xf numFmtId="0" fontId="44" fillId="2" borderId="0" xfId="0" applyFont="1" applyFill="1" applyAlignment="1"/>
    <xf numFmtId="0" fontId="47" fillId="2" borderId="0" xfId="0" applyFont="1" applyFill="1" applyAlignment="1">
      <alignment vertical="center"/>
    </xf>
    <xf numFmtId="0" fontId="45" fillId="2" borderId="0" xfId="0" applyFont="1" applyFill="1"/>
    <xf numFmtId="0" fontId="23" fillId="2" borderId="0" xfId="0" applyFont="1" applyFill="1"/>
    <xf numFmtId="0" fontId="44" fillId="2" borderId="0" xfId="0" applyFont="1" applyFill="1" applyAlignment="1">
      <alignment vertical="center"/>
    </xf>
    <xf numFmtId="0" fontId="44" fillId="2" borderId="18" xfId="0" applyFont="1" applyFill="1" applyBorder="1" applyAlignment="1">
      <alignment vertical="center"/>
    </xf>
    <xf numFmtId="0" fontId="66" fillId="2" borderId="0" xfId="0" applyFont="1" applyFill="1" applyAlignment="1">
      <alignment vertical="center"/>
    </xf>
    <xf numFmtId="0" fontId="47" fillId="2" borderId="0" xfId="0" applyFont="1" applyFill="1" applyBorder="1" applyAlignment="1">
      <alignment vertical="center"/>
    </xf>
    <xf numFmtId="0" fontId="44" fillId="2" borderId="0" xfId="0" applyFont="1" applyFill="1" applyBorder="1" applyAlignment="1">
      <alignment vertical="center"/>
    </xf>
    <xf numFmtId="0" fontId="67" fillId="2" borderId="0" xfId="0" applyFont="1" applyFill="1" applyBorder="1" applyAlignment="1">
      <alignment vertical="center"/>
    </xf>
    <xf numFmtId="0" fontId="68" fillId="14" borderId="0" xfId="0" applyFont="1" applyFill="1" applyAlignment="1">
      <alignment vertical="center"/>
    </xf>
    <xf numFmtId="0" fontId="68" fillId="14" borderId="0" xfId="0" applyFont="1" applyFill="1" applyBorder="1" applyAlignment="1">
      <alignment vertical="center"/>
    </xf>
    <xf numFmtId="0" fontId="70" fillId="26" borderId="1" xfId="0" applyFont="1" applyFill="1" applyBorder="1" applyAlignment="1">
      <alignment horizontal="center"/>
    </xf>
    <xf numFmtId="0" fontId="37" fillId="19" borderId="34" xfId="0" applyFont="1" applyFill="1" applyBorder="1" applyAlignment="1">
      <alignment vertical="center"/>
    </xf>
    <xf numFmtId="0" fontId="73" fillId="19" borderId="20" xfId="0" applyFont="1" applyFill="1" applyBorder="1"/>
    <xf numFmtId="0" fontId="73" fillId="19" borderId="14" xfId="0" applyFont="1" applyFill="1" applyBorder="1" applyAlignment="1">
      <alignment vertical="center"/>
    </xf>
    <xf numFmtId="0" fontId="73" fillId="19" borderId="0" xfId="0" applyFont="1" applyFill="1" applyBorder="1" applyAlignment="1"/>
    <xf numFmtId="2" fontId="73" fillId="19" borderId="0" xfId="0" applyNumberFormat="1" applyFont="1" applyFill="1" applyBorder="1" applyAlignment="1"/>
    <xf numFmtId="0" fontId="76" fillId="2" borderId="23" xfId="0" applyFont="1" applyFill="1" applyBorder="1" applyAlignment="1">
      <alignment horizontal="center" vertical="center"/>
    </xf>
    <xf numFmtId="0" fontId="76" fillId="2" borderId="24" xfId="0" applyFont="1" applyFill="1" applyBorder="1" applyAlignment="1">
      <alignment horizontal="center" vertical="center"/>
    </xf>
    <xf numFmtId="0" fontId="76" fillId="2" borderId="34" xfId="0" applyFont="1" applyFill="1" applyBorder="1" applyAlignment="1">
      <alignment horizontal="center" vertical="center"/>
    </xf>
    <xf numFmtId="0" fontId="76" fillId="2" borderId="21" xfId="0" applyFont="1" applyFill="1" applyBorder="1" applyAlignment="1">
      <alignment horizontal="center" vertical="center"/>
    </xf>
    <xf numFmtId="0" fontId="6" fillId="3" borderId="0" xfId="0" applyFont="1" applyFill="1"/>
    <xf numFmtId="10" fontId="7" fillId="3" borderId="0" xfId="0" applyNumberFormat="1" applyFont="1" applyFill="1"/>
    <xf numFmtId="0" fontId="6" fillId="3" borderId="28" xfId="0" applyFont="1" applyFill="1" applyBorder="1" applyAlignment="1">
      <alignment horizontal="center"/>
    </xf>
    <xf numFmtId="10" fontId="20" fillId="8" borderId="4" xfId="0" applyNumberFormat="1" applyFont="1" applyFill="1" applyBorder="1"/>
    <xf numFmtId="0" fontId="6" fillId="5" borderId="3" xfId="0" applyFont="1" applyFill="1" applyBorder="1"/>
    <xf numFmtId="0" fontId="6" fillId="5" borderId="6" xfId="0" applyFont="1" applyFill="1" applyBorder="1"/>
    <xf numFmtId="10" fontId="7" fillId="5" borderId="6" xfId="0" applyNumberFormat="1" applyFont="1" applyFill="1" applyBorder="1"/>
    <xf numFmtId="10" fontId="13" fillId="5" borderId="6" xfId="0" applyNumberFormat="1" applyFont="1" applyFill="1" applyBorder="1"/>
    <xf numFmtId="10" fontId="20" fillId="8" borderId="4" xfId="0" applyNumberFormat="1" applyFont="1" applyFill="1" applyBorder="1" applyProtection="1"/>
    <xf numFmtId="0" fontId="6" fillId="5" borderId="13" xfId="0" applyFont="1" applyFill="1" applyBorder="1"/>
    <xf numFmtId="0" fontId="6" fillId="5" borderId="2" xfId="0" applyFont="1" applyFill="1" applyBorder="1"/>
    <xf numFmtId="10" fontId="7" fillId="5" borderId="2" xfId="0" applyNumberFormat="1" applyFont="1" applyFill="1" applyBorder="1"/>
    <xf numFmtId="10" fontId="13" fillId="5" borderId="2" xfId="0" applyNumberFormat="1" applyFont="1" applyFill="1" applyBorder="1"/>
    <xf numFmtId="10" fontId="20" fillId="8" borderId="12" xfId="0" applyNumberFormat="1" applyFont="1" applyFill="1" applyBorder="1" applyProtection="1"/>
    <xf numFmtId="0" fontId="6" fillId="3" borderId="0" xfId="0" applyFont="1" applyFill="1" applyBorder="1"/>
    <xf numFmtId="10" fontId="7" fillId="3" borderId="0" xfId="0" applyNumberFormat="1" applyFont="1" applyFill="1" applyBorder="1"/>
    <xf numFmtId="10" fontId="20" fillId="8" borderId="0" xfId="0" applyNumberFormat="1" applyFont="1" applyFill="1" applyBorder="1"/>
    <xf numFmtId="0" fontId="6" fillId="11" borderId="0" xfId="0" applyFont="1" applyFill="1"/>
    <xf numFmtId="10" fontId="7" fillId="11" borderId="0" xfId="0" applyNumberFormat="1" applyFont="1" applyFill="1"/>
    <xf numFmtId="0" fontId="6" fillId="11" borderId="28" xfId="0" applyFont="1" applyFill="1" applyBorder="1" applyAlignment="1">
      <alignment horizontal="center"/>
    </xf>
    <xf numFmtId="0" fontId="6" fillId="14" borderId="28" xfId="0" applyFont="1" applyFill="1" applyBorder="1" applyAlignment="1">
      <alignment horizontal="center"/>
    </xf>
    <xf numFmtId="0" fontId="77" fillId="10" borderId="0" xfId="0" applyFont="1" applyFill="1" applyAlignment="1">
      <alignment horizontal="left" vertical="top"/>
    </xf>
    <xf numFmtId="0" fontId="78" fillId="14" borderId="0" xfId="0" applyFont="1" applyFill="1" applyAlignment="1">
      <alignment vertical="center"/>
    </xf>
    <xf numFmtId="1" fontId="38" fillId="2" borderId="0" xfId="1" applyNumberFormat="1" applyFont="1" applyFill="1" applyBorder="1" applyAlignment="1">
      <alignment horizontal="center" vertical="center" wrapText="1"/>
    </xf>
    <xf numFmtId="0" fontId="73" fillId="19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center"/>
    </xf>
    <xf numFmtId="0" fontId="10" fillId="0" borderId="0" xfId="0" applyFont="1" applyFill="1" applyBorder="1"/>
    <xf numFmtId="2" fontId="16" fillId="0" borderId="1" xfId="0" applyNumberFormat="1" applyFont="1" applyBorder="1" applyAlignment="1">
      <alignment horizontal="center"/>
    </xf>
    <xf numFmtId="1" fontId="16" fillId="23" borderId="1" xfId="0" applyNumberFormat="1" applyFont="1" applyFill="1" applyBorder="1" applyAlignment="1">
      <alignment horizontal="center"/>
    </xf>
    <xf numFmtId="0" fontId="10" fillId="0" borderId="0" xfId="0" applyFont="1" applyFill="1" applyBorder="1"/>
    <xf numFmtId="0" fontId="16" fillId="0" borderId="1" xfId="0" applyFont="1" applyBorder="1" applyAlignment="1">
      <alignment horizontal="center"/>
    </xf>
    <xf numFmtId="0" fontId="51" fillId="0" borderId="0" xfId="1" applyFont="1"/>
    <xf numFmtId="0" fontId="10" fillId="16" borderId="0" xfId="0" applyFont="1" applyFill="1"/>
    <xf numFmtId="2" fontId="79" fillId="0" borderId="0" xfId="1" applyNumberFormat="1" applyFont="1"/>
    <xf numFmtId="0" fontId="73" fillId="19" borderId="0" xfId="0" applyFont="1" applyFill="1" applyBorder="1" applyAlignment="1">
      <alignment horizontal="left" vertical="center"/>
    </xf>
    <xf numFmtId="0" fontId="23" fillId="7" borderId="7" xfId="0" applyFont="1" applyFill="1" applyBorder="1" applyAlignment="1">
      <alignment horizontal="center"/>
    </xf>
    <xf numFmtId="0" fontId="23" fillId="12" borderId="7" xfId="0" applyFont="1" applyFill="1" applyBorder="1" applyAlignment="1" applyProtection="1">
      <alignment horizontal="center"/>
    </xf>
    <xf numFmtId="0" fontId="73" fillId="21" borderId="20" xfId="0" applyFont="1" applyFill="1" applyBorder="1" applyAlignment="1">
      <alignment vertical="center"/>
    </xf>
    <xf numFmtId="2" fontId="73" fillId="21" borderId="0" xfId="0" applyNumberFormat="1" applyFont="1" applyFill="1" applyBorder="1" applyAlignment="1">
      <alignment vertical="center"/>
    </xf>
    <xf numFmtId="0" fontId="37" fillId="21" borderId="17" xfId="0" applyFont="1" applyFill="1" applyBorder="1" applyAlignment="1">
      <alignment vertical="center"/>
    </xf>
    <xf numFmtId="2" fontId="37" fillId="21" borderId="18" xfId="0" applyNumberFormat="1" applyFont="1" applyFill="1" applyBorder="1" applyAlignment="1">
      <alignment vertical="center"/>
    </xf>
    <xf numFmtId="0" fontId="10" fillId="18" borderId="0" xfId="0" applyFont="1" applyFill="1" applyBorder="1"/>
    <xf numFmtId="0" fontId="16" fillId="23" borderId="1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0" borderId="1" xfId="0" applyFont="1" applyBorder="1" applyAlignment="1"/>
    <xf numFmtId="0" fontId="0" fillId="10" borderId="0" xfId="0" applyFont="1" applyFill="1" applyBorder="1" applyAlignment="1"/>
    <xf numFmtId="0" fontId="82" fillId="10" borderId="0" xfId="0" applyFont="1" applyFill="1" applyBorder="1" applyAlignment="1">
      <alignment vertical="center"/>
    </xf>
    <xf numFmtId="0" fontId="81" fillId="10" borderId="0" xfId="0" applyFont="1" applyFill="1" applyBorder="1" applyAlignment="1"/>
    <xf numFmtId="0" fontId="84" fillId="10" borderId="0" xfId="0" applyFont="1" applyFill="1" applyBorder="1" applyAlignment="1"/>
    <xf numFmtId="0" fontId="85" fillId="10" borderId="0" xfId="0" applyFont="1" applyFill="1" applyBorder="1" applyAlignment="1"/>
    <xf numFmtId="0" fontId="5" fillId="10" borderId="0" xfId="0" applyFont="1" applyFill="1" applyBorder="1" applyAlignment="1"/>
    <xf numFmtId="0" fontId="83" fillId="2" borderId="0" xfId="0" applyFont="1" applyFill="1" applyBorder="1" applyAlignment="1"/>
    <xf numFmtId="1" fontId="61" fillId="2" borderId="0" xfId="0" applyNumberFormat="1" applyFont="1" applyFill="1" applyBorder="1" applyAlignment="1"/>
    <xf numFmtId="0" fontId="16" fillId="0" borderId="0" xfId="0" applyFont="1" applyBorder="1" applyAlignment="1"/>
    <xf numFmtId="0" fontId="16" fillId="0" borderId="0" xfId="0" applyFont="1" applyBorder="1" applyAlignment="1">
      <alignment horizontal="center"/>
    </xf>
    <xf numFmtId="2" fontId="16" fillId="0" borderId="0" xfId="0" applyNumberFormat="1" applyFont="1" applyBorder="1" applyAlignment="1"/>
    <xf numFmtId="0" fontId="83" fillId="0" borderId="0" xfId="0" applyFont="1" applyBorder="1" applyAlignment="1"/>
    <xf numFmtId="0" fontId="83" fillId="0" borderId="0" xfId="0" applyFont="1" applyFill="1" applyBorder="1" applyAlignment="1"/>
    <xf numFmtId="0" fontId="16" fillId="0" borderId="0" xfId="0" applyFont="1" applyFill="1" applyBorder="1" applyAlignment="1"/>
    <xf numFmtId="0" fontId="16" fillId="0" borderId="0" xfId="0" applyFont="1" applyFill="1" applyBorder="1" applyAlignment="1">
      <alignment horizontal="center"/>
    </xf>
    <xf numFmtId="0" fontId="4" fillId="0" borderId="0" xfId="0" quotePrefix="1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1" fontId="61" fillId="0" borderId="0" xfId="0" applyNumberFormat="1" applyFont="1" applyBorder="1" applyAlignment="1"/>
    <xf numFmtId="0" fontId="16" fillId="2" borderId="0" xfId="0" applyFont="1" applyFill="1" applyBorder="1" applyAlignment="1"/>
    <xf numFmtId="0" fontId="16" fillId="2" borderId="0" xfId="0" applyFont="1" applyFill="1" applyBorder="1" applyAlignment="1">
      <alignment horizontal="center"/>
    </xf>
    <xf numFmtId="2" fontId="16" fillId="2" borderId="0" xfId="0" applyNumberFormat="1" applyFont="1" applyFill="1" applyBorder="1" applyAlignment="1">
      <alignment horizontal="center"/>
    </xf>
    <xf numFmtId="2" fontId="16" fillId="2" borderId="0" xfId="0" applyNumberFormat="1" applyFont="1" applyFill="1" applyBorder="1" applyAlignment="1"/>
    <xf numFmtId="0" fontId="89" fillId="2" borderId="0" xfId="0" applyFont="1" applyFill="1" applyBorder="1" applyAlignment="1">
      <alignment vertical="center"/>
    </xf>
    <xf numFmtId="1" fontId="87" fillId="2" borderId="0" xfId="0" applyNumberFormat="1" applyFont="1" applyFill="1" applyBorder="1" applyAlignment="1">
      <alignment vertical="center"/>
    </xf>
    <xf numFmtId="0" fontId="89" fillId="2" borderId="0" xfId="0" applyFont="1" applyFill="1" applyBorder="1" applyAlignment="1">
      <alignment horizontal="center" vertical="center"/>
    </xf>
    <xf numFmtId="1" fontId="87" fillId="2" borderId="0" xfId="0" applyNumberFormat="1" applyFont="1" applyFill="1" applyBorder="1" applyAlignment="1">
      <alignment horizontal="center" vertical="center"/>
    </xf>
    <xf numFmtId="0" fontId="90" fillId="2" borderId="0" xfId="0" applyFont="1" applyFill="1" applyBorder="1" applyAlignment="1">
      <alignment horizontal="center"/>
    </xf>
    <xf numFmtId="2" fontId="90" fillId="2" borderId="0" xfId="0" applyNumberFormat="1" applyFont="1" applyFill="1" applyBorder="1" applyAlignment="1">
      <alignment horizontal="center"/>
    </xf>
    <xf numFmtId="0" fontId="7" fillId="2" borderId="0" xfId="0" applyFont="1" applyFill="1" applyBorder="1" applyAlignment="1"/>
    <xf numFmtId="2" fontId="89" fillId="2" borderId="0" xfId="0" applyNumberFormat="1" applyFont="1" applyFill="1" applyBorder="1" applyAlignment="1">
      <alignment horizontal="center" vertical="center"/>
    </xf>
    <xf numFmtId="0" fontId="0" fillId="14" borderId="0" xfId="0" applyFill="1" applyAlignment="1"/>
    <xf numFmtId="0" fontId="0" fillId="14" borderId="0" xfId="0" applyFont="1" applyFill="1"/>
    <xf numFmtId="0" fontId="10" fillId="14" borderId="0" xfId="0" applyFont="1" applyFill="1"/>
    <xf numFmtId="0" fontId="10" fillId="14" borderId="0" xfId="0" applyFont="1" applyFill="1" applyAlignment="1"/>
    <xf numFmtId="0" fontId="10" fillId="14" borderId="0" xfId="0" applyFont="1" applyFill="1" applyBorder="1" applyAlignment="1"/>
    <xf numFmtId="0" fontId="83" fillId="0" borderId="0" xfId="0" applyFont="1"/>
    <xf numFmtId="0" fontId="2" fillId="14" borderId="0" xfId="0" applyFont="1" applyFill="1"/>
    <xf numFmtId="2" fontId="87" fillId="2" borderId="0" xfId="0" applyNumberFormat="1" applyFont="1" applyFill="1" applyBorder="1" applyAlignment="1">
      <alignment horizontal="center" vertical="center"/>
    </xf>
    <xf numFmtId="0" fontId="78" fillId="14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/>
    </xf>
    <xf numFmtId="0" fontId="10" fillId="0" borderId="0" xfId="0" applyFont="1" applyFill="1" applyBorder="1"/>
    <xf numFmtId="0" fontId="16" fillId="0" borderId="1" xfId="0" applyFont="1" applyBorder="1" applyAlignment="1">
      <alignment horizontal="center"/>
    </xf>
    <xf numFmtId="0" fontId="9" fillId="25" borderId="0" xfId="0" applyFont="1" applyFill="1" applyBorder="1"/>
    <xf numFmtId="0" fontId="10" fillId="25" borderId="0" xfId="0" applyFont="1" applyFill="1" applyBorder="1"/>
    <xf numFmtId="0" fontId="6" fillId="25" borderId="0" xfId="0" applyFont="1" applyFill="1" applyBorder="1"/>
    <xf numFmtId="0" fontId="37" fillId="19" borderId="18" xfId="0" applyFont="1" applyFill="1" applyBorder="1" applyAlignment="1"/>
    <xf numFmtId="0" fontId="10" fillId="0" borderId="0" xfId="0" applyFont="1" applyFill="1" applyBorder="1"/>
    <xf numFmtId="0" fontId="10" fillId="0" borderId="0" xfId="0" applyFont="1" applyFill="1" applyBorder="1"/>
    <xf numFmtId="0" fontId="54" fillId="0" borderId="0" xfId="1" applyFont="1" applyFill="1" applyBorder="1" applyAlignment="1">
      <alignment horizontal="left"/>
    </xf>
    <xf numFmtId="0" fontId="16" fillId="0" borderId="1" xfId="0" applyFont="1" applyBorder="1" applyAlignment="1">
      <alignment horizontal="center"/>
    </xf>
    <xf numFmtId="0" fontId="12" fillId="0" borderId="62" xfId="1" applyFont="1" applyBorder="1" applyAlignment="1"/>
    <xf numFmtId="0" fontId="46" fillId="19" borderId="2" xfId="1" applyFont="1" applyFill="1" applyBorder="1" applyAlignment="1">
      <alignment vertical="center" wrapText="1"/>
    </xf>
    <xf numFmtId="0" fontId="25" fillId="15" borderId="6" xfId="1" applyFont="1" applyFill="1" applyBorder="1" applyAlignment="1">
      <alignment vertical="center" wrapText="1"/>
    </xf>
    <xf numFmtId="0" fontId="26" fillId="15" borderId="6" xfId="1" applyFont="1" applyFill="1" applyBorder="1" applyAlignment="1">
      <alignment vertical="center" wrapText="1"/>
    </xf>
    <xf numFmtId="1" fontId="33" fillId="15" borderId="6" xfId="1" applyNumberFormat="1" applyFont="1" applyFill="1" applyBorder="1" applyAlignment="1">
      <alignment vertical="center" wrapText="1"/>
    </xf>
    <xf numFmtId="1" fontId="33" fillId="15" borderId="0" xfId="1" applyNumberFormat="1" applyFont="1" applyFill="1" applyBorder="1" applyAlignment="1">
      <alignment vertical="center" wrapText="1"/>
    </xf>
    <xf numFmtId="0" fontId="25" fillId="22" borderId="1" xfId="1" applyFont="1" applyFill="1" applyBorder="1" applyAlignment="1">
      <alignment vertical="top" wrapText="1"/>
    </xf>
    <xf numFmtId="0" fontId="10" fillId="0" borderId="0" xfId="0" applyFont="1" applyFill="1" applyBorder="1"/>
    <xf numFmtId="0" fontId="10" fillId="0" borderId="0" xfId="0" applyFont="1" applyFill="1" applyBorder="1"/>
    <xf numFmtId="0" fontId="10" fillId="0" borderId="0" xfId="0" applyFont="1" applyFill="1" applyBorder="1"/>
    <xf numFmtId="4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0" fillId="0" borderId="0" xfId="0" applyFont="1" applyFill="1" applyBorder="1"/>
    <xf numFmtId="0" fontId="16" fillId="0" borderId="1" xfId="0" applyFont="1" applyBorder="1" applyAlignment="1">
      <alignment horizontal="center"/>
    </xf>
    <xf numFmtId="0" fontId="83" fillId="0" borderId="0" xfId="0" applyFont="1" applyBorder="1" applyAlignment="1">
      <alignment horizontal="center" vertical="center"/>
    </xf>
    <xf numFmtId="2" fontId="87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/>
    <xf numFmtId="0" fontId="16" fillId="0" borderId="1" xfId="0" applyFont="1" applyBorder="1" applyAlignment="1">
      <alignment horizontal="center"/>
    </xf>
    <xf numFmtId="0" fontId="76" fillId="2" borderId="63" xfId="0" applyFont="1" applyFill="1" applyBorder="1" applyAlignment="1">
      <alignment horizontal="center" vertical="center"/>
    </xf>
    <xf numFmtId="0" fontId="76" fillId="2" borderId="64" xfId="0" applyFont="1" applyFill="1" applyBorder="1" applyAlignment="1">
      <alignment horizontal="center" vertical="center"/>
    </xf>
    <xf numFmtId="0" fontId="26" fillId="12" borderId="45" xfId="0" applyFont="1" applyFill="1" applyBorder="1" applyAlignment="1">
      <alignment vertical="center"/>
    </xf>
    <xf numFmtId="0" fontId="26" fillId="12" borderId="23" xfId="0" applyFont="1" applyFill="1" applyBorder="1" applyAlignment="1">
      <alignment vertical="center"/>
    </xf>
    <xf numFmtId="0" fontId="26" fillId="12" borderId="50" xfId="0" applyFont="1" applyFill="1" applyBorder="1" applyAlignment="1">
      <alignment vertical="center"/>
    </xf>
    <xf numFmtId="0" fontId="26" fillId="12" borderId="47" xfId="0" applyFont="1" applyFill="1" applyBorder="1" applyAlignment="1">
      <alignment horizontal="center" vertical="center"/>
    </xf>
    <xf numFmtId="0" fontId="26" fillId="12" borderId="64" xfId="0" applyFont="1" applyFill="1" applyBorder="1" applyAlignment="1">
      <alignment horizontal="center" vertical="center"/>
    </xf>
    <xf numFmtId="0" fontId="10" fillId="0" borderId="0" xfId="0" applyFont="1" applyFill="1" applyBorder="1"/>
    <xf numFmtId="0" fontId="23" fillId="7" borderId="3" xfId="0" applyFont="1" applyFill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75" fillId="2" borderId="11" xfId="1" applyFont="1" applyFill="1" applyBorder="1" applyAlignment="1">
      <alignment vertical="center" wrapText="1"/>
    </xf>
    <xf numFmtId="0" fontId="25" fillId="15" borderId="3" xfId="1" applyFont="1" applyFill="1" applyBorder="1" applyAlignment="1">
      <alignment vertical="center" wrapText="1"/>
    </xf>
    <xf numFmtId="0" fontId="10" fillId="0" borderId="0" xfId="0" applyFont="1" applyFill="1" applyBorder="1"/>
    <xf numFmtId="0" fontId="6" fillId="5" borderId="7" xfId="0" applyFont="1" applyFill="1" applyBorder="1"/>
    <xf numFmtId="0" fontId="6" fillId="5" borderId="8" xfId="0" applyFont="1" applyFill="1" applyBorder="1"/>
    <xf numFmtId="10" fontId="7" fillId="5" borderId="8" xfId="0" applyNumberFormat="1" applyFont="1" applyFill="1" applyBorder="1"/>
    <xf numFmtId="10" fontId="13" fillId="5" borderId="8" xfId="0" applyNumberFormat="1" applyFont="1" applyFill="1" applyBorder="1"/>
    <xf numFmtId="10" fontId="20" fillId="8" borderId="9" xfId="0" applyNumberFormat="1" applyFont="1" applyFill="1" applyBorder="1" applyProtection="1"/>
    <xf numFmtId="0" fontId="12" fillId="5" borderId="55" xfId="0" applyFont="1" applyFill="1" applyBorder="1"/>
    <xf numFmtId="0" fontId="6" fillId="5" borderId="56" xfId="0" applyFont="1" applyFill="1" applyBorder="1"/>
    <xf numFmtId="10" fontId="7" fillId="5" borderId="56" xfId="0" applyNumberFormat="1" applyFont="1" applyFill="1" applyBorder="1"/>
    <xf numFmtId="10" fontId="13" fillId="5" borderId="56" xfId="0" applyNumberFormat="1" applyFont="1" applyFill="1" applyBorder="1"/>
    <xf numFmtId="10" fontId="20" fillId="8" borderId="57" xfId="0" applyNumberFormat="1" applyFont="1" applyFill="1" applyBorder="1" applyProtection="1"/>
    <xf numFmtId="0" fontId="12" fillId="5" borderId="34" xfId="0" applyFont="1" applyFill="1" applyBorder="1"/>
    <xf numFmtId="10" fontId="20" fillId="8" borderId="35" xfId="0" applyNumberFormat="1" applyFont="1" applyFill="1" applyBorder="1" applyProtection="1"/>
    <xf numFmtId="0" fontId="12" fillId="5" borderId="36" xfId="0" applyFont="1" applyFill="1" applyBorder="1"/>
    <xf numFmtId="10" fontId="20" fillId="8" borderId="37" xfId="0" applyNumberFormat="1" applyFont="1" applyFill="1" applyBorder="1" applyProtection="1"/>
    <xf numFmtId="0" fontId="12" fillId="5" borderId="40" xfId="0" applyFont="1" applyFill="1" applyBorder="1"/>
    <xf numFmtId="0" fontId="6" fillId="5" borderId="53" xfId="0" applyFont="1" applyFill="1" applyBorder="1"/>
    <xf numFmtId="10" fontId="7" fillId="5" borderId="53" xfId="0" applyNumberFormat="1" applyFont="1" applyFill="1" applyBorder="1"/>
    <xf numFmtId="10" fontId="13" fillId="5" borderId="53" xfId="0" applyNumberFormat="1" applyFont="1" applyFill="1" applyBorder="1"/>
    <xf numFmtId="10" fontId="20" fillId="8" borderId="59" xfId="0" applyNumberFormat="1" applyFont="1" applyFill="1" applyBorder="1" applyProtection="1"/>
    <xf numFmtId="0" fontId="10" fillId="0" borderId="0" xfId="0" applyFont="1" applyFill="1" applyBorder="1"/>
    <xf numFmtId="0" fontId="6" fillId="5" borderId="3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10" fillId="0" borderId="0" xfId="0" applyFont="1" applyFill="1" applyBorder="1"/>
    <xf numFmtId="0" fontId="23" fillId="7" borderId="3" xfId="0" applyFont="1" applyFill="1" applyBorder="1" applyAlignment="1">
      <alignment horizontal="center"/>
    </xf>
    <xf numFmtId="0" fontId="10" fillId="0" borderId="0" xfId="0" applyFont="1" applyFill="1" applyBorder="1"/>
    <xf numFmtId="0" fontId="16" fillId="0" borderId="1" xfId="0" applyFont="1" applyBorder="1" applyAlignment="1">
      <alignment horizontal="center"/>
    </xf>
    <xf numFmtId="0" fontId="10" fillId="0" borderId="0" xfId="0" applyFont="1" applyFill="1" applyBorder="1"/>
    <xf numFmtId="0" fontId="16" fillId="0" borderId="1" xfId="0" applyFont="1" applyBorder="1" applyAlignment="1">
      <alignment horizontal="center"/>
    </xf>
    <xf numFmtId="0" fontId="9" fillId="2" borderId="0" xfId="0" applyFont="1" applyFill="1" applyAlignment="1"/>
    <xf numFmtId="0" fontId="23" fillId="0" borderId="0" xfId="0" applyFont="1" applyAlignment="1"/>
    <xf numFmtId="0" fontId="23" fillId="12" borderId="3" xfId="0" applyFont="1" applyFill="1" applyBorder="1" applyAlignment="1" applyProtection="1">
      <alignment horizontal="center"/>
    </xf>
    <xf numFmtId="0" fontId="2" fillId="2" borderId="0" xfId="0" applyFont="1" applyFill="1"/>
    <xf numFmtId="2" fontId="2" fillId="2" borderId="0" xfId="0" applyNumberFormat="1" applyFont="1" applyFill="1"/>
    <xf numFmtId="0" fontId="23" fillId="7" borderId="3" xfId="0" applyFont="1" applyFill="1" applyBorder="1" applyAlignment="1">
      <alignment horizontal="center"/>
    </xf>
    <xf numFmtId="0" fontId="10" fillId="0" borderId="0" xfId="0" applyFont="1" applyFill="1" applyBorder="1"/>
    <xf numFmtId="0" fontId="10" fillId="0" borderId="0" xfId="0" applyFont="1" applyFill="1" applyBorder="1"/>
    <xf numFmtId="0" fontId="10" fillId="0" borderId="0" xfId="0" applyFont="1" applyFill="1" applyBorder="1"/>
    <xf numFmtId="0" fontId="6" fillId="3" borderId="0" xfId="0" applyFont="1" applyFill="1" applyAlignment="1">
      <alignment horizontal="left"/>
    </xf>
    <xf numFmtId="0" fontId="6" fillId="11" borderId="0" xfId="0" applyFont="1" applyFill="1" applyAlignment="1">
      <alignment horizontal="left"/>
    </xf>
    <xf numFmtId="0" fontId="11" fillId="2" borderId="0" xfId="0" applyFont="1" applyFill="1" applyBorder="1" applyAlignment="1">
      <alignment horizontal="left" vertical="top"/>
    </xf>
    <xf numFmtId="0" fontId="10" fillId="0" borderId="0" xfId="0" applyFont="1" applyFill="1" applyBorder="1"/>
    <xf numFmtId="0" fontId="10" fillId="0" borderId="0" xfId="0" applyFont="1" applyFill="1" applyBorder="1"/>
    <xf numFmtId="0" fontId="26" fillId="12" borderId="67" xfId="0" applyFont="1" applyFill="1" applyBorder="1" applyAlignment="1">
      <alignment vertical="center"/>
    </xf>
    <xf numFmtId="0" fontId="26" fillId="12" borderId="39" xfId="0" applyFont="1" applyFill="1" applyBorder="1" applyAlignment="1">
      <alignment horizontal="center" vertical="center"/>
    </xf>
    <xf numFmtId="0" fontId="10" fillId="0" borderId="0" xfId="0" applyFont="1" applyFill="1" applyBorder="1"/>
    <xf numFmtId="0" fontId="10" fillId="0" borderId="0" xfId="0" applyFont="1" applyFill="1" applyBorder="1"/>
    <xf numFmtId="0" fontId="10" fillId="0" borderId="0" xfId="0" applyFont="1" applyFill="1" applyBorder="1"/>
    <xf numFmtId="0" fontId="35" fillId="19" borderId="18" xfId="0" applyFont="1" applyFill="1" applyBorder="1" applyAlignment="1">
      <alignment vertical="top"/>
    </xf>
    <xf numFmtId="0" fontId="95" fillId="19" borderId="0" xfId="0" applyFont="1" applyFill="1" applyBorder="1" applyAlignment="1">
      <alignment vertical="center"/>
    </xf>
    <xf numFmtId="0" fontId="96" fillId="19" borderId="0" xfId="0" applyFont="1" applyFill="1" applyBorder="1" applyAlignment="1">
      <alignment vertical="center"/>
    </xf>
    <xf numFmtId="0" fontId="10" fillId="0" borderId="0" xfId="0" applyFont="1" applyFill="1" applyBorder="1"/>
    <xf numFmtId="2" fontId="34" fillId="19" borderId="18" xfId="0" applyNumberFormat="1" applyFont="1" applyFill="1" applyBorder="1" applyAlignment="1">
      <alignment horizontal="center"/>
    </xf>
    <xf numFmtId="0" fontId="97" fillId="5" borderId="55" xfId="0" applyFont="1" applyFill="1" applyBorder="1"/>
    <xf numFmtId="0" fontId="10" fillId="0" borderId="0" xfId="0" applyFont="1" applyFill="1" applyBorder="1"/>
    <xf numFmtId="0" fontId="10" fillId="0" borderId="0" xfId="0" applyFont="1" applyFill="1" applyBorder="1"/>
    <xf numFmtId="0" fontId="10" fillId="0" borderId="0" xfId="0" applyFont="1" applyFill="1" applyBorder="1"/>
    <xf numFmtId="2" fontId="26" fillId="24" borderId="37" xfId="1" applyNumberFormat="1" applyFont="1" applyFill="1" applyBorder="1" applyAlignment="1">
      <alignment horizontal="left" wrapText="1"/>
    </xf>
    <xf numFmtId="0" fontId="10" fillId="0" borderId="0" xfId="0" applyFont="1" applyFill="1" applyBorder="1"/>
    <xf numFmtId="0" fontId="10" fillId="0" borderId="0" xfId="0" applyFont="1" applyFill="1" applyBorder="1"/>
    <xf numFmtId="0" fontId="10" fillId="0" borderId="0" xfId="0" applyFont="1" applyFill="1" applyBorder="1"/>
    <xf numFmtId="0" fontId="16" fillId="0" borderId="1" xfId="0" applyFont="1" applyBorder="1" applyAlignment="1">
      <alignment horizontal="center"/>
    </xf>
    <xf numFmtId="4" fontId="9" fillId="0" borderId="0" xfId="0" applyNumberFormat="1" applyFont="1" applyFill="1" applyBorder="1"/>
    <xf numFmtId="0" fontId="10" fillId="0" borderId="0" xfId="0" applyFont="1" applyFill="1" applyBorder="1"/>
    <xf numFmtId="0" fontId="10" fillId="0" borderId="0" xfId="0" applyFont="1" applyFill="1" applyBorder="1"/>
    <xf numFmtId="0" fontId="4" fillId="0" borderId="0" xfId="0" applyFont="1"/>
    <xf numFmtId="0" fontId="10" fillId="0" borderId="0" xfId="0" applyFont="1" applyFill="1" applyBorder="1"/>
    <xf numFmtId="0" fontId="10" fillId="0" borderId="0" xfId="0" applyFont="1" applyFill="1" applyBorder="1"/>
    <xf numFmtId="0" fontId="0" fillId="21" borderId="0" xfId="0" applyFill="1"/>
    <xf numFmtId="0" fontId="11" fillId="0" borderId="0" xfId="0" applyFont="1" applyFill="1" applyBorder="1"/>
    <xf numFmtId="0" fontId="103" fillId="0" borderId="0" xfId="0" applyFont="1"/>
    <xf numFmtId="0" fontId="10" fillId="0" borderId="0" xfId="0" applyFont="1" applyFill="1" applyBorder="1"/>
    <xf numFmtId="0" fontId="10" fillId="0" borderId="0" xfId="0" applyFont="1" applyFill="1" applyBorder="1"/>
    <xf numFmtId="0" fontId="10" fillId="0" borderId="0" xfId="0" applyFont="1" applyFill="1" applyBorder="1"/>
    <xf numFmtId="0" fontId="26" fillId="2" borderId="3" xfId="0" applyFont="1" applyFill="1" applyBorder="1" applyAlignment="1">
      <alignment horizontal="center" vertical="center"/>
    </xf>
    <xf numFmtId="0" fontId="26" fillId="2" borderId="4" xfId="0" applyFont="1" applyFill="1" applyBorder="1" applyAlignment="1">
      <alignment horizontal="center" vertical="center"/>
    </xf>
    <xf numFmtId="0" fontId="25" fillId="16" borderId="3" xfId="1" applyFont="1" applyFill="1" applyBorder="1" applyAlignment="1">
      <alignment horizontal="left" vertical="center" wrapText="1"/>
    </xf>
    <xf numFmtId="0" fontId="25" fillId="16" borderId="6" xfId="1" applyFont="1" applyFill="1" applyBorder="1" applyAlignment="1">
      <alignment horizontal="left" vertical="center" wrapText="1"/>
    </xf>
    <xf numFmtId="0" fontId="25" fillId="16" borderId="4" xfId="1" applyFont="1" applyFill="1" applyBorder="1" applyAlignment="1">
      <alignment horizontal="left" vertical="center" wrapText="1"/>
    </xf>
    <xf numFmtId="0" fontId="23" fillId="9" borderId="3" xfId="0" applyFont="1" applyFill="1" applyBorder="1" applyAlignment="1">
      <alignment horizontal="center"/>
    </xf>
    <xf numFmtId="0" fontId="23" fillId="9" borderId="4" xfId="0" applyFont="1" applyFill="1" applyBorder="1" applyAlignment="1">
      <alignment horizontal="center"/>
    </xf>
    <xf numFmtId="0" fontId="23" fillId="12" borderId="44" xfId="0" applyFont="1" applyFill="1" applyBorder="1" applyAlignment="1">
      <alignment horizontal="center"/>
    </xf>
    <xf numFmtId="0" fontId="23" fillId="12" borderId="59" xfId="0" applyFont="1" applyFill="1" applyBorder="1" applyAlignment="1">
      <alignment horizontal="center"/>
    </xf>
    <xf numFmtId="0" fontId="23" fillId="12" borderId="1" xfId="0" applyFont="1" applyFill="1" applyBorder="1" applyAlignment="1" applyProtection="1">
      <alignment horizontal="center"/>
    </xf>
    <xf numFmtId="0" fontId="26" fillId="2" borderId="36" xfId="0" applyFont="1" applyFill="1" applyBorder="1" applyAlignment="1">
      <alignment horizontal="left"/>
    </xf>
    <xf numFmtId="0" fontId="26" fillId="2" borderId="6" xfId="0" applyFont="1" applyFill="1" applyBorder="1" applyAlignment="1">
      <alignment horizontal="left"/>
    </xf>
    <xf numFmtId="0" fontId="26" fillId="2" borderId="4" xfId="0" applyFont="1" applyFill="1" applyBorder="1" applyAlignment="1">
      <alignment horizontal="left"/>
    </xf>
    <xf numFmtId="0" fontId="25" fillId="16" borderId="3" xfId="1" applyFont="1" applyFill="1" applyBorder="1" applyAlignment="1">
      <alignment horizontal="center" vertical="center" wrapText="1"/>
    </xf>
    <xf numFmtId="0" fontId="25" fillId="16" borderId="6" xfId="1" applyFont="1" applyFill="1" applyBorder="1" applyAlignment="1">
      <alignment horizontal="center" vertical="center" wrapText="1"/>
    </xf>
    <xf numFmtId="0" fontId="25" fillId="16" borderId="4" xfId="1" applyFont="1" applyFill="1" applyBorder="1" applyAlignment="1">
      <alignment horizontal="center" vertical="center" wrapText="1"/>
    </xf>
    <xf numFmtId="0" fontId="26" fillId="13" borderId="36" xfId="0" applyFont="1" applyFill="1" applyBorder="1" applyAlignment="1">
      <alignment horizontal="center" vertical="center"/>
    </xf>
    <xf numFmtId="0" fontId="26" fillId="13" borderId="6" xfId="0" applyFont="1" applyFill="1" applyBorder="1" applyAlignment="1">
      <alignment horizontal="center" vertical="center"/>
    </xf>
    <xf numFmtId="0" fontId="26" fillId="13" borderId="4" xfId="0" applyFont="1" applyFill="1" applyBorder="1" applyAlignment="1">
      <alignment horizontal="center" vertical="center"/>
    </xf>
    <xf numFmtId="0" fontId="23" fillId="7" borderId="3" xfId="0" applyFont="1" applyFill="1" applyBorder="1" applyAlignment="1">
      <alignment horizontal="center"/>
    </xf>
    <xf numFmtId="0" fontId="23" fillId="7" borderId="6" xfId="0" applyFont="1" applyFill="1" applyBorder="1" applyAlignment="1">
      <alignment horizontal="center"/>
    </xf>
    <xf numFmtId="0" fontId="23" fillId="7" borderId="4" xfId="0" applyFont="1" applyFill="1" applyBorder="1" applyAlignment="1">
      <alignment horizontal="center"/>
    </xf>
    <xf numFmtId="0" fontId="23" fillId="12" borderId="3" xfId="0" applyFont="1" applyFill="1" applyBorder="1" applyAlignment="1">
      <alignment horizontal="center"/>
    </xf>
    <xf numFmtId="0" fontId="23" fillId="12" borderId="4" xfId="0" applyFont="1" applyFill="1" applyBorder="1" applyAlignment="1">
      <alignment horizontal="center"/>
    </xf>
    <xf numFmtId="0" fontId="23" fillId="4" borderId="3" xfId="0" applyFont="1" applyFill="1" applyBorder="1" applyAlignment="1">
      <alignment horizontal="center"/>
    </xf>
    <xf numFmtId="0" fontId="23" fillId="4" borderId="6" xfId="0" applyFont="1" applyFill="1" applyBorder="1" applyAlignment="1">
      <alignment horizontal="center"/>
    </xf>
    <xf numFmtId="0" fontId="23" fillId="4" borderId="4" xfId="0" applyFont="1" applyFill="1" applyBorder="1" applyAlignment="1">
      <alignment horizontal="center"/>
    </xf>
    <xf numFmtId="0" fontId="93" fillId="16" borderId="3" xfId="1" applyFont="1" applyFill="1" applyBorder="1" applyAlignment="1">
      <alignment horizontal="left" vertical="center" wrapText="1"/>
    </xf>
    <xf numFmtId="0" fontId="93" fillId="16" borderId="6" xfId="1" applyFont="1" applyFill="1" applyBorder="1" applyAlignment="1">
      <alignment horizontal="left" vertical="center" wrapText="1"/>
    </xf>
    <xf numFmtId="0" fontId="93" fillId="16" borderId="4" xfId="1" applyFont="1" applyFill="1" applyBorder="1" applyAlignment="1">
      <alignment horizontal="left" vertical="center" wrapText="1"/>
    </xf>
    <xf numFmtId="0" fontId="93" fillId="23" borderId="1" xfId="1" applyFont="1" applyFill="1" applyBorder="1" applyAlignment="1">
      <alignment horizontal="center" vertical="center" wrapText="1"/>
    </xf>
    <xf numFmtId="0" fontId="43" fillId="19" borderId="14" xfId="0" applyFont="1" applyFill="1" applyBorder="1" applyAlignment="1">
      <alignment horizontal="center" vertical="center"/>
    </xf>
    <xf numFmtId="0" fontId="43" fillId="19" borderId="15" xfId="0" applyFont="1" applyFill="1" applyBorder="1" applyAlignment="1">
      <alignment horizontal="center" vertical="center"/>
    </xf>
    <xf numFmtId="0" fontId="43" fillId="19" borderId="16" xfId="0" applyFont="1" applyFill="1" applyBorder="1" applyAlignment="1">
      <alignment horizontal="center" vertical="center"/>
    </xf>
    <xf numFmtId="0" fontId="43" fillId="19" borderId="17" xfId="0" applyFont="1" applyFill="1" applyBorder="1" applyAlignment="1">
      <alignment horizontal="center" vertical="center"/>
    </xf>
    <xf numFmtId="0" fontId="43" fillId="19" borderId="18" xfId="0" applyFont="1" applyFill="1" applyBorder="1" applyAlignment="1">
      <alignment horizontal="center" vertical="center"/>
    </xf>
    <xf numFmtId="0" fontId="43" fillId="19" borderId="19" xfId="0" applyFont="1" applyFill="1" applyBorder="1" applyAlignment="1">
      <alignment horizontal="center" vertical="center"/>
    </xf>
    <xf numFmtId="2" fontId="37" fillId="19" borderId="18" xfId="0" applyNumberFormat="1" applyFont="1" applyFill="1" applyBorder="1" applyAlignment="1">
      <alignment horizontal="left"/>
    </xf>
    <xf numFmtId="0" fontId="23" fillId="4" borderId="52" xfId="0" applyFont="1" applyFill="1" applyBorder="1" applyAlignment="1">
      <alignment horizontal="center"/>
    </xf>
    <xf numFmtId="0" fontId="23" fillId="4" borderId="56" xfId="0" applyFont="1" applyFill="1" applyBorder="1" applyAlignment="1">
      <alignment horizontal="center"/>
    </xf>
    <xf numFmtId="0" fontId="23" fillId="4" borderId="58" xfId="0" applyFont="1" applyFill="1" applyBorder="1" applyAlignment="1">
      <alignment horizontal="center"/>
    </xf>
    <xf numFmtId="0" fontId="25" fillId="16" borderId="7" xfId="1" applyFont="1" applyFill="1" applyBorder="1" applyAlignment="1">
      <alignment horizontal="center" vertical="center" wrapText="1"/>
    </xf>
    <xf numFmtId="0" fontId="25" fillId="16" borderId="9" xfId="1" applyFont="1" applyFill="1" applyBorder="1" applyAlignment="1">
      <alignment horizontal="center" vertical="center" wrapText="1"/>
    </xf>
    <xf numFmtId="0" fontId="26" fillId="12" borderId="7" xfId="0" applyFont="1" applyFill="1" applyBorder="1" applyAlignment="1">
      <alignment horizontal="center" vertical="center"/>
    </xf>
    <xf numFmtId="0" fontId="26" fillId="12" borderId="9" xfId="0" applyFont="1" applyFill="1" applyBorder="1" applyAlignment="1">
      <alignment horizontal="center" vertical="center"/>
    </xf>
    <xf numFmtId="0" fontId="26" fillId="12" borderId="61" xfId="0" applyFont="1" applyFill="1" applyBorder="1" applyAlignment="1">
      <alignment horizontal="center" vertical="center"/>
    </xf>
    <xf numFmtId="2" fontId="37" fillId="21" borderId="18" xfId="0" applyNumberFormat="1" applyFont="1" applyFill="1" applyBorder="1" applyAlignment="1">
      <alignment horizontal="center" vertical="center"/>
    </xf>
    <xf numFmtId="2" fontId="37" fillId="21" borderId="19" xfId="0" applyNumberFormat="1" applyFont="1" applyFill="1" applyBorder="1" applyAlignment="1">
      <alignment horizontal="center" vertical="center"/>
    </xf>
    <xf numFmtId="0" fontId="26" fillId="12" borderId="52" xfId="0" applyFont="1" applyFill="1" applyBorder="1" applyAlignment="1">
      <alignment horizontal="center" vertical="center"/>
    </xf>
    <xf numFmtId="0" fontId="26" fillId="12" borderId="58" xfId="0" applyFont="1" applyFill="1" applyBorder="1" applyAlignment="1">
      <alignment horizontal="center" vertical="center"/>
    </xf>
    <xf numFmtId="0" fontId="26" fillId="12" borderId="3" xfId="0" applyFont="1" applyFill="1" applyBorder="1" applyAlignment="1">
      <alignment horizontal="center" vertical="center"/>
    </xf>
    <xf numFmtId="0" fontId="26" fillId="12" borderId="4" xfId="0" applyFont="1" applyFill="1" applyBorder="1" applyAlignment="1">
      <alignment horizontal="center" vertical="center"/>
    </xf>
    <xf numFmtId="0" fontId="23" fillId="0" borderId="14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6" fillId="2" borderId="34" xfId="0" applyFont="1" applyFill="1" applyBorder="1" applyAlignment="1">
      <alignment horizontal="center" vertical="center"/>
    </xf>
    <xf numFmtId="0" fontId="26" fillId="2" borderId="2" xfId="0" applyFont="1" applyFill="1" applyBorder="1" applyAlignment="1">
      <alignment horizontal="center" vertical="center"/>
    </xf>
    <xf numFmtId="0" fontId="32" fillId="12" borderId="3" xfId="0" applyFont="1" applyFill="1" applyBorder="1" applyAlignment="1">
      <alignment horizontal="center"/>
    </xf>
    <xf numFmtId="0" fontId="32" fillId="12" borderId="4" xfId="0" applyFont="1" applyFill="1" applyBorder="1" applyAlignment="1">
      <alignment horizontal="center"/>
    </xf>
    <xf numFmtId="0" fontId="23" fillId="12" borderId="13" xfId="0" applyFont="1" applyFill="1" applyBorder="1" applyAlignment="1">
      <alignment horizontal="center"/>
    </xf>
    <xf numFmtId="0" fontId="23" fillId="12" borderId="35" xfId="0" applyFont="1" applyFill="1" applyBorder="1" applyAlignment="1">
      <alignment horizontal="center"/>
    </xf>
    <xf numFmtId="0" fontId="32" fillId="12" borderId="7" xfId="0" applyFont="1" applyFill="1" applyBorder="1" applyAlignment="1">
      <alignment horizontal="center"/>
    </xf>
    <xf numFmtId="0" fontId="32" fillId="12" borderId="9" xfId="0" applyFont="1" applyFill="1" applyBorder="1" applyAlignment="1">
      <alignment horizontal="center"/>
    </xf>
    <xf numFmtId="0" fontId="25" fillId="23" borderId="3" xfId="1" applyFont="1" applyFill="1" applyBorder="1" applyAlignment="1">
      <alignment horizontal="center" vertical="center" wrapText="1"/>
    </xf>
    <xf numFmtId="0" fontId="25" fillId="23" borderId="6" xfId="1" applyFont="1" applyFill="1" applyBorder="1" applyAlignment="1">
      <alignment horizontal="center" vertical="center" wrapText="1"/>
    </xf>
    <xf numFmtId="0" fontId="25" fillId="23" borderId="4" xfId="1" applyFont="1" applyFill="1" applyBorder="1" applyAlignment="1">
      <alignment horizontal="center" vertical="center" wrapText="1"/>
    </xf>
    <xf numFmtId="0" fontId="32" fillId="12" borderId="6" xfId="0" applyFont="1" applyFill="1" applyBorder="1" applyAlignment="1">
      <alignment horizontal="center"/>
    </xf>
    <xf numFmtId="0" fontId="25" fillId="7" borderId="7" xfId="1" applyFont="1" applyFill="1" applyBorder="1" applyAlignment="1">
      <alignment horizontal="left" vertical="center" wrapText="1"/>
    </xf>
    <xf numFmtId="0" fontId="25" fillId="7" borderId="8" xfId="1" applyFont="1" applyFill="1" applyBorder="1" applyAlignment="1">
      <alignment horizontal="left" vertical="center" wrapText="1"/>
    </xf>
    <xf numFmtId="0" fontId="25" fillId="7" borderId="53" xfId="1" applyFont="1" applyFill="1" applyBorder="1" applyAlignment="1">
      <alignment horizontal="left" vertical="center" wrapText="1"/>
    </xf>
    <xf numFmtId="0" fontId="25" fillId="7" borderId="38" xfId="1" applyFont="1" applyFill="1" applyBorder="1" applyAlignment="1">
      <alignment horizontal="left" vertical="center" wrapText="1"/>
    </xf>
    <xf numFmtId="0" fontId="23" fillId="0" borderId="0" xfId="0" applyFont="1" applyAlignment="1">
      <alignment horizontal="center"/>
    </xf>
    <xf numFmtId="0" fontId="26" fillId="2" borderId="40" xfId="0" applyFont="1" applyFill="1" applyBorder="1" applyAlignment="1">
      <alignment horizontal="left" vertical="center"/>
    </xf>
    <xf numFmtId="0" fontId="26" fillId="2" borderId="53" xfId="0" applyFont="1" applyFill="1" applyBorder="1" applyAlignment="1">
      <alignment horizontal="left" vertical="center"/>
    </xf>
    <xf numFmtId="0" fontId="26" fillId="2" borderId="38" xfId="0" applyFont="1" applyFill="1" applyBorder="1" applyAlignment="1">
      <alignment horizontal="left" vertical="center"/>
    </xf>
    <xf numFmtId="0" fontId="25" fillId="7" borderId="1" xfId="1" applyFont="1" applyFill="1" applyBorder="1" applyAlignment="1">
      <alignment horizontal="left" vertical="center" wrapText="1"/>
    </xf>
    <xf numFmtId="0" fontId="25" fillId="16" borderId="8" xfId="1" applyFont="1" applyFill="1" applyBorder="1" applyAlignment="1">
      <alignment horizontal="center" vertical="center" wrapText="1"/>
    </xf>
    <xf numFmtId="0" fontId="25" fillId="23" borderId="7" xfId="1" applyFont="1" applyFill="1" applyBorder="1" applyAlignment="1">
      <alignment horizontal="center" vertical="center" wrapText="1"/>
    </xf>
    <xf numFmtId="0" fontId="25" fillId="23" borderId="8" xfId="1" applyFont="1" applyFill="1" applyBorder="1" applyAlignment="1">
      <alignment horizontal="center" vertical="center" wrapText="1"/>
    </xf>
    <xf numFmtId="0" fontId="25" fillId="23" borderId="9" xfId="1" applyFont="1" applyFill="1" applyBorder="1" applyAlignment="1">
      <alignment horizontal="center" vertical="center" wrapText="1"/>
    </xf>
    <xf numFmtId="0" fontId="73" fillId="19" borderId="20" xfId="0" applyFont="1" applyFill="1" applyBorder="1" applyAlignment="1">
      <alignment horizontal="right" vertical="center"/>
    </xf>
    <xf numFmtId="0" fontId="73" fillId="19" borderId="0" xfId="0" applyFont="1" applyFill="1" applyBorder="1" applyAlignment="1">
      <alignment horizontal="right" vertical="center"/>
    </xf>
    <xf numFmtId="0" fontId="30" fillId="2" borderId="2" xfId="0" applyFont="1" applyFill="1" applyBorder="1" applyAlignment="1">
      <alignment horizontal="left" vertical="center"/>
    </xf>
    <xf numFmtId="0" fontId="26" fillId="2" borderId="36" xfId="0" applyFont="1" applyFill="1" applyBorder="1" applyAlignment="1">
      <alignment horizontal="center" vertical="center"/>
    </xf>
    <xf numFmtId="0" fontId="26" fillId="2" borderId="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left" vertical="center"/>
    </xf>
    <xf numFmtId="0" fontId="26" fillId="2" borderId="6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left" vertical="center"/>
    </xf>
    <xf numFmtId="0" fontId="58" fillId="12" borderId="36" xfId="0" applyFont="1" applyFill="1" applyBorder="1" applyAlignment="1">
      <alignment horizontal="center" vertical="center"/>
    </xf>
    <xf numFmtId="0" fontId="58" fillId="12" borderId="6" xfId="0" applyFont="1" applyFill="1" applyBorder="1" applyAlignment="1">
      <alignment horizontal="center" vertical="center"/>
    </xf>
    <xf numFmtId="0" fontId="58" fillId="12" borderId="37" xfId="0" applyFont="1" applyFill="1" applyBorder="1" applyAlignment="1">
      <alignment horizontal="center" vertical="center"/>
    </xf>
    <xf numFmtId="0" fontId="23" fillId="7" borderId="52" xfId="0" applyFont="1" applyFill="1" applyBorder="1" applyAlignment="1">
      <alignment horizontal="center"/>
    </xf>
    <xf numFmtId="0" fontId="23" fillId="7" borderId="56" xfId="0" applyFont="1" applyFill="1" applyBorder="1" applyAlignment="1">
      <alignment horizontal="center"/>
    </xf>
    <xf numFmtId="0" fontId="23" fillId="7" borderId="58" xfId="0" applyFont="1" applyFill="1" applyBorder="1" applyAlignment="1">
      <alignment horizontal="center"/>
    </xf>
    <xf numFmtId="0" fontId="37" fillId="19" borderId="18" xfId="0" applyFont="1" applyFill="1" applyBorder="1" applyAlignment="1">
      <alignment horizontal="center" vertical="center"/>
    </xf>
    <xf numFmtId="0" fontId="43" fillId="19" borderId="18" xfId="0" applyFont="1" applyFill="1" applyBorder="1" applyAlignment="1">
      <alignment horizontal="right"/>
    </xf>
    <xf numFmtId="0" fontId="23" fillId="9" borderId="5" xfId="0" applyFont="1" applyFill="1" applyBorder="1" applyAlignment="1">
      <alignment horizontal="center"/>
    </xf>
    <xf numFmtId="0" fontId="23" fillId="9" borderId="66" xfId="0" applyFont="1" applyFill="1" applyBorder="1" applyAlignment="1">
      <alignment horizontal="center"/>
    </xf>
    <xf numFmtId="0" fontId="23" fillId="9" borderId="22" xfId="0" applyFont="1" applyFill="1" applyBorder="1" applyAlignment="1">
      <alignment horizontal="center"/>
    </xf>
    <xf numFmtId="0" fontId="40" fillId="14" borderId="30" xfId="0" applyFont="1" applyFill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25" fillId="15" borderId="6" xfId="1" applyFont="1" applyFill="1" applyBorder="1" applyAlignment="1">
      <alignment horizontal="left" vertical="center" wrapText="1"/>
    </xf>
    <xf numFmtId="0" fontId="25" fillId="15" borderId="4" xfId="1" applyFont="1" applyFill="1" applyBorder="1" applyAlignment="1">
      <alignment horizontal="left" vertical="center" wrapText="1"/>
    </xf>
    <xf numFmtId="0" fontId="31" fillId="13" borderId="33" xfId="0" applyFont="1" applyFill="1" applyBorder="1" applyAlignment="1">
      <alignment horizontal="center" vertical="center" wrapText="1"/>
    </xf>
    <xf numFmtId="0" fontId="31" fillId="13" borderId="8" xfId="0" applyFont="1" applyFill="1" applyBorder="1" applyAlignment="1">
      <alignment horizontal="center" vertical="center" wrapText="1"/>
    </xf>
    <xf numFmtId="0" fontId="31" fillId="13" borderId="9" xfId="0" applyFont="1" applyFill="1" applyBorder="1" applyAlignment="1">
      <alignment horizontal="center" vertical="center" wrapText="1"/>
    </xf>
    <xf numFmtId="0" fontId="31" fillId="13" borderId="34" xfId="0" applyFont="1" applyFill="1" applyBorder="1" applyAlignment="1">
      <alignment horizontal="center" vertical="center" wrapText="1"/>
    </xf>
    <xf numFmtId="0" fontId="31" fillId="13" borderId="2" xfId="0" applyFont="1" applyFill="1" applyBorder="1" applyAlignment="1">
      <alignment horizontal="center" vertical="center" wrapText="1"/>
    </xf>
    <xf numFmtId="0" fontId="31" fillId="13" borderId="12" xfId="0" applyFont="1" applyFill="1" applyBorder="1" applyAlignment="1">
      <alignment horizontal="center" vertical="center" wrapText="1"/>
    </xf>
    <xf numFmtId="0" fontId="31" fillId="13" borderId="36" xfId="0" applyFont="1" applyFill="1" applyBorder="1" applyAlignment="1">
      <alignment horizontal="center" vertical="center" wrapText="1"/>
    </xf>
    <xf numFmtId="0" fontId="31" fillId="13" borderId="6" xfId="0" applyFont="1" applyFill="1" applyBorder="1" applyAlignment="1">
      <alignment horizontal="center" vertical="center" wrapText="1"/>
    </xf>
    <xf numFmtId="0" fontId="24" fillId="15" borderId="3" xfId="0" applyFont="1" applyFill="1" applyBorder="1" applyAlignment="1">
      <alignment horizontal="center"/>
    </xf>
    <xf numFmtId="0" fontId="24" fillId="15" borderId="6" xfId="0" applyFont="1" applyFill="1" applyBorder="1" applyAlignment="1">
      <alignment horizontal="center"/>
    </xf>
    <xf numFmtId="0" fontId="24" fillId="15" borderId="4" xfId="0" applyFont="1" applyFill="1" applyBorder="1" applyAlignment="1">
      <alignment horizontal="center"/>
    </xf>
    <xf numFmtId="0" fontId="23" fillId="12" borderId="61" xfId="0" applyFont="1" applyFill="1" applyBorder="1" applyAlignment="1">
      <alignment horizontal="center"/>
    </xf>
    <xf numFmtId="0" fontId="23" fillId="12" borderId="25" xfId="0" applyFont="1" applyFill="1" applyBorder="1" applyAlignment="1">
      <alignment horizontal="center"/>
    </xf>
    <xf numFmtId="2" fontId="37" fillId="19" borderId="15" xfId="0" applyNumberFormat="1" applyFont="1" applyFill="1" applyBorder="1" applyAlignment="1">
      <alignment horizontal="center" vertical="center"/>
    </xf>
    <xf numFmtId="2" fontId="71" fillId="19" borderId="15" xfId="0" applyNumberFormat="1" applyFont="1" applyFill="1" applyBorder="1" applyAlignment="1">
      <alignment horizontal="center" vertical="center"/>
    </xf>
    <xf numFmtId="0" fontId="73" fillId="14" borderId="30" xfId="0" applyFont="1" applyFill="1" applyBorder="1" applyAlignment="1">
      <alignment horizontal="center"/>
    </xf>
    <xf numFmtId="0" fontId="73" fillId="14" borderId="31" xfId="0" applyFont="1" applyFill="1" applyBorder="1" applyAlignment="1">
      <alignment horizontal="center"/>
    </xf>
    <xf numFmtId="0" fontId="73" fillId="14" borderId="32" xfId="0" applyFont="1" applyFill="1" applyBorder="1" applyAlignment="1">
      <alignment horizontal="center"/>
    </xf>
    <xf numFmtId="0" fontId="73" fillId="14" borderId="14" xfId="0" applyFont="1" applyFill="1" applyBorder="1" applyAlignment="1">
      <alignment horizontal="center" vertical="center"/>
    </xf>
    <xf numFmtId="0" fontId="73" fillId="14" borderId="15" xfId="0" applyFont="1" applyFill="1" applyBorder="1" applyAlignment="1">
      <alignment horizontal="center" vertical="center"/>
    </xf>
    <xf numFmtId="0" fontId="73" fillId="14" borderId="16" xfId="0" applyFont="1" applyFill="1" applyBorder="1" applyAlignment="1">
      <alignment horizontal="center" vertical="center"/>
    </xf>
    <xf numFmtId="0" fontId="23" fillId="12" borderId="1" xfId="0" applyFont="1" applyFill="1" applyBorder="1" applyAlignment="1">
      <alignment horizontal="center"/>
    </xf>
    <xf numFmtId="0" fontId="31" fillId="13" borderId="4" xfId="0" applyFont="1" applyFill="1" applyBorder="1" applyAlignment="1">
      <alignment horizontal="center" vertical="center" wrapText="1"/>
    </xf>
    <xf numFmtId="0" fontId="25" fillId="23" borderId="1" xfId="1" applyFont="1" applyFill="1" applyBorder="1" applyAlignment="1">
      <alignment horizontal="center" vertical="center" wrapText="1"/>
    </xf>
    <xf numFmtId="0" fontId="46" fillId="19" borderId="31" xfId="1" applyFont="1" applyFill="1" applyBorder="1" applyAlignment="1">
      <alignment horizontal="center" vertical="center" wrapText="1"/>
    </xf>
    <xf numFmtId="0" fontId="46" fillId="19" borderId="32" xfId="1" applyFont="1" applyFill="1" applyBorder="1" applyAlignment="1">
      <alignment horizontal="center" vertical="center" wrapText="1"/>
    </xf>
    <xf numFmtId="0" fontId="75" fillId="2" borderId="15" xfId="1" applyFont="1" applyFill="1" applyBorder="1" applyAlignment="1">
      <alignment horizontal="center" wrapText="1"/>
    </xf>
    <xf numFmtId="0" fontId="75" fillId="2" borderId="2" xfId="1" applyFont="1" applyFill="1" applyBorder="1" applyAlignment="1">
      <alignment horizontal="center" wrapText="1"/>
    </xf>
    <xf numFmtId="0" fontId="31" fillId="13" borderId="14" xfId="0" applyFont="1" applyFill="1" applyBorder="1" applyAlignment="1">
      <alignment horizontal="center" vertical="center" wrapText="1"/>
    </xf>
    <xf numFmtId="0" fontId="31" fillId="13" borderId="15" xfId="0" applyFont="1" applyFill="1" applyBorder="1" applyAlignment="1">
      <alignment horizontal="center" vertical="center" wrapText="1"/>
    </xf>
    <xf numFmtId="0" fontId="31" fillId="13" borderId="60" xfId="0" applyFont="1" applyFill="1" applyBorder="1" applyAlignment="1">
      <alignment horizontal="center" vertical="center" wrapText="1"/>
    </xf>
    <xf numFmtId="0" fontId="31" fillId="20" borderId="33" xfId="0" applyFont="1" applyFill="1" applyBorder="1" applyAlignment="1">
      <alignment horizontal="center" vertical="center" wrapText="1"/>
    </xf>
    <xf numFmtId="0" fontId="31" fillId="20" borderId="8" xfId="0" applyFont="1" applyFill="1" applyBorder="1" applyAlignment="1">
      <alignment horizontal="center" vertical="center" wrapText="1"/>
    </xf>
    <xf numFmtId="0" fontId="31" fillId="20" borderId="9" xfId="0" applyFont="1" applyFill="1" applyBorder="1" applyAlignment="1">
      <alignment horizontal="center" vertical="center" wrapText="1"/>
    </xf>
    <xf numFmtId="0" fontId="31" fillId="20" borderId="34" xfId="0" applyFont="1" applyFill="1" applyBorder="1" applyAlignment="1">
      <alignment horizontal="center" vertical="center" wrapText="1"/>
    </xf>
    <xf numFmtId="0" fontId="31" fillId="20" borderId="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0" fontId="23" fillId="12" borderId="6" xfId="0" applyFont="1" applyFill="1" applyBorder="1" applyAlignment="1">
      <alignment horizontal="center"/>
    </xf>
    <xf numFmtId="0" fontId="23" fillId="12" borderId="37" xfId="0" applyFont="1" applyFill="1" applyBorder="1" applyAlignment="1">
      <alignment horizontal="center"/>
    </xf>
    <xf numFmtId="0" fontId="30" fillId="13" borderId="36" xfId="1" applyFont="1" applyFill="1" applyBorder="1" applyAlignment="1">
      <alignment horizontal="left" vertical="center" wrapText="1"/>
    </xf>
    <xf numFmtId="0" fontId="30" fillId="13" borderId="6" xfId="1" applyFont="1" applyFill="1" applyBorder="1" applyAlignment="1">
      <alignment horizontal="left" vertical="center" wrapText="1"/>
    </xf>
    <xf numFmtId="0" fontId="30" fillId="13" borderId="4" xfId="1" applyFont="1" applyFill="1" applyBorder="1" applyAlignment="1">
      <alignment horizontal="left" vertical="center" wrapText="1"/>
    </xf>
    <xf numFmtId="0" fontId="32" fillId="12" borderId="1" xfId="0" applyFont="1" applyFill="1" applyBorder="1" applyAlignment="1">
      <alignment horizontal="center"/>
    </xf>
    <xf numFmtId="0" fontId="26" fillId="24" borderId="3" xfId="1" applyFont="1" applyFill="1" applyBorder="1" applyAlignment="1">
      <alignment horizontal="center" wrapText="1"/>
    </xf>
    <xf numFmtId="0" fontId="75" fillId="24" borderId="6" xfId="1" applyFont="1" applyFill="1" applyBorder="1" applyAlignment="1">
      <alignment horizontal="center" wrapText="1"/>
    </xf>
    <xf numFmtId="0" fontId="23" fillId="12" borderId="53" xfId="0" applyFont="1" applyFill="1" applyBorder="1" applyAlignment="1">
      <alignment horizontal="center"/>
    </xf>
    <xf numFmtId="0" fontId="25" fillId="15" borderId="3" xfId="1" applyFont="1" applyFill="1" applyBorder="1" applyAlignment="1">
      <alignment horizontal="center" vertical="center" wrapText="1"/>
    </xf>
    <xf numFmtId="0" fontId="25" fillId="15" borderId="6" xfId="1" applyFont="1" applyFill="1" applyBorder="1" applyAlignment="1">
      <alignment horizontal="center" vertical="center" wrapText="1"/>
    </xf>
    <xf numFmtId="0" fontId="25" fillId="15" borderId="4" xfId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73" fillId="19" borderId="20" xfId="0" applyFont="1" applyFill="1" applyBorder="1" applyAlignment="1">
      <alignment horizontal="left" vertical="center"/>
    </xf>
    <xf numFmtId="0" fontId="73" fillId="19" borderId="0" xfId="0" applyFont="1" applyFill="1" applyBorder="1" applyAlignment="1">
      <alignment horizontal="left" vertical="center"/>
    </xf>
    <xf numFmtId="0" fontId="31" fillId="13" borderId="17" xfId="0" applyFont="1" applyFill="1" applyBorder="1" applyAlignment="1">
      <alignment horizontal="center" vertical="center" wrapText="1"/>
    </xf>
    <xf numFmtId="0" fontId="31" fillId="13" borderId="18" xfId="0" applyFont="1" applyFill="1" applyBorder="1" applyAlignment="1">
      <alignment horizontal="center" vertical="center" wrapText="1"/>
    </xf>
    <xf numFmtId="0" fontId="31" fillId="13" borderId="54" xfId="0" applyFont="1" applyFill="1" applyBorder="1" applyAlignment="1">
      <alignment horizontal="center" vertical="center" wrapText="1"/>
    </xf>
    <xf numFmtId="0" fontId="43" fillId="19" borderId="14" xfId="0" applyFont="1" applyFill="1" applyBorder="1" applyAlignment="1">
      <alignment horizontal="center" vertical="center" wrapText="1"/>
    </xf>
    <xf numFmtId="0" fontId="43" fillId="19" borderId="15" xfId="0" applyFont="1" applyFill="1" applyBorder="1" applyAlignment="1">
      <alignment horizontal="center" vertical="center" wrapText="1"/>
    </xf>
    <xf numFmtId="0" fontId="43" fillId="19" borderId="16" xfId="0" applyFont="1" applyFill="1" applyBorder="1" applyAlignment="1">
      <alignment horizontal="center" vertical="center" wrapText="1"/>
    </xf>
    <xf numFmtId="0" fontId="80" fillId="19" borderId="40" xfId="0" applyFont="1" applyFill="1" applyBorder="1" applyAlignment="1">
      <alignment horizontal="left" vertical="center"/>
    </xf>
    <xf numFmtId="0" fontId="80" fillId="19" borderId="53" xfId="0" applyFont="1" applyFill="1" applyBorder="1" applyAlignment="1">
      <alignment horizontal="left" vertical="center"/>
    </xf>
    <xf numFmtId="0" fontId="25" fillId="12" borderId="3" xfId="0" applyFont="1" applyFill="1" applyBorder="1" applyAlignment="1">
      <alignment horizontal="center"/>
    </xf>
    <xf numFmtId="0" fontId="25" fillId="12" borderId="4" xfId="0" applyFont="1" applyFill="1" applyBorder="1" applyAlignment="1">
      <alignment horizontal="center"/>
    </xf>
    <xf numFmtId="0" fontId="37" fillId="21" borderId="14" xfId="0" applyFont="1" applyFill="1" applyBorder="1" applyAlignment="1">
      <alignment horizontal="center" vertical="center"/>
    </xf>
    <xf numFmtId="0" fontId="37" fillId="21" borderId="15" xfId="0" applyFont="1" applyFill="1" applyBorder="1" applyAlignment="1">
      <alignment horizontal="center" vertical="center"/>
    </xf>
    <xf numFmtId="0" fontId="37" fillId="21" borderId="16" xfId="0" applyFont="1" applyFill="1" applyBorder="1" applyAlignment="1">
      <alignment horizontal="center" vertical="center"/>
    </xf>
    <xf numFmtId="0" fontId="37" fillId="21" borderId="33" xfId="0" applyFont="1" applyFill="1" applyBorder="1" applyAlignment="1">
      <alignment horizontal="center" vertical="center"/>
    </xf>
    <xf numFmtId="0" fontId="37" fillId="21" borderId="8" xfId="0" applyFont="1" applyFill="1" applyBorder="1" applyAlignment="1">
      <alignment horizontal="center" vertical="center"/>
    </xf>
    <xf numFmtId="0" fontId="37" fillId="21" borderId="48" xfId="0" applyFont="1" applyFill="1" applyBorder="1" applyAlignment="1">
      <alignment horizontal="center" vertical="center"/>
    </xf>
    <xf numFmtId="0" fontId="64" fillId="2" borderId="36" xfId="0" applyFont="1" applyFill="1" applyBorder="1" applyAlignment="1">
      <alignment horizontal="center" vertical="center"/>
    </xf>
    <xf numFmtId="0" fontId="64" fillId="2" borderId="6" xfId="0" applyFont="1" applyFill="1" applyBorder="1" applyAlignment="1">
      <alignment horizontal="center" vertical="center"/>
    </xf>
    <xf numFmtId="0" fontId="64" fillId="2" borderId="37" xfId="0" applyFont="1" applyFill="1" applyBorder="1" applyAlignment="1">
      <alignment horizontal="center" vertical="center"/>
    </xf>
    <xf numFmtId="0" fontId="74" fillId="14" borderId="14" xfId="0" applyFont="1" applyFill="1" applyBorder="1" applyAlignment="1">
      <alignment horizontal="center" vertical="center"/>
    </xf>
    <xf numFmtId="0" fontId="74" fillId="14" borderId="15" xfId="0" applyFont="1" applyFill="1" applyBorder="1" applyAlignment="1">
      <alignment horizontal="center" vertical="center"/>
    </xf>
    <xf numFmtId="0" fontId="74" fillId="14" borderId="16" xfId="0" applyFont="1" applyFill="1" applyBorder="1" applyAlignment="1">
      <alignment horizontal="center" vertical="center"/>
    </xf>
    <xf numFmtId="0" fontId="74" fillId="14" borderId="20" xfId="0" applyFont="1" applyFill="1" applyBorder="1" applyAlignment="1">
      <alignment horizontal="center" vertical="center"/>
    </xf>
    <xf numFmtId="0" fontId="74" fillId="14" borderId="0" xfId="0" applyFont="1" applyFill="1" applyBorder="1" applyAlignment="1">
      <alignment horizontal="center" vertical="center"/>
    </xf>
    <xf numFmtId="0" fontId="74" fillId="14" borderId="21" xfId="0" applyFont="1" applyFill="1" applyBorder="1" applyAlignment="1">
      <alignment horizontal="center" vertical="center"/>
    </xf>
    <xf numFmtId="0" fontId="37" fillId="14" borderId="20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37" fillId="14" borderId="34" xfId="0" applyFont="1" applyFill="1" applyBorder="1" applyAlignment="1">
      <alignment horizontal="center" vertical="center"/>
    </xf>
    <xf numFmtId="0" fontId="0" fillId="14" borderId="2" xfId="0" applyFill="1" applyBorder="1" applyAlignment="1">
      <alignment horizontal="center"/>
    </xf>
    <xf numFmtId="0" fontId="0" fillId="14" borderId="35" xfId="0" applyFill="1" applyBorder="1" applyAlignment="1">
      <alignment horizontal="center"/>
    </xf>
    <xf numFmtId="0" fontId="76" fillId="2" borderId="7" xfId="0" applyFont="1" applyFill="1" applyBorder="1" applyAlignment="1">
      <alignment horizontal="center" vertical="center"/>
    </xf>
    <xf numFmtId="0" fontId="76" fillId="2" borderId="9" xfId="0" applyFont="1" applyFill="1" applyBorder="1" applyAlignment="1">
      <alignment horizontal="center" vertical="center"/>
    </xf>
    <xf numFmtId="0" fontId="74" fillId="14" borderId="30" xfId="0" applyFont="1" applyFill="1" applyBorder="1" applyAlignment="1">
      <alignment horizontal="center" vertical="center"/>
    </xf>
    <xf numFmtId="0" fontId="74" fillId="14" borderId="31" xfId="0" applyFont="1" applyFill="1" applyBorder="1" applyAlignment="1">
      <alignment horizontal="center" vertical="center"/>
    </xf>
    <xf numFmtId="0" fontId="74" fillId="14" borderId="32" xfId="0" applyFont="1" applyFill="1" applyBorder="1" applyAlignment="1">
      <alignment horizontal="center" vertical="center"/>
    </xf>
    <xf numFmtId="0" fontId="76" fillId="2" borderId="3" xfId="0" applyFont="1" applyFill="1" applyBorder="1" applyAlignment="1">
      <alignment horizontal="center" vertical="center"/>
    </xf>
    <xf numFmtId="0" fontId="76" fillId="2" borderId="4" xfId="0" applyFont="1" applyFill="1" applyBorder="1" applyAlignment="1">
      <alignment horizontal="center" vertical="center"/>
    </xf>
    <xf numFmtId="0" fontId="26" fillId="12" borderId="13" xfId="0" applyFont="1" applyFill="1" applyBorder="1" applyAlignment="1">
      <alignment horizontal="center" vertical="center"/>
    </xf>
    <xf numFmtId="0" fontId="26" fillId="12" borderId="12" xfId="0" applyFont="1" applyFill="1" applyBorder="1" applyAlignment="1">
      <alignment horizontal="center" vertical="center"/>
    </xf>
    <xf numFmtId="0" fontId="76" fillId="2" borderId="36" xfId="0" applyFont="1" applyFill="1" applyBorder="1" applyAlignment="1">
      <alignment horizontal="center" vertical="center"/>
    </xf>
    <xf numFmtId="0" fontId="76" fillId="2" borderId="6" xfId="0" applyFont="1" applyFill="1" applyBorder="1" applyAlignment="1">
      <alignment horizontal="center" vertical="center"/>
    </xf>
    <xf numFmtId="0" fontId="76" fillId="2" borderId="37" xfId="0" applyFont="1" applyFill="1" applyBorder="1" applyAlignment="1">
      <alignment horizontal="center" vertical="center"/>
    </xf>
    <xf numFmtId="0" fontId="37" fillId="19" borderId="14" xfId="0" applyFont="1" applyFill="1" applyBorder="1" applyAlignment="1">
      <alignment horizontal="center"/>
    </xf>
    <xf numFmtId="0" fontId="37" fillId="19" borderId="15" xfId="0" applyFont="1" applyFill="1" applyBorder="1" applyAlignment="1">
      <alignment horizontal="center"/>
    </xf>
    <xf numFmtId="0" fontId="24" fillId="19" borderId="14" xfId="0" applyFont="1" applyFill="1" applyBorder="1" applyAlignment="1">
      <alignment horizontal="center"/>
    </xf>
    <xf numFmtId="0" fontId="24" fillId="19" borderId="15" xfId="0" applyFont="1" applyFill="1" applyBorder="1" applyAlignment="1">
      <alignment horizontal="center"/>
    </xf>
    <xf numFmtId="0" fontId="24" fillId="19" borderId="16" xfId="0" applyFont="1" applyFill="1" applyBorder="1" applyAlignment="1">
      <alignment horizontal="center"/>
    </xf>
    <xf numFmtId="0" fontId="73" fillId="19" borderId="20" xfId="0" applyFont="1" applyFill="1" applyBorder="1" applyAlignment="1">
      <alignment horizontal="center"/>
    </xf>
    <xf numFmtId="0" fontId="73" fillId="19" borderId="0" xfId="0" applyFont="1" applyFill="1" applyBorder="1" applyAlignment="1">
      <alignment horizontal="center"/>
    </xf>
    <xf numFmtId="0" fontId="23" fillId="15" borderId="3" xfId="0" applyFont="1" applyFill="1" applyBorder="1" applyAlignment="1">
      <alignment horizontal="center"/>
    </xf>
    <xf numFmtId="0" fontId="23" fillId="15" borderId="6" xfId="0" applyFont="1" applyFill="1" applyBorder="1" applyAlignment="1">
      <alignment horizontal="center"/>
    </xf>
    <xf numFmtId="0" fontId="23" fillId="15" borderId="4" xfId="0" applyFont="1" applyFill="1" applyBorder="1" applyAlignment="1">
      <alignment horizontal="center"/>
    </xf>
    <xf numFmtId="0" fontId="23" fillId="15" borderId="36" xfId="0" applyFont="1" applyFill="1" applyBorder="1" applyAlignment="1">
      <alignment horizontal="center"/>
    </xf>
    <xf numFmtId="0" fontId="102" fillId="2" borderId="18" xfId="1" applyFont="1" applyFill="1" applyBorder="1" applyAlignment="1">
      <alignment horizontal="center" vertical="center" wrapText="1"/>
    </xf>
    <xf numFmtId="0" fontId="32" fillId="2" borderId="17" xfId="1" applyFont="1" applyFill="1" applyBorder="1" applyAlignment="1">
      <alignment horizontal="center" vertical="center" wrapText="1"/>
    </xf>
    <xf numFmtId="0" fontId="32" fillId="2" borderId="18" xfId="1" applyFont="1" applyFill="1" applyBorder="1" applyAlignment="1">
      <alignment horizontal="center" vertical="center" wrapText="1"/>
    </xf>
    <xf numFmtId="0" fontId="24" fillId="6" borderId="36" xfId="0" applyFont="1" applyFill="1" applyBorder="1" applyAlignment="1">
      <alignment horizontal="center"/>
    </xf>
    <xf numFmtId="0" fontId="24" fillId="6" borderId="4" xfId="0" applyFont="1" applyFill="1" applyBorder="1" applyAlignment="1">
      <alignment horizontal="center"/>
    </xf>
    <xf numFmtId="0" fontId="94" fillId="24" borderId="6" xfId="1" applyFont="1" applyFill="1" applyBorder="1" applyAlignment="1">
      <alignment horizontal="center" wrapText="1"/>
    </xf>
    <xf numFmtId="2" fontId="75" fillId="24" borderId="6" xfId="1" applyNumberFormat="1" applyFont="1" applyFill="1" applyBorder="1" applyAlignment="1">
      <alignment horizontal="center" wrapText="1"/>
    </xf>
    <xf numFmtId="0" fontId="25" fillId="15" borderId="53" xfId="1" applyFont="1" applyFill="1" applyBorder="1" applyAlignment="1">
      <alignment horizontal="left" vertical="center" wrapText="1"/>
    </xf>
    <xf numFmtId="0" fontId="25" fillId="15" borderId="38" xfId="1" applyFont="1" applyFill="1" applyBorder="1" applyAlignment="1">
      <alignment horizontal="left" vertical="center" wrapText="1"/>
    </xf>
    <xf numFmtId="0" fontId="43" fillId="24" borderId="3" xfId="1" applyFont="1" applyFill="1" applyBorder="1" applyAlignment="1">
      <alignment horizontal="left" wrapText="1"/>
    </xf>
    <xf numFmtId="0" fontId="74" fillId="24" borderId="6" xfId="1" applyFont="1" applyFill="1" applyBorder="1" applyAlignment="1">
      <alignment horizontal="left" wrapText="1"/>
    </xf>
    <xf numFmtId="0" fontId="74" fillId="24" borderId="37" xfId="1" applyFont="1" applyFill="1" applyBorder="1" applyAlignment="1">
      <alignment horizontal="left" wrapText="1"/>
    </xf>
    <xf numFmtId="1" fontId="23" fillId="15" borderId="3" xfId="0" applyNumberFormat="1" applyFont="1" applyFill="1" applyBorder="1" applyAlignment="1">
      <alignment horizontal="center"/>
    </xf>
    <xf numFmtId="1" fontId="23" fillId="15" borderId="6" xfId="0" applyNumberFormat="1" applyFont="1" applyFill="1" applyBorder="1" applyAlignment="1">
      <alignment horizontal="center"/>
    </xf>
    <xf numFmtId="1" fontId="23" fillId="15" borderId="4" xfId="0" applyNumberFormat="1" applyFont="1" applyFill="1" applyBorder="1" applyAlignment="1">
      <alignment horizontal="center"/>
    </xf>
    <xf numFmtId="0" fontId="24" fillId="6" borderId="55" xfId="0" applyFont="1" applyFill="1" applyBorder="1" applyAlignment="1">
      <alignment horizontal="center"/>
    </xf>
    <xf numFmtId="0" fontId="24" fillId="6" borderId="58" xfId="0" applyFont="1" applyFill="1" applyBorder="1" applyAlignment="1">
      <alignment horizontal="center"/>
    </xf>
    <xf numFmtId="0" fontId="102" fillId="2" borderId="2" xfId="1" applyFont="1" applyFill="1" applyBorder="1" applyAlignment="1">
      <alignment horizontal="center" vertical="center" wrapText="1"/>
    </xf>
    <xf numFmtId="0" fontId="24" fillId="19" borderId="20" xfId="0" applyFont="1" applyFill="1" applyBorder="1" applyAlignment="1">
      <alignment horizontal="center" vertical="center"/>
    </xf>
    <xf numFmtId="0" fontId="24" fillId="19" borderId="0" xfId="0" applyFont="1" applyFill="1" applyBorder="1" applyAlignment="1">
      <alignment horizontal="center" vertical="center"/>
    </xf>
    <xf numFmtId="2" fontId="75" fillId="24" borderId="6" xfId="1" applyNumberFormat="1" applyFont="1" applyFill="1" applyBorder="1" applyAlignment="1">
      <alignment horizontal="left" wrapText="1"/>
    </xf>
    <xf numFmtId="0" fontId="32" fillId="12" borderId="3" xfId="1" applyFont="1" applyFill="1" applyBorder="1" applyAlignment="1">
      <alignment horizontal="center" vertical="center" wrapText="1"/>
    </xf>
    <xf numFmtId="0" fontId="32" fillId="12" borderId="6" xfId="1" applyFont="1" applyFill="1" applyBorder="1" applyAlignment="1">
      <alignment horizontal="center" vertical="center" wrapText="1"/>
    </xf>
    <xf numFmtId="0" fontId="32" fillId="2" borderId="2" xfId="1" applyFont="1" applyFill="1" applyBorder="1" applyAlignment="1">
      <alignment horizontal="center" vertical="center" wrapText="1"/>
    </xf>
    <xf numFmtId="0" fontId="32" fillId="2" borderId="12" xfId="1" applyFont="1" applyFill="1" applyBorder="1" applyAlignment="1">
      <alignment horizontal="center" vertical="center" wrapText="1"/>
    </xf>
    <xf numFmtId="0" fontId="23" fillId="12" borderId="3" xfId="0" applyFont="1" applyFill="1" applyBorder="1" applyAlignment="1" applyProtection="1">
      <alignment horizontal="center"/>
    </xf>
    <xf numFmtId="0" fontId="23" fillId="12" borderId="6" xfId="0" applyFont="1" applyFill="1" applyBorder="1" applyAlignment="1" applyProtection="1">
      <alignment horizontal="center"/>
    </xf>
    <xf numFmtId="0" fontId="30" fillId="2" borderId="7" xfId="1" applyFont="1" applyFill="1" applyBorder="1" applyAlignment="1">
      <alignment horizontal="center" vertical="center" wrapText="1"/>
    </xf>
    <xf numFmtId="0" fontId="30" fillId="2" borderId="8" xfId="1" applyFont="1" applyFill="1" applyBorder="1" applyAlignment="1">
      <alignment horizontal="center" vertical="center" wrapText="1"/>
    </xf>
    <xf numFmtId="0" fontId="30" fillId="2" borderId="11" xfId="1" applyFont="1" applyFill="1" applyBorder="1" applyAlignment="1">
      <alignment horizontal="center" vertical="center" wrapText="1"/>
    </xf>
    <xf numFmtId="0" fontId="30" fillId="2" borderId="0" xfId="1" applyFont="1" applyFill="1" applyBorder="1" applyAlignment="1">
      <alignment horizontal="center" vertical="center" wrapText="1"/>
    </xf>
    <xf numFmtId="0" fontId="24" fillId="15" borderId="1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4" fillId="2" borderId="0" xfId="0" applyFont="1" applyFill="1" applyBorder="1" applyAlignment="1">
      <alignment horizontal="center"/>
    </xf>
    <xf numFmtId="0" fontId="37" fillId="19" borderId="14" xfId="0" applyFont="1" applyFill="1" applyBorder="1" applyAlignment="1">
      <alignment horizontal="center" vertical="center"/>
    </xf>
    <xf numFmtId="0" fontId="37" fillId="19" borderId="15" xfId="0" applyFont="1" applyFill="1" applyBorder="1" applyAlignment="1">
      <alignment horizontal="center" vertical="center"/>
    </xf>
    <xf numFmtId="0" fontId="23" fillId="7" borderId="44" xfId="0" applyFont="1" applyFill="1" applyBorder="1" applyAlignment="1">
      <alignment horizontal="center"/>
    </xf>
    <xf numFmtId="0" fontId="23" fillId="7" borderId="53" xfId="0" applyFont="1" applyFill="1" applyBorder="1" applyAlignment="1">
      <alignment horizontal="center"/>
    </xf>
    <xf numFmtId="0" fontId="23" fillId="7" borderId="38" xfId="0" applyFont="1" applyFill="1" applyBorder="1" applyAlignment="1">
      <alignment horizontal="center"/>
    </xf>
    <xf numFmtId="0" fontId="37" fillId="2" borderId="0" xfId="0" applyFont="1" applyFill="1" applyBorder="1" applyAlignment="1">
      <alignment horizontal="center"/>
    </xf>
    <xf numFmtId="0" fontId="23" fillId="12" borderId="52" xfId="0" applyFont="1" applyFill="1" applyBorder="1" applyAlignment="1">
      <alignment horizontal="center"/>
    </xf>
    <xf numFmtId="0" fontId="23" fillId="12" borderId="58" xfId="0" applyFont="1" applyFill="1" applyBorder="1" applyAlignment="1">
      <alignment horizontal="center"/>
    </xf>
    <xf numFmtId="0" fontId="43" fillId="19" borderId="45" xfId="0" applyFont="1" applyFill="1" applyBorder="1" applyAlignment="1">
      <alignment horizontal="center" vertical="center"/>
    </xf>
    <xf numFmtId="0" fontId="43" fillId="19" borderId="46" xfId="0" applyFont="1" applyFill="1" applyBorder="1" applyAlignment="1">
      <alignment horizontal="center" vertical="center"/>
    </xf>
    <xf numFmtId="0" fontId="43" fillId="19" borderId="47" xfId="0" applyFont="1" applyFill="1" applyBorder="1" applyAlignment="1">
      <alignment horizontal="center" vertical="center"/>
    </xf>
    <xf numFmtId="0" fontId="43" fillId="19" borderId="23" xfId="0" applyFont="1" applyFill="1" applyBorder="1" applyAlignment="1">
      <alignment horizontal="center" vertical="center"/>
    </xf>
    <xf numFmtId="0" fontId="43" fillId="19" borderId="1" xfId="0" applyFont="1" applyFill="1" applyBorder="1" applyAlignment="1">
      <alignment horizontal="center" vertical="center"/>
    </xf>
    <xf numFmtId="0" fontId="43" fillId="19" borderId="24" xfId="0" applyFont="1" applyFill="1" applyBorder="1" applyAlignment="1">
      <alignment horizontal="center" vertical="center"/>
    </xf>
    <xf numFmtId="0" fontId="43" fillId="19" borderId="63" xfId="0" applyFont="1" applyFill="1" applyBorder="1" applyAlignment="1">
      <alignment horizontal="center" vertical="center"/>
    </xf>
    <xf numFmtId="0" fontId="43" fillId="19" borderId="5" xfId="0" applyFont="1" applyFill="1" applyBorder="1" applyAlignment="1">
      <alignment horizontal="center" vertical="center"/>
    </xf>
    <xf numFmtId="0" fontId="43" fillId="19" borderId="61" xfId="0" applyFont="1" applyFill="1" applyBorder="1" applyAlignment="1">
      <alignment horizontal="center" vertical="center"/>
    </xf>
    <xf numFmtId="0" fontId="43" fillId="19" borderId="25" xfId="0" applyFont="1" applyFill="1" applyBorder="1" applyAlignment="1">
      <alignment horizontal="center" vertical="center"/>
    </xf>
    <xf numFmtId="2" fontId="34" fillId="19" borderId="18" xfId="0" applyNumberFormat="1" applyFont="1" applyFill="1" applyBorder="1" applyAlignment="1">
      <alignment horizontal="center" vertical="center"/>
    </xf>
    <xf numFmtId="2" fontId="34" fillId="19" borderId="0" xfId="0" applyNumberFormat="1" applyFont="1" applyFill="1" applyBorder="1" applyAlignment="1">
      <alignment horizontal="center" vertical="center"/>
    </xf>
    <xf numFmtId="0" fontId="23" fillId="15" borderId="40" xfId="0" applyFont="1" applyFill="1" applyBorder="1" applyAlignment="1">
      <alignment horizontal="center"/>
    </xf>
    <xf numFmtId="0" fontId="23" fillId="15" borderId="38" xfId="0" applyFont="1" applyFill="1" applyBorder="1" applyAlignment="1">
      <alignment horizontal="center"/>
    </xf>
    <xf numFmtId="0" fontId="23" fillId="15" borderId="44" xfId="0" applyFont="1" applyFill="1" applyBorder="1" applyAlignment="1">
      <alignment horizontal="center"/>
    </xf>
    <xf numFmtId="0" fontId="23" fillId="15" borderId="53" xfId="0" applyFont="1" applyFill="1" applyBorder="1" applyAlignment="1">
      <alignment horizontal="center"/>
    </xf>
    <xf numFmtId="1" fontId="38" fillId="2" borderId="0" xfId="1" applyNumberFormat="1" applyFont="1" applyFill="1" applyBorder="1" applyAlignment="1">
      <alignment horizontal="center" vertical="center" wrapText="1"/>
    </xf>
    <xf numFmtId="0" fontId="32" fillId="2" borderId="13" xfId="1" applyFont="1" applyFill="1" applyBorder="1" applyAlignment="1">
      <alignment horizontal="center" vertical="center" wrapText="1"/>
    </xf>
    <xf numFmtId="0" fontId="23" fillId="9" borderId="65" xfId="0" applyFont="1" applyFill="1" applyBorder="1" applyAlignment="1">
      <alignment horizontal="center"/>
    </xf>
    <xf numFmtId="0" fontId="92" fillId="2" borderId="17" xfId="0" applyFont="1" applyFill="1" applyBorder="1" applyAlignment="1">
      <alignment horizontal="center" vertical="center"/>
    </xf>
    <xf numFmtId="0" fontId="92" fillId="2" borderId="18" xfId="0" applyFont="1" applyFill="1" applyBorder="1" applyAlignment="1">
      <alignment horizontal="center" vertical="center"/>
    </xf>
    <xf numFmtId="0" fontId="92" fillId="2" borderId="19" xfId="0" applyFont="1" applyFill="1" applyBorder="1" applyAlignment="1">
      <alignment horizontal="center" vertical="center"/>
    </xf>
    <xf numFmtId="0" fontId="37" fillId="21" borderId="30" xfId="1" applyFont="1" applyFill="1" applyBorder="1" applyAlignment="1">
      <alignment horizontal="center" vertical="center" wrapText="1"/>
    </xf>
    <xf numFmtId="0" fontId="37" fillId="21" borderId="31" xfId="1" applyFont="1" applyFill="1" applyBorder="1" applyAlignment="1">
      <alignment horizontal="center" vertical="center" wrapText="1"/>
    </xf>
    <xf numFmtId="0" fontId="37" fillId="21" borderId="32" xfId="1" applyFont="1" applyFill="1" applyBorder="1" applyAlignment="1">
      <alignment horizontal="center" vertical="center" wrapText="1"/>
    </xf>
    <xf numFmtId="0" fontId="32" fillId="2" borderId="19" xfId="1" applyFont="1" applyFill="1" applyBorder="1" applyAlignment="1">
      <alignment horizontal="center" vertical="center" wrapText="1"/>
    </xf>
    <xf numFmtId="0" fontId="23" fillId="12" borderId="56" xfId="0" applyFont="1" applyFill="1" applyBorder="1" applyAlignment="1">
      <alignment horizontal="center"/>
    </xf>
    <xf numFmtId="0" fontId="29" fillId="15" borderId="3" xfId="0" applyFont="1" applyFill="1" applyBorder="1" applyAlignment="1">
      <alignment horizontal="left"/>
    </xf>
    <xf numFmtId="0" fontId="29" fillId="15" borderId="6" xfId="0" applyFont="1" applyFill="1" applyBorder="1" applyAlignment="1">
      <alignment horizontal="left"/>
    </xf>
    <xf numFmtId="0" fontId="29" fillId="15" borderId="37" xfId="0" applyFont="1" applyFill="1" applyBorder="1" applyAlignment="1">
      <alignment horizontal="left"/>
    </xf>
    <xf numFmtId="0" fontId="30" fillId="7" borderId="36" xfId="1" applyFont="1" applyFill="1" applyBorder="1" applyAlignment="1">
      <alignment horizontal="left" vertical="center" wrapText="1"/>
    </xf>
    <xf numFmtId="0" fontId="30" fillId="7" borderId="6" xfId="1" applyFont="1" applyFill="1" applyBorder="1" applyAlignment="1">
      <alignment horizontal="left" vertical="center" wrapText="1"/>
    </xf>
    <xf numFmtId="0" fontId="30" fillId="7" borderId="4" xfId="1" applyFont="1" applyFill="1" applyBorder="1" applyAlignment="1">
      <alignment horizontal="left" vertical="center" wrapText="1"/>
    </xf>
    <xf numFmtId="1" fontId="24" fillId="12" borderId="3" xfId="0" applyNumberFormat="1" applyFont="1" applyFill="1" applyBorder="1" applyAlignment="1">
      <alignment horizontal="center"/>
    </xf>
    <xf numFmtId="1" fontId="24" fillId="12" borderId="37" xfId="0" applyNumberFormat="1" applyFont="1" applyFill="1" applyBorder="1" applyAlignment="1">
      <alignment horizontal="center"/>
    </xf>
    <xf numFmtId="0" fontId="23" fillId="15" borderId="2" xfId="0" applyFont="1" applyFill="1" applyBorder="1" applyAlignment="1">
      <alignment horizontal="left"/>
    </xf>
    <xf numFmtId="0" fontId="23" fillId="15" borderId="35" xfId="0" applyFont="1" applyFill="1" applyBorder="1" applyAlignment="1">
      <alignment horizontal="left"/>
    </xf>
    <xf numFmtId="2" fontId="23" fillId="15" borderId="2" xfId="0" applyNumberFormat="1" applyFont="1" applyFill="1" applyBorder="1" applyAlignment="1">
      <alignment horizontal="right"/>
    </xf>
    <xf numFmtId="0" fontId="39" fillId="15" borderId="34" xfId="0" applyFont="1" applyFill="1" applyBorder="1" applyAlignment="1">
      <alignment horizontal="center"/>
    </xf>
    <xf numFmtId="0" fontId="39" fillId="15" borderId="2" xfId="0" applyFont="1" applyFill="1" applyBorder="1" applyAlignment="1">
      <alignment horizontal="center"/>
    </xf>
    <xf numFmtId="0" fontId="31" fillId="15" borderId="20" xfId="0" applyFont="1" applyFill="1" applyBorder="1" applyAlignment="1">
      <alignment horizontal="center"/>
    </xf>
    <xf numFmtId="0" fontId="31" fillId="15" borderId="0" xfId="0" applyFont="1" applyFill="1" applyBorder="1" applyAlignment="1">
      <alignment horizontal="center"/>
    </xf>
    <xf numFmtId="0" fontId="37" fillId="19" borderId="20" xfId="0" applyFont="1" applyFill="1" applyBorder="1" applyAlignment="1">
      <alignment horizontal="center" vertical="center"/>
    </xf>
    <xf numFmtId="0" fontId="37" fillId="19" borderId="0" xfId="0" applyFont="1" applyFill="1" applyBorder="1" applyAlignment="1">
      <alignment horizontal="center" vertical="center"/>
    </xf>
    <xf numFmtId="2" fontId="24" fillId="15" borderId="0" xfId="0" applyNumberFormat="1" applyFont="1" applyFill="1" applyBorder="1" applyAlignment="1">
      <alignment horizontal="center"/>
    </xf>
    <xf numFmtId="2" fontId="24" fillId="15" borderId="21" xfId="0" applyNumberFormat="1" applyFont="1" applyFill="1" applyBorder="1" applyAlignment="1">
      <alignment horizontal="center"/>
    </xf>
    <xf numFmtId="0" fontId="27" fillId="19" borderId="20" xfId="0" applyFont="1" applyFill="1" applyBorder="1" applyAlignment="1">
      <alignment horizontal="left" vertical="center"/>
    </xf>
    <xf numFmtId="0" fontId="27" fillId="19" borderId="0" xfId="0" applyFont="1" applyFill="1" applyBorder="1" applyAlignment="1">
      <alignment horizontal="left" vertical="center"/>
    </xf>
    <xf numFmtId="0" fontId="73" fillId="19" borderId="34" xfId="0" applyFont="1" applyFill="1" applyBorder="1" applyAlignment="1">
      <alignment horizontal="center"/>
    </xf>
    <xf numFmtId="0" fontId="73" fillId="19" borderId="2" xfId="0" applyFont="1" applyFill="1" applyBorder="1" applyAlignment="1">
      <alignment horizontal="center"/>
    </xf>
    <xf numFmtId="0" fontId="30" fillId="2" borderId="14" xfId="1" applyFont="1" applyFill="1" applyBorder="1" applyAlignment="1">
      <alignment horizontal="center" vertical="center" wrapText="1"/>
    </xf>
    <xf numFmtId="0" fontId="30" fillId="2" borderId="15" xfId="1" applyFont="1" applyFill="1" applyBorder="1" applyAlignment="1">
      <alignment horizontal="center" vertical="center" wrapText="1"/>
    </xf>
    <xf numFmtId="0" fontId="30" fillId="2" borderId="16" xfId="1" applyFont="1" applyFill="1" applyBorder="1" applyAlignment="1">
      <alignment horizontal="center" vertical="center" wrapText="1"/>
    </xf>
    <xf numFmtId="0" fontId="30" fillId="2" borderId="20" xfId="1" applyFont="1" applyFill="1" applyBorder="1" applyAlignment="1">
      <alignment horizontal="center" vertical="center" wrapText="1"/>
    </xf>
    <xf numFmtId="0" fontId="30" fillId="2" borderId="21" xfId="1" applyFont="1" applyFill="1" applyBorder="1" applyAlignment="1">
      <alignment horizontal="center" vertical="center" wrapText="1"/>
    </xf>
    <xf numFmtId="0" fontId="26" fillId="7" borderId="36" xfId="1" applyFont="1" applyFill="1" applyBorder="1" applyAlignment="1">
      <alignment horizontal="left" vertical="center" wrapText="1"/>
    </xf>
    <xf numFmtId="0" fontId="26" fillId="7" borderId="6" xfId="1" applyFont="1" applyFill="1" applyBorder="1" applyAlignment="1">
      <alignment horizontal="left" vertical="center" wrapText="1"/>
    </xf>
    <xf numFmtId="0" fontId="26" fillId="7" borderId="4" xfId="1" applyFont="1" applyFill="1" applyBorder="1" applyAlignment="1">
      <alignment horizontal="left" vertical="center" wrapText="1"/>
    </xf>
    <xf numFmtId="0" fontId="23" fillId="12" borderId="30" xfId="0" applyFont="1" applyFill="1" applyBorder="1" applyAlignment="1">
      <alignment horizontal="center" vertical="center"/>
    </xf>
    <xf numFmtId="0" fontId="23" fillId="12" borderId="32" xfId="0" applyFont="1" applyFill="1" applyBorder="1" applyAlignment="1">
      <alignment horizontal="center" vertical="center"/>
    </xf>
    <xf numFmtId="0" fontId="23" fillId="12" borderId="57" xfId="0" applyFont="1" applyFill="1" applyBorder="1" applyAlignment="1">
      <alignment horizontal="center"/>
    </xf>
    <xf numFmtId="0" fontId="25" fillId="22" borderId="1" xfId="1" applyFont="1" applyFill="1" applyBorder="1" applyAlignment="1">
      <alignment vertical="top" wrapText="1"/>
    </xf>
    <xf numFmtId="0" fontId="23" fillId="15" borderId="1" xfId="0" applyFont="1" applyFill="1" applyBorder="1" applyAlignment="1">
      <alignment horizontal="center"/>
    </xf>
    <xf numFmtId="0" fontId="25" fillId="7" borderId="3" xfId="1" applyFont="1" applyFill="1" applyBorder="1" applyAlignment="1">
      <alignment horizontal="left" vertical="center" wrapText="1"/>
    </xf>
    <xf numFmtId="0" fontId="25" fillId="7" borderId="6" xfId="1" applyFont="1" applyFill="1" applyBorder="1" applyAlignment="1">
      <alignment horizontal="left" vertical="center" wrapText="1"/>
    </xf>
    <xf numFmtId="0" fontId="25" fillId="7" borderId="4" xfId="1" applyFont="1" applyFill="1" applyBorder="1" applyAlignment="1">
      <alignment horizontal="left" vertical="center" wrapText="1"/>
    </xf>
    <xf numFmtId="0" fontId="37" fillId="19" borderId="0" xfId="0" applyFont="1" applyFill="1" applyBorder="1" applyAlignment="1">
      <alignment horizontal="center"/>
    </xf>
    <xf numFmtId="0" fontId="43" fillId="19" borderId="18" xfId="0" applyFont="1" applyFill="1" applyBorder="1" applyAlignment="1">
      <alignment horizontal="center"/>
    </xf>
    <xf numFmtId="0" fontId="43" fillId="19" borderId="19" xfId="0" applyFont="1" applyFill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8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2" fontId="37" fillId="19" borderId="19" xfId="0" applyNumberFormat="1" applyFont="1" applyFill="1" applyBorder="1" applyAlignment="1">
      <alignment horizontal="left"/>
    </xf>
    <xf numFmtId="2" fontId="34" fillId="19" borderId="0" xfId="0" applyNumberFormat="1" applyFont="1" applyFill="1" applyBorder="1" applyAlignment="1">
      <alignment horizontal="center"/>
    </xf>
    <xf numFmtId="0" fontId="37" fillId="19" borderId="18" xfId="0" applyFont="1" applyFill="1" applyBorder="1" applyAlignment="1">
      <alignment horizontal="center"/>
    </xf>
    <xf numFmtId="0" fontId="31" fillId="13" borderId="36" xfId="0" applyFont="1" applyFill="1" applyBorder="1" applyAlignment="1">
      <alignment horizontal="left" vertical="center" wrapText="1"/>
    </xf>
    <xf numFmtId="0" fontId="31" fillId="13" borderId="6" xfId="0" applyFont="1" applyFill="1" applyBorder="1" applyAlignment="1">
      <alignment horizontal="left" vertical="center" wrapText="1"/>
    </xf>
    <xf numFmtId="0" fontId="37" fillId="19" borderId="20" xfId="0" applyFont="1" applyFill="1" applyBorder="1" applyAlignment="1">
      <alignment horizontal="left" vertical="center"/>
    </xf>
    <xf numFmtId="0" fontId="43" fillId="19" borderId="33" xfId="0" applyFont="1" applyFill="1" applyBorder="1" applyAlignment="1">
      <alignment horizontal="center" vertical="center"/>
    </xf>
    <xf numFmtId="0" fontId="74" fillId="19" borderId="8" xfId="0" applyFont="1" applyFill="1" applyBorder="1" applyAlignment="1">
      <alignment horizontal="center" vertical="center"/>
    </xf>
    <xf numFmtId="0" fontId="74" fillId="19" borderId="48" xfId="0" applyFont="1" applyFill="1" applyBorder="1" applyAlignment="1">
      <alignment horizontal="center" vertical="center"/>
    </xf>
    <xf numFmtId="2" fontId="73" fillId="21" borderId="0" xfId="0" applyNumberFormat="1" applyFont="1" applyFill="1" applyBorder="1" applyAlignment="1">
      <alignment horizontal="center" vertical="center"/>
    </xf>
    <xf numFmtId="0" fontId="26" fillId="2" borderId="33" xfId="0" applyFont="1" applyFill="1" applyBorder="1" applyAlignment="1">
      <alignment horizontal="left"/>
    </xf>
    <xf numFmtId="0" fontId="26" fillId="2" borderId="8" xfId="0" applyFont="1" applyFill="1" applyBorder="1" applyAlignment="1">
      <alignment horizontal="left"/>
    </xf>
    <xf numFmtId="0" fontId="26" fillId="2" borderId="9" xfId="0" applyFont="1" applyFill="1" applyBorder="1" applyAlignment="1">
      <alignment horizontal="left"/>
    </xf>
    <xf numFmtId="0" fontId="34" fillId="19" borderId="17" xfId="0" applyFont="1" applyFill="1" applyBorder="1" applyAlignment="1">
      <alignment horizontal="left"/>
    </xf>
    <xf numFmtId="0" fontId="34" fillId="19" borderId="18" xfId="0" applyFont="1" applyFill="1" applyBorder="1" applyAlignment="1">
      <alignment horizontal="left"/>
    </xf>
    <xf numFmtId="0" fontId="23" fillId="9" borderId="52" xfId="0" applyFont="1" applyFill="1" applyBorder="1" applyAlignment="1">
      <alignment horizontal="center"/>
    </xf>
    <xf numFmtId="0" fontId="23" fillId="9" borderId="58" xfId="0" applyFont="1" applyFill="1" applyBorder="1" applyAlignment="1">
      <alignment horizontal="center"/>
    </xf>
    <xf numFmtId="0" fontId="43" fillId="19" borderId="55" xfId="0" applyFont="1" applyFill="1" applyBorder="1" applyAlignment="1">
      <alignment horizontal="center" vertical="center" wrapText="1"/>
    </xf>
    <xf numFmtId="0" fontId="43" fillId="19" borderId="56" xfId="0" applyFont="1" applyFill="1" applyBorder="1" applyAlignment="1">
      <alignment horizontal="center" vertical="center" wrapText="1"/>
    </xf>
    <xf numFmtId="0" fontId="43" fillId="19" borderId="57" xfId="0" applyFont="1" applyFill="1" applyBorder="1" applyAlignment="1">
      <alignment horizontal="center" vertical="center" wrapText="1"/>
    </xf>
    <xf numFmtId="2" fontId="73" fillId="21" borderId="21" xfId="0" applyNumberFormat="1" applyFont="1" applyFill="1" applyBorder="1" applyAlignment="1">
      <alignment horizontal="center" vertical="center"/>
    </xf>
    <xf numFmtId="0" fontId="72" fillId="2" borderId="16" xfId="0" applyFont="1" applyFill="1" applyBorder="1" applyAlignment="1">
      <alignment horizontal="center"/>
    </xf>
    <xf numFmtId="0" fontId="72" fillId="2" borderId="35" xfId="0" applyFont="1" applyFill="1" applyBorder="1" applyAlignment="1">
      <alignment horizontal="center"/>
    </xf>
    <xf numFmtId="0" fontId="25" fillId="17" borderId="3" xfId="1" applyFont="1" applyFill="1" applyBorder="1" applyAlignment="1">
      <alignment horizontal="left" wrapText="1"/>
    </xf>
    <xf numFmtId="0" fontId="25" fillId="17" borderId="6" xfId="1" applyFont="1" applyFill="1" applyBorder="1" applyAlignment="1">
      <alignment horizontal="left" wrapText="1"/>
    </xf>
    <xf numFmtId="0" fontId="25" fillId="17" borderId="4" xfId="1" applyFont="1" applyFill="1" applyBorder="1" applyAlignment="1">
      <alignment horizontal="left" wrapText="1"/>
    </xf>
    <xf numFmtId="0" fontId="37" fillId="19" borderId="14" xfId="0" applyFont="1" applyFill="1" applyBorder="1" applyAlignment="1">
      <alignment horizontal="left" vertical="top"/>
    </xf>
    <xf numFmtId="0" fontId="37" fillId="19" borderId="15" xfId="0" applyFont="1" applyFill="1" applyBorder="1" applyAlignment="1">
      <alignment horizontal="left" vertical="top"/>
    </xf>
    <xf numFmtId="0" fontId="26" fillId="24" borderId="6" xfId="1" applyFont="1" applyFill="1" applyBorder="1" applyAlignment="1">
      <alignment horizontal="right" wrapText="1"/>
    </xf>
    <xf numFmtId="0" fontId="75" fillId="24" borderId="6" xfId="1" applyFont="1" applyFill="1" applyBorder="1" applyAlignment="1">
      <alignment horizontal="right" wrapText="1"/>
    </xf>
    <xf numFmtId="0" fontId="94" fillId="22" borderId="1" xfId="1" applyFont="1" applyFill="1" applyBorder="1" applyAlignment="1">
      <alignment horizontal="center" vertical="center" wrapText="1"/>
    </xf>
    <xf numFmtId="0" fontId="73" fillId="19" borderId="0" xfId="0" applyFont="1" applyFill="1" applyBorder="1" applyAlignment="1">
      <alignment horizontal="left"/>
    </xf>
    <xf numFmtId="0" fontId="23" fillId="12" borderId="24" xfId="0" applyFont="1" applyFill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 vertical="center" textRotation="255"/>
    </xf>
    <xf numFmtId="0" fontId="10" fillId="19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54" fillId="0" borderId="0" xfId="1" applyFont="1" applyFill="1" applyBorder="1" applyAlignment="1">
      <alignment horizontal="left"/>
    </xf>
    <xf numFmtId="0" fontId="54" fillId="0" borderId="0" xfId="1" applyFont="1" applyFill="1" applyBorder="1" applyAlignment="1">
      <alignment horizontal="center"/>
    </xf>
    <xf numFmtId="0" fontId="9" fillId="17" borderId="0" xfId="0" applyFont="1" applyFill="1" applyBorder="1" applyAlignment="1">
      <alignment horizontal="center"/>
    </xf>
    <xf numFmtId="0" fontId="9" fillId="7" borderId="0" xfId="0" applyFont="1" applyFill="1" applyBorder="1" applyAlignment="1">
      <alignment horizontal="center"/>
    </xf>
    <xf numFmtId="0" fontId="10" fillId="0" borderId="0" xfId="0" applyFont="1" applyFill="1" applyBorder="1"/>
    <xf numFmtId="0" fontId="9" fillId="12" borderId="0" xfId="0" applyFont="1" applyFill="1" applyBorder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19" fillId="16" borderId="18" xfId="0" applyFont="1" applyFill="1" applyBorder="1" applyAlignment="1">
      <alignment horizontal="center" vertical="center"/>
    </xf>
    <xf numFmtId="0" fontId="6" fillId="14" borderId="26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6" fillId="14" borderId="27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12" fillId="16" borderId="0" xfId="0" applyFont="1" applyFill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Fill="1" applyAlignment="1">
      <alignment horizontal="left"/>
    </xf>
    <xf numFmtId="0" fontId="6" fillId="16" borderId="0" xfId="0" applyFont="1" applyFill="1" applyAlignment="1">
      <alignment horizontal="center" vertical="center"/>
    </xf>
    <xf numFmtId="0" fontId="6" fillId="11" borderId="26" xfId="0" applyFont="1" applyFill="1" applyBorder="1" applyAlignment="1">
      <alignment horizontal="center" vertical="center"/>
    </xf>
    <xf numFmtId="0" fontId="6" fillId="11" borderId="29" xfId="0" applyFont="1" applyFill="1" applyBorder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1" borderId="0" xfId="0" applyFont="1" applyFill="1" applyAlignment="1">
      <alignment horizontal="left"/>
    </xf>
    <xf numFmtId="2" fontId="16" fillId="0" borderId="3" xfId="0" applyNumberFormat="1" applyFont="1" applyBorder="1" applyAlignment="1">
      <alignment horizontal="center"/>
    </xf>
    <xf numFmtId="2" fontId="16" fillId="0" borderId="4" xfId="0" applyNumberFormat="1" applyFont="1" applyBorder="1" applyAlignment="1">
      <alignment horizontal="center"/>
    </xf>
    <xf numFmtId="0" fontId="11" fillId="0" borderId="3" xfId="1" applyFont="1" applyBorder="1" applyAlignment="1">
      <alignment horizontal="left" vertical="center" wrapText="1"/>
    </xf>
    <xf numFmtId="0" fontId="11" fillId="0" borderId="6" xfId="1" applyFont="1" applyBorder="1" applyAlignment="1">
      <alignment horizontal="left" vertical="center" wrapText="1"/>
    </xf>
    <xf numFmtId="0" fontId="11" fillId="0" borderId="4" xfId="1" applyFont="1" applyBorder="1" applyAlignment="1">
      <alignment horizontal="left" vertical="center" wrapText="1"/>
    </xf>
    <xf numFmtId="0" fontId="11" fillId="0" borderId="6" xfId="1" applyFont="1" applyBorder="1" applyAlignment="1">
      <alignment horizontal="center" vertical="center" wrapText="1"/>
    </xf>
    <xf numFmtId="0" fontId="11" fillId="0" borderId="4" xfId="1" applyFont="1" applyBorder="1" applyAlignment="1">
      <alignment horizontal="center" vertical="center" wrapText="1"/>
    </xf>
    <xf numFmtId="0" fontId="69" fillId="26" borderId="6" xfId="1" applyFont="1" applyFill="1" applyBorder="1" applyAlignment="1">
      <alignment horizontal="center" vertical="center" wrapText="1"/>
    </xf>
    <xf numFmtId="0" fontId="69" fillId="26" borderId="4" xfId="1" applyFont="1" applyFill="1" applyBorder="1" applyAlignment="1">
      <alignment horizontal="center" vertical="center" wrapText="1"/>
    </xf>
    <xf numFmtId="0" fontId="11" fillId="0" borderId="3" xfId="1" applyFont="1" applyBorder="1" applyAlignment="1">
      <alignment horizontal="center" vertical="center" wrapText="1"/>
    </xf>
    <xf numFmtId="0" fontId="69" fillId="26" borderId="3" xfId="1" applyFont="1" applyFill="1" applyBorder="1" applyAlignment="1">
      <alignment horizontal="center" vertical="center" wrapText="1"/>
    </xf>
    <xf numFmtId="0" fontId="17" fillId="0" borderId="6" xfId="1" applyFont="1" applyBorder="1" applyAlignment="1">
      <alignment horizontal="center" vertical="center" wrapText="1"/>
    </xf>
    <xf numFmtId="0" fontId="100" fillId="23" borderId="3" xfId="1" applyFont="1" applyFill="1" applyBorder="1" applyAlignment="1">
      <alignment horizontal="left" vertical="center" wrapText="1"/>
    </xf>
    <xf numFmtId="0" fontId="100" fillId="23" borderId="6" xfId="1" applyFont="1" applyFill="1" applyBorder="1" applyAlignment="1">
      <alignment horizontal="left" vertical="center" wrapText="1"/>
    </xf>
    <xf numFmtId="0" fontId="100" fillId="23" borderId="4" xfId="1" applyFont="1" applyFill="1" applyBorder="1" applyAlignment="1">
      <alignment horizontal="left" vertical="center" wrapText="1"/>
    </xf>
    <xf numFmtId="0" fontId="60" fillId="13" borderId="3" xfId="1" applyFont="1" applyFill="1" applyBorder="1" applyAlignment="1">
      <alignment horizontal="left" vertical="center" wrapText="1"/>
    </xf>
    <xf numFmtId="0" fontId="60" fillId="13" borderId="6" xfId="1" applyFont="1" applyFill="1" applyBorder="1" applyAlignment="1">
      <alignment horizontal="left" vertical="center" wrapText="1"/>
    </xf>
    <xf numFmtId="0" fontId="60" fillId="13" borderId="4" xfId="1" applyFont="1" applyFill="1" applyBorder="1" applyAlignment="1">
      <alignment horizontal="left" vertical="center" wrapText="1"/>
    </xf>
    <xf numFmtId="0" fontId="17" fillId="0" borderId="3" xfId="1" applyFont="1" applyBorder="1" applyAlignment="1">
      <alignment horizontal="center" vertical="center" wrapText="1"/>
    </xf>
    <xf numFmtId="0" fontId="89" fillId="0" borderId="3" xfId="1" applyFont="1" applyBorder="1" applyAlignment="1">
      <alignment horizontal="center" vertical="center" wrapText="1"/>
    </xf>
    <xf numFmtId="0" fontId="89" fillId="0" borderId="6" xfId="1" applyFont="1" applyBorder="1" applyAlignment="1">
      <alignment horizontal="center" vertical="center" wrapText="1"/>
    </xf>
    <xf numFmtId="2" fontId="11" fillId="0" borderId="6" xfId="1" applyNumberFormat="1" applyFont="1" applyBorder="1" applyAlignment="1">
      <alignment horizontal="left" vertical="center" wrapText="1"/>
    </xf>
    <xf numFmtId="0" fontId="11" fillId="0" borderId="1" xfId="1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16" fillId="0" borderId="3" xfId="0" applyFont="1" applyBorder="1" applyAlignment="1">
      <alignment horizontal="left"/>
    </xf>
    <xf numFmtId="0" fontId="16" fillId="0" borderId="6" xfId="0" applyFont="1" applyBorder="1" applyAlignment="1">
      <alignment horizontal="left"/>
    </xf>
    <xf numFmtId="0" fontId="16" fillId="0" borderId="4" xfId="0" applyFont="1" applyBorder="1" applyAlignment="1">
      <alignment horizontal="left"/>
    </xf>
    <xf numFmtId="0" fontId="16" fillId="0" borderId="3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7" fillId="0" borderId="6" xfId="1" applyFont="1" applyBorder="1" applyAlignment="1">
      <alignment horizontal="left" vertical="center" wrapText="1"/>
    </xf>
    <xf numFmtId="0" fontId="17" fillId="0" borderId="4" xfId="1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1" fillId="0" borderId="1" xfId="1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2" fontId="5" fillId="7" borderId="3" xfId="0" applyNumberFormat="1" applyFont="1" applyFill="1" applyBorder="1" applyAlignment="1">
      <alignment horizontal="center" wrapText="1"/>
    </xf>
    <xf numFmtId="2" fontId="5" fillId="7" borderId="6" xfId="0" applyNumberFormat="1" applyFont="1" applyFill="1" applyBorder="1" applyAlignment="1">
      <alignment horizontal="center" wrapText="1"/>
    </xf>
    <xf numFmtId="2" fontId="5" fillId="7" borderId="4" xfId="0" applyNumberFormat="1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center" wrapText="1"/>
    </xf>
    <xf numFmtId="0" fontId="5" fillId="7" borderId="6" xfId="0" applyFont="1" applyFill="1" applyBorder="1" applyAlignment="1">
      <alignment horizontal="center" wrapText="1"/>
    </xf>
    <xf numFmtId="0" fontId="5" fillId="7" borderId="4" xfId="0" applyFont="1" applyFill="1" applyBorder="1" applyAlignment="1">
      <alignment horizontal="center" wrapText="1"/>
    </xf>
    <xf numFmtId="2" fontId="14" fillId="13" borderId="3" xfId="0" applyNumberFormat="1" applyFont="1" applyFill="1" applyBorder="1" applyAlignment="1">
      <alignment horizontal="center"/>
    </xf>
    <xf numFmtId="2" fontId="14" fillId="13" borderId="6" xfId="0" applyNumberFormat="1" applyFont="1" applyFill="1" applyBorder="1" applyAlignment="1">
      <alignment horizontal="center"/>
    </xf>
    <xf numFmtId="0" fontId="5" fillId="13" borderId="3" xfId="0" applyFont="1" applyFill="1" applyBorder="1" applyAlignment="1">
      <alignment horizontal="center"/>
    </xf>
    <xf numFmtId="0" fontId="5" fillId="13" borderId="6" xfId="0" applyFont="1" applyFill="1" applyBorder="1" applyAlignment="1">
      <alignment horizontal="center"/>
    </xf>
    <xf numFmtId="0" fontId="5" fillId="13" borderId="4" xfId="0" applyFont="1" applyFill="1" applyBorder="1" applyAlignment="1">
      <alignment horizontal="center"/>
    </xf>
    <xf numFmtId="0" fontId="98" fillId="0" borderId="3" xfId="1" applyFont="1" applyBorder="1" applyAlignment="1">
      <alignment horizontal="center" vertical="center" wrapText="1"/>
    </xf>
    <xf numFmtId="0" fontId="98" fillId="0" borderId="6" xfId="1" applyFont="1" applyBorder="1" applyAlignment="1">
      <alignment horizontal="center" vertical="center" wrapText="1"/>
    </xf>
    <xf numFmtId="49" fontId="0" fillId="10" borderId="1" xfId="0" applyNumberForma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10" fillId="10" borderId="8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2" fillId="18" borderId="11" xfId="0" applyFont="1" applyFill="1" applyBorder="1" applyAlignment="1">
      <alignment horizontal="center" vertical="center" wrapText="1"/>
    </xf>
    <xf numFmtId="0" fontId="12" fillId="18" borderId="0" xfId="0" applyFont="1" applyFill="1" applyBorder="1" applyAlignment="1">
      <alignment horizontal="center" vertical="center" wrapText="1"/>
    </xf>
    <xf numFmtId="0" fontId="12" fillId="18" borderId="10" xfId="0" applyFont="1" applyFill="1" applyBorder="1" applyAlignment="1">
      <alignment horizontal="center" vertical="center" wrapText="1"/>
    </xf>
    <xf numFmtId="0" fontId="12" fillId="18" borderId="13" xfId="0" applyFont="1" applyFill="1" applyBorder="1" applyAlignment="1">
      <alignment horizontal="center" vertical="center" wrapText="1"/>
    </xf>
    <xf numFmtId="0" fontId="12" fillId="18" borderId="2" xfId="0" applyFont="1" applyFill="1" applyBorder="1" applyAlignment="1">
      <alignment horizontal="center" vertical="center" wrapText="1"/>
    </xf>
    <xf numFmtId="0" fontId="12" fillId="18" borderId="12" xfId="0" applyFont="1" applyFill="1" applyBorder="1" applyAlignment="1">
      <alignment horizontal="center" vertical="center" wrapText="1"/>
    </xf>
    <xf numFmtId="0" fontId="12" fillId="18" borderId="7" xfId="0" applyFont="1" applyFill="1" applyBorder="1" applyAlignment="1">
      <alignment horizontal="center" vertical="center" wrapText="1"/>
    </xf>
    <xf numFmtId="0" fontId="12" fillId="18" borderId="8" xfId="0" applyFont="1" applyFill="1" applyBorder="1" applyAlignment="1">
      <alignment horizontal="center" vertical="center" wrapText="1"/>
    </xf>
    <xf numFmtId="0" fontId="12" fillId="18" borderId="9" xfId="0" applyFont="1" applyFill="1" applyBorder="1" applyAlignment="1">
      <alignment horizontal="center" vertical="center" wrapText="1"/>
    </xf>
    <xf numFmtId="14" fontId="4" fillId="2" borderId="2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11" fillId="0" borderId="3" xfId="1" applyFont="1" applyFill="1" applyBorder="1" applyAlignment="1">
      <alignment horizontal="left" vertical="center" wrapText="1"/>
    </xf>
    <xf numFmtId="0" fontId="11" fillId="0" borderId="6" xfId="1" applyFont="1" applyFill="1" applyBorder="1" applyAlignment="1">
      <alignment horizontal="left" vertical="center" wrapText="1"/>
    </xf>
    <xf numFmtId="0" fontId="4" fillId="10" borderId="0" xfId="0" applyFont="1" applyFill="1" applyAlignment="1">
      <alignment horizontal="left"/>
    </xf>
    <xf numFmtId="0" fontId="4" fillId="18" borderId="0" xfId="0" applyFont="1" applyFill="1" applyAlignment="1">
      <alignment horizontal="left"/>
    </xf>
    <xf numFmtId="0" fontId="0" fillId="10" borderId="0" xfId="0" applyFont="1" applyFill="1" applyAlignment="1">
      <alignment horizontal="left"/>
    </xf>
    <xf numFmtId="0" fontId="4" fillId="8" borderId="3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6" fillId="14" borderId="0" xfId="0" applyFont="1" applyFill="1" applyAlignment="1">
      <alignment horizontal="center" vertical="center"/>
    </xf>
    <xf numFmtId="0" fontId="99" fillId="0" borderId="3" xfId="0" applyFont="1" applyBorder="1" applyAlignment="1">
      <alignment horizontal="left"/>
    </xf>
    <xf numFmtId="0" fontId="99" fillId="0" borderId="6" xfId="0" applyFont="1" applyBorder="1" applyAlignment="1">
      <alignment horizontal="left"/>
    </xf>
    <xf numFmtId="0" fontId="99" fillId="0" borderId="4" xfId="0" applyFont="1" applyBorder="1" applyAlignment="1">
      <alignment horizontal="left"/>
    </xf>
    <xf numFmtId="0" fontId="12" fillId="18" borderId="3" xfId="0" applyFont="1" applyFill="1" applyBorder="1" applyAlignment="1">
      <alignment horizontal="center"/>
    </xf>
    <xf numFmtId="0" fontId="12" fillId="18" borderId="6" xfId="0" applyFont="1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10" borderId="6" xfId="0" applyFill="1" applyBorder="1" applyAlignment="1">
      <alignment horizontal="center"/>
    </xf>
    <xf numFmtId="0" fontId="0" fillId="10" borderId="0" xfId="0" applyFont="1" applyFill="1" applyBorder="1" applyAlignment="1">
      <alignment horizontal="left"/>
    </xf>
    <xf numFmtId="2" fontId="0" fillId="7" borderId="1" xfId="0" applyNumberForma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9" fontId="0" fillId="18" borderId="3" xfId="0" applyNumberFormat="1" applyFill="1" applyBorder="1" applyAlignment="1">
      <alignment horizontal="center"/>
    </xf>
    <xf numFmtId="49" fontId="0" fillId="18" borderId="6" xfId="0" applyNumberFormat="1" applyFill="1" applyBorder="1" applyAlignment="1">
      <alignment horizontal="center"/>
    </xf>
    <xf numFmtId="49" fontId="0" fillId="18" borderId="4" xfId="0" applyNumberFormat="1" applyFill="1" applyBorder="1" applyAlignment="1">
      <alignment horizontal="center"/>
    </xf>
    <xf numFmtId="0" fontId="17" fillId="0" borderId="3" xfId="1" applyFont="1" applyBorder="1" applyAlignment="1">
      <alignment horizontal="left" vertical="center" wrapText="1"/>
    </xf>
    <xf numFmtId="2" fontId="61" fillId="2" borderId="3" xfId="0" applyNumberFormat="1" applyFont="1" applyFill="1" applyBorder="1" applyAlignment="1">
      <alignment horizontal="center"/>
    </xf>
    <xf numFmtId="2" fontId="61" fillId="2" borderId="4" xfId="0" applyNumberFormat="1" applyFont="1" applyFill="1" applyBorder="1" applyAlignment="1">
      <alignment horizontal="center"/>
    </xf>
    <xf numFmtId="0" fontId="101" fillId="0" borderId="1" xfId="0" applyFont="1" applyBorder="1" applyAlignment="1">
      <alignment horizontal="left"/>
    </xf>
    <xf numFmtId="0" fontId="91" fillId="14" borderId="1" xfId="0" applyFont="1" applyFill="1" applyBorder="1" applyAlignment="1">
      <alignment horizontal="center" vertical="center"/>
    </xf>
    <xf numFmtId="0" fontId="89" fillId="0" borderId="1" xfId="0" applyFont="1" applyBorder="1" applyAlignment="1">
      <alignment horizontal="center" vertical="center"/>
    </xf>
    <xf numFmtId="0" fontId="83" fillId="0" borderId="3" xfId="0" applyFont="1" applyBorder="1" applyAlignment="1">
      <alignment horizontal="center" vertical="center"/>
    </xf>
    <xf numFmtId="0" fontId="83" fillId="0" borderId="6" xfId="0" applyFont="1" applyBorder="1" applyAlignment="1">
      <alignment horizontal="center" vertical="center"/>
    </xf>
    <xf numFmtId="0" fontId="83" fillId="0" borderId="4" xfId="0" applyFont="1" applyBorder="1" applyAlignment="1">
      <alignment horizontal="center" vertical="center"/>
    </xf>
    <xf numFmtId="2" fontId="87" fillId="21" borderId="1" xfId="0" applyNumberFormat="1" applyFont="1" applyFill="1" applyBorder="1" applyAlignment="1">
      <alignment horizontal="center" vertical="center"/>
    </xf>
    <xf numFmtId="0" fontId="81" fillId="10" borderId="0" xfId="0" applyFont="1" applyFill="1" applyBorder="1" applyAlignment="1">
      <alignment horizontal="center"/>
    </xf>
    <xf numFmtId="0" fontId="77" fillId="10" borderId="0" xfId="0" applyFont="1" applyFill="1" applyBorder="1" applyAlignment="1">
      <alignment horizontal="right" vertical="center"/>
    </xf>
    <xf numFmtId="0" fontId="83" fillId="10" borderId="0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/>
    </xf>
    <xf numFmtId="0" fontId="83" fillId="0" borderId="1" xfId="0" applyFont="1" applyBorder="1" applyAlignment="1">
      <alignment horizontal="right" vertical="center"/>
    </xf>
    <xf numFmtId="0" fontId="87" fillId="21" borderId="1" xfId="0" applyFont="1" applyFill="1" applyBorder="1" applyAlignment="1">
      <alignment horizontal="center" vertical="center"/>
    </xf>
    <xf numFmtId="0" fontId="83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horizontal="center" vertical="center" wrapText="1"/>
    </xf>
    <xf numFmtId="0" fontId="0" fillId="14" borderId="0" xfId="0" applyFill="1" applyAlignment="1">
      <alignment horizontal="center"/>
    </xf>
    <xf numFmtId="0" fontId="69" fillId="10" borderId="0" xfId="0" applyFont="1" applyFill="1" applyBorder="1" applyAlignment="1">
      <alignment horizontal="center" vertical="center"/>
    </xf>
    <xf numFmtId="0" fontId="86" fillId="23" borderId="7" xfId="0" applyFont="1" applyFill="1" applyBorder="1" applyAlignment="1">
      <alignment horizontal="center" vertical="center"/>
    </xf>
    <xf numFmtId="0" fontId="86" fillId="23" borderId="8" xfId="0" applyFont="1" applyFill="1" applyBorder="1" applyAlignment="1">
      <alignment horizontal="center" vertical="center"/>
    </xf>
    <xf numFmtId="0" fontId="86" fillId="23" borderId="9" xfId="0" applyFont="1" applyFill="1" applyBorder="1" applyAlignment="1">
      <alignment horizontal="center" vertical="center"/>
    </xf>
    <xf numFmtId="0" fontId="86" fillId="23" borderId="11" xfId="0" applyFont="1" applyFill="1" applyBorder="1" applyAlignment="1">
      <alignment horizontal="center" vertical="center"/>
    </xf>
    <xf numFmtId="0" fontId="86" fillId="23" borderId="0" xfId="0" applyFont="1" applyFill="1" applyBorder="1" applyAlignment="1">
      <alignment horizontal="center" vertical="center"/>
    </xf>
    <xf numFmtId="0" fontId="86" fillId="23" borderId="10" xfId="0" applyFont="1" applyFill="1" applyBorder="1" applyAlignment="1">
      <alignment horizontal="center" vertical="center"/>
    </xf>
    <xf numFmtId="0" fontId="86" fillId="23" borderId="13" xfId="0" applyFont="1" applyFill="1" applyBorder="1" applyAlignment="1">
      <alignment horizontal="center" vertical="center"/>
    </xf>
    <xf numFmtId="0" fontId="86" fillId="23" borderId="2" xfId="0" applyFont="1" applyFill="1" applyBorder="1" applyAlignment="1">
      <alignment horizontal="center" vertical="center"/>
    </xf>
    <xf numFmtId="0" fontId="86" fillId="23" borderId="12" xfId="0" applyFont="1" applyFill="1" applyBorder="1" applyAlignment="1">
      <alignment horizontal="center" vertical="center"/>
    </xf>
    <xf numFmtId="2" fontId="86" fillId="23" borderId="1" xfId="0" applyNumberFormat="1" applyFont="1" applyFill="1" applyBorder="1" applyAlignment="1">
      <alignment horizontal="center" vertical="center"/>
    </xf>
    <xf numFmtId="0" fontId="86" fillId="23" borderId="1" xfId="0" applyFont="1" applyFill="1" applyBorder="1" applyAlignment="1">
      <alignment horizontal="center" vertical="center"/>
    </xf>
    <xf numFmtId="2" fontId="89" fillId="23" borderId="1" xfId="0" applyNumberFormat="1" applyFont="1" applyFill="1" applyBorder="1" applyAlignment="1">
      <alignment horizontal="center" vertical="center"/>
    </xf>
    <xf numFmtId="0" fontId="89" fillId="7" borderId="1" xfId="0" applyFont="1" applyFill="1" applyBorder="1" applyAlignment="1">
      <alignment horizontal="center" vertical="center"/>
    </xf>
    <xf numFmtId="0" fontId="83" fillId="2" borderId="0" xfId="0" applyFont="1" applyFill="1" applyBorder="1" applyAlignment="1">
      <alignment horizontal="center" vertical="center"/>
    </xf>
    <xf numFmtId="0" fontId="89" fillId="23" borderId="2" xfId="0" applyFont="1" applyFill="1" applyBorder="1" applyAlignment="1">
      <alignment horizontal="center" vertical="center"/>
    </xf>
    <xf numFmtId="0" fontId="89" fillId="23" borderId="12" xfId="0" applyFont="1" applyFill="1" applyBorder="1" applyAlignment="1">
      <alignment horizontal="center" vertical="center"/>
    </xf>
    <xf numFmtId="2" fontId="89" fillId="7" borderId="3" xfId="0" applyNumberFormat="1" applyFont="1" applyFill="1" applyBorder="1" applyAlignment="1">
      <alignment horizontal="center" vertical="center"/>
    </xf>
    <xf numFmtId="2" fontId="89" fillId="7" borderId="6" xfId="0" applyNumberFormat="1" applyFont="1" applyFill="1" applyBorder="1" applyAlignment="1">
      <alignment horizontal="center" vertical="center"/>
    </xf>
    <xf numFmtId="2" fontId="89" fillId="7" borderId="4" xfId="0" applyNumberFormat="1" applyFont="1" applyFill="1" applyBorder="1" applyAlignment="1">
      <alignment horizontal="center" vertical="center"/>
    </xf>
    <xf numFmtId="0" fontId="91" fillId="14" borderId="55" xfId="0" applyFont="1" applyFill="1" applyBorder="1" applyAlignment="1">
      <alignment horizontal="center" vertical="center"/>
    </xf>
    <xf numFmtId="0" fontId="91" fillId="14" borderId="56" xfId="0" applyFont="1" applyFill="1" applyBorder="1" applyAlignment="1">
      <alignment horizontal="center" vertical="center"/>
    </xf>
    <xf numFmtId="0" fontId="91" fillId="14" borderId="57" xfId="0" applyFont="1" applyFill="1" applyBorder="1" applyAlignment="1">
      <alignment horizontal="center" vertical="center"/>
    </xf>
    <xf numFmtId="0" fontId="89" fillId="2" borderId="33" xfId="0" applyFont="1" applyFill="1" applyBorder="1" applyAlignment="1">
      <alignment horizontal="center" vertical="center" wrapText="1"/>
    </xf>
    <xf numFmtId="0" fontId="89" fillId="2" borderId="8" xfId="0" applyFont="1" applyFill="1" applyBorder="1" applyAlignment="1">
      <alignment horizontal="center" vertical="center" wrapText="1"/>
    </xf>
    <xf numFmtId="0" fontId="89" fillId="2" borderId="48" xfId="0" applyFont="1" applyFill="1" applyBorder="1" applyAlignment="1">
      <alignment horizontal="center" vertical="center" wrapText="1"/>
    </xf>
    <xf numFmtId="0" fontId="89" fillId="2" borderId="20" xfId="0" applyFont="1" applyFill="1" applyBorder="1" applyAlignment="1">
      <alignment horizontal="center" vertical="center" wrapText="1"/>
    </xf>
    <xf numFmtId="0" fontId="89" fillId="2" borderId="0" xfId="0" applyFont="1" applyFill="1" applyBorder="1" applyAlignment="1">
      <alignment horizontal="center" vertical="center" wrapText="1"/>
    </xf>
    <xf numFmtId="0" fontId="89" fillId="2" borderId="21" xfId="0" applyFont="1" applyFill="1" applyBorder="1" applyAlignment="1">
      <alignment horizontal="center" vertical="center" wrapText="1"/>
    </xf>
    <xf numFmtId="0" fontId="89" fillId="2" borderId="34" xfId="0" applyFont="1" applyFill="1" applyBorder="1" applyAlignment="1">
      <alignment horizontal="center" vertical="center" wrapText="1"/>
    </xf>
    <xf numFmtId="0" fontId="89" fillId="2" borderId="2" xfId="0" applyFont="1" applyFill="1" applyBorder="1" applyAlignment="1">
      <alignment horizontal="center" vertical="center" wrapText="1"/>
    </xf>
    <xf numFmtId="0" fontId="89" fillId="2" borderId="35" xfId="0" applyFont="1" applyFill="1" applyBorder="1" applyAlignment="1">
      <alignment horizontal="center" vertical="center" wrapText="1"/>
    </xf>
    <xf numFmtId="2" fontId="87" fillId="21" borderId="44" xfId="0" applyNumberFormat="1" applyFont="1" applyFill="1" applyBorder="1" applyAlignment="1">
      <alignment horizontal="center" vertical="center"/>
    </xf>
    <xf numFmtId="2" fontId="87" fillId="21" borderId="59" xfId="0" applyNumberFormat="1" applyFont="1" applyFill="1" applyBorder="1" applyAlignment="1">
      <alignment horizontal="center" vertical="center"/>
    </xf>
    <xf numFmtId="0" fontId="83" fillId="0" borderId="40" xfId="0" applyFont="1" applyBorder="1" applyAlignment="1">
      <alignment horizontal="center" vertical="center"/>
    </xf>
    <xf numFmtId="0" fontId="83" fillId="0" borderId="53" xfId="0" applyFont="1" applyBorder="1" applyAlignment="1">
      <alignment horizontal="center" vertical="center"/>
    </xf>
    <xf numFmtId="0" fontId="83" fillId="0" borderId="38" xfId="0" applyFont="1" applyBorder="1" applyAlignment="1">
      <alignment horizontal="center" vertical="center"/>
    </xf>
  </cellXfs>
  <cellStyles count="4">
    <cellStyle name="Excel Built-in Normal" xfId="1" xr:uid="{00000000-0005-0000-0000-000000000000}"/>
    <cellStyle name="Normal" xfId="0" builtinId="0"/>
    <cellStyle name="Normal 2" xfId="2" xr:uid="{00000000-0005-0000-0000-000002000000}"/>
    <cellStyle name="Percent" xfId="3" builtinId="5"/>
  </cellStyles>
  <dxfs count="58">
    <dxf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>
          <bgColor rgb="FFFFFF00"/>
        </patternFill>
      </fill>
    </dxf>
    <dxf>
      <fill>
        <patternFill>
          <bgColor rgb="FFBFBFBF"/>
        </patternFill>
      </fill>
    </dxf>
    <dxf>
      <font>
        <color theme="0"/>
      </font>
      <fill>
        <patternFill>
          <bgColor rgb="FF000000"/>
        </patternFill>
      </fill>
    </dxf>
    <dxf>
      <fill>
        <patternFill>
          <bgColor rgb="FFFFFFFF"/>
        </patternFill>
      </fill>
    </dxf>
    <dxf>
      <font>
        <color theme="0"/>
      </font>
      <fill>
        <patternFill>
          <bgColor rgb="FF6B200B"/>
        </patternFill>
      </fill>
    </dxf>
    <dxf>
      <font>
        <color theme="0"/>
      </font>
      <fill>
        <patternFill>
          <bgColor rgb="FF993300"/>
        </patternFill>
      </fill>
    </dxf>
    <dxf>
      <font>
        <color theme="0"/>
      </font>
      <fill>
        <patternFill>
          <bgColor rgb="FFE26B0A"/>
        </patternFill>
      </fill>
    </dxf>
    <dxf>
      <font>
        <color theme="0"/>
      </font>
      <fill>
        <patternFill>
          <bgColor rgb="FF381E0E"/>
        </patternFill>
      </fill>
    </dxf>
    <dxf>
      <font>
        <color theme="0"/>
      </font>
      <fill>
        <patternFill>
          <bgColor rgb="FF595959"/>
        </patternFill>
      </fill>
    </dxf>
    <dxf>
      <font>
        <color auto="1"/>
      </font>
      <fill>
        <patternFill>
          <bgColor rgb="FFFFA375"/>
        </patternFill>
      </fill>
    </dxf>
    <dxf>
      <font>
        <color theme="0"/>
      </font>
      <fill>
        <patternFill>
          <bgColor rgb="FF003300"/>
        </patternFill>
      </fill>
    </dxf>
    <dxf>
      <font>
        <color theme="0"/>
      </font>
      <fill>
        <patternFill>
          <bgColor rgb="FF00700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22F0E"/>
        </patternFill>
      </fill>
    </dxf>
    <dxf>
      <font>
        <color theme="0"/>
      </font>
      <fill>
        <patternFill>
          <bgColor rgb="FF8A0000"/>
        </patternFill>
      </fill>
    </dxf>
    <dxf>
      <font>
        <color theme="0"/>
      </font>
      <fill>
        <patternFill>
          <bgColor rgb="FFFF1515"/>
        </patternFill>
      </fill>
    </dxf>
    <dxf>
      <fill>
        <patternFill>
          <bgColor theme="0"/>
        </patternFill>
      </fill>
    </dxf>
    <dxf>
      <fill>
        <patternFill>
          <bgColor rgb="FFF22F0E"/>
        </patternFill>
      </fill>
    </dxf>
    <dxf>
      <font>
        <color theme="0"/>
      </font>
      <fill>
        <patternFill>
          <bgColor rgb="FF763F36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7000"/>
        </patternFill>
      </fill>
    </dxf>
    <dxf>
      <font>
        <color theme="0"/>
      </font>
      <fill>
        <patternFill>
          <bgColor rgb="FF003300"/>
        </patternFill>
      </fill>
    </dxf>
    <dxf>
      <fill>
        <patternFill>
          <bgColor rgb="FFFFA375"/>
        </patternFill>
      </fill>
    </dxf>
    <dxf>
      <font>
        <color theme="0"/>
      </font>
      <fill>
        <patternFill>
          <bgColor rgb="FF595959"/>
        </patternFill>
      </fill>
    </dxf>
    <dxf>
      <font>
        <color theme="0"/>
      </font>
      <fill>
        <patternFill>
          <bgColor rgb="FFE26B0A"/>
        </patternFill>
      </fill>
    </dxf>
    <dxf>
      <font>
        <color theme="0"/>
      </font>
      <fill>
        <patternFill>
          <bgColor rgb="FF993300"/>
        </patternFill>
      </fill>
    </dxf>
    <dxf>
      <font>
        <color theme="0"/>
      </font>
      <fill>
        <patternFill>
          <bgColor rgb="FF6B200B"/>
        </patternFill>
      </fill>
    </dxf>
    <dxf>
      <font>
        <color theme="0"/>
      </font>
      <fill>
        <patternFill>
          <bgColor rgb="FF381E0E"/>
        </patternFill>
      </fill>
    </dxf>
    <dxf>
      <fill>
        <patternFill>
          <bgColor rgb="FFFFFFFF"/>
        </patternFill>
      </fill>
    </dxf>
    <dxf>
      <font>
        <color theme="0"/>
      </font>
      <fill>
        <patternFill>
          <bgColor rgb="FF000000"/>
        </patternFill>
      </fill>
    </dxf>
    <dxf>
      <fill>
        <patternFill>
          <bgColor rgb="FFBFBFBF"/>
        </patternFill>
      </fill>
    </dxf>
    <dxf>
      <font>
        <color theme="0"/>
      </font>
      <fill>
        <patternFill>
          <bgColor rgb="FFFF1515"/>
        </patternFill>
      </fill>
    </dxf>
    <dxf>
      <font>
        <color theme="0"/>
      </font>
      <fill>
        <patternFill>
          <bgColor rgb="FF8A0000"/>
        </patternFill>
      </fill>
    </dxf>
    <dxf>
      <font>
        <color theme="0"/>
      </font>
      <fill>
        <patternFill>
          <bgColor rgb="FFF22F0E"/>
        </patternFill>
      </fill>
    </dxf>
    <dxf>
      <font>
        <color theme="0"/>
      </font>
      <fill>
        <patternFill>
          <bgColor rgb="FF381E0E"/>
        </patternFill>
      </fill>
    </dxf>
    <dxf>
      <font>
        <color theme="0"/>
      </font>
      <fill>
        <patternFill>
          <bgColor rgb="FF6B200B"/>
        </patternFill>
      </fill>
    </dxf>
    <dxf>
      <font>
        <color theme="0"/>
      </font>
      <fill>
        <patternFill>
          <bgColor rgb="FF993300"/>
        </patternFill>
      </fill>
    </dxf>
    <dxf>
      <font>
        <color theme="0"/>
      </font>
      <fill>
        <patternFill>
          <bgColor rgb="FFE26B0A"/>
        </patternFill>
      </fill>
    </dxf>
    <dxf>
      <font>
        <color theme="0"/>
      </font>
      <fill>
        <patternFill>
          <bgColor rgb="FF595959"/>
        </patternFill>
      </fill>
    </dxf>
    <dxf>
      <fill>
        <patternFill>
          <bgColor rgb="FFFFA375"/>
        </patternFill>
      </fill>
    </dxf>
    <dxf>
      <font>
        <color theme="0"/>
      </font>
      <fill>
        <patternFill>
          <bgColor rgb="FF00700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3300"/>
        </patternFill>
      </fill>
    </dxf>
    <dxf>
      <font>
        <color theme="0"/>
      </font>
      <fill>
        <patternFill>
          <bgColor rgb="FFF22F0E"/>
        </patternFill>
      </fill>
    </dxf>
    <dxf>
      <font>
        <color theme="0"/>
      </font>
      <fill>
        <patternFill>
          <bgColor rgb="FF8A0000"/>
        </patternFill>
      </fill>
    </dxf>
    <dxf>
      <font>
        <color theme="0"/>
      </font>
      <fill>
        <patternFill patternType="solid">
          <bgColor rgb="FFFF1515"/>
        </patternFill>
      </fill>
    </dxf>
    <dxf>
      <fill>
        <patternFill>
          <bgColor rgb="FFBFBFBF"/>
        </patternFill>
      </fill>
    </dxf>
    <dxf>
      <font>
        <color theme="0"/>
      </font>
      <fill>
        <patternFill>
          <bgColor rgb="FF000000"/>
        </patternFill>
      </fill>
    </dxf>
    <dxf>
      <fill>
        <patternFill>
          <bgColor rgb="FFFFFFFF"/>
        </patternFill>
      </fill>
    </dxf>
  </dxfs>
  <tableStyles count="0" defaultTableStyle="TableStyleMedium9" defaultPivotStyle="PivotStyleLight16"/>
  <colors>
    <mruColors>
      <color rgb="FF169A3F"/>
      <color rgb="FF288861"/>
      <color rgb="FF007033"/>
      <color rgb="FFF22F0E"/>
      <color rgb="FFFFFFFF"/>
      <color rgb="FFBFBFBF"/>
      <color rgb="FFFFA375"/>
      <color rgb="FF763F36"/>
      <color rgb="FF000000"/>
      <color rgb="FF381E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15" dropStyle="combo" dx="26" fmlaLink="SELNEW!$A$1" fmlaRange="SELNEW!$A$2:$A$13" sel="1" val="0"/>
</file>

<file path=xl/ctrlProps/ctrlProp2.xml><?xml version="1.0" encoding="utf-8"?>
<formControlPr xmlns="http://schemas.microsoft.com/office/spreadsheetml/2009/9/main" objectType="Drop" dropLines="15" dropStyle="combo" dx="26" fmlaLink="SELNEW!$A$34" fmlaRange="SELNEW!$A$35:$A$44" sel="1" val="0"/>
</file>

<file path=xl/ctrlProps/ctrlProp3.xml><?xml version="1.0" encoding="utf-8"?>
<formControlPr xmlns="http://schemas.microsoft.com/office/spreadsheetml/2009/9/main" objectType="Drop" dropLines="20" dropStyle="combo" dx="26" fmlaLink="SELNEW!$A$47" fmlaRange="SELNEW!$A$48:$A$65" sel="1" val="0"/>
</file>

<file path=xl/ctrlProps/ctrlProp4.xml><?xml version="1.0" encoding="utf-8"?>
<formControlPr xmlns="http://schemas.microsoft.com/office/spreadsheetml/2009/9/main" objectType="Drop" dropLines="15" dropStyle="combo" dx="26" fmlaLink="Select!$B$232" fmlaRange="Select!$B$233:$B$244" sel="1" val="0"/>
</file>

<file path=xl/ctrlProps/ctrlProp5.xml><?xml version="1.0" encoding="utf-8"?>
<formControlPr xmlns="http://schemas.microsoft.com/office/spreadsheetml/2009/9/main" objectType="Drop" dropLines="20" dropStyle="combo" dx="26" fmlaLink="Select!$I$2" fmlaRange="Select!$I$3:$I$21" sel="1" val="0"/>
</file>

<file path=xl/ctrlProps/ctrlProp6.xml><?xml version="1.0" encoding="utf-8"?>
<formControlPr xmlns="http://schemas.microsoft.com/office/spreadsheetml/2009/9/main" objectType="Drop" dropLines="15" dropStyle="combo" dx="26" fmlaLink="SELNEW!$A$68" fmlaRange="SELNEW!$A$69:$A$77" sel="1" val="0"/>
</file>

<file path=xl/ctrlProps/ctrlProp7.xml><?xml version="1.0" encoding="utf-8"?>
<formControlPr xmlns="http://schemas.microsoft.com/office/spreadsheetml/2009/9/main" objectType="Drop" dropLines="25" dropStyle="combo" dx="26" fmlaLink="SELNEW!$A$108" fmlaRange="SELNEW!$A$109:$A$129" sel="1" val="0"/>
</file>

<file path=xl/ctrlProps/ctrlProp8.xml><?xml version="1.0" encoding="utf-8"?>
<formControlPr xmlns="http://schemas.microsoft.com/office/spreadsheetml/2009/9/main" objectType="Drop" dropLines="15" dropStyle="combo" dx="26" fmlaLink="Select!$B$311" fmlaRange="Select!$B$312:$B$325" sel="1" val="0"/>
</file>

<file path=xl/ctrlProps/ctrlProp9.xml><?xml version="1.0" encoding="utf-8"?>
<formControlPr xmlns="http://schemas.microsoft.com/office/spreadsheetml/2009/9/main" objectType="Drop" dropLines="15" dropStyle="combo" dx="26" fmlaLink="Select!$B$349" fmlaRange="Select!$B$350:$B$357" sel="1" val="0"/>
</file>

<file path=xl/ctrlProps/ctrlProp10.xml><?xml version="1.0" encoding="utf-8"?>
<formControlPr xmlns="http://schemas.microsoft.com/office/spreadsheetml/2009/9/main" objectType="Drop" dropLines="20" dropStyle="combo" dx="26" fmlaLink="Select!$B$361" fmlaRange="Select!$B$362:$B$380" sel="1" val="0"/>
</file>

<file path=xl/ctrlProps/ctrlProp11.xml><?xml version="1.0" encoding="utf-8"?>
<formControlPr xmlns="http://schemas.microsoft.com/office/spreadsheetml/2009/9/main" objectType="Drop" dropLines="25" dropStyle="combo" dx="26" fmlaLink="Select!$B$417" fmlaRange="Select!$B$418:$B$437" sel="1" val="0"/>
</file>

<file path=xl/ctrlProps/ctrlProp12.xml><?xml version="1.0" encoding="utf-8"?>
<formControlPr xmlns="http://schemas.microsoft.com/office/spreadsheetml/2009/9/main" objectType="Drop" dropLines="25" dropStyle="combo" dx="26" fmlaLink="Select!$B$440" fmlaRange="Select!$B$441:$B$461" sel="1" val="0"/>
</file>

<file path=xl/ctrlProps/ctrlProp13.xml><?xml version="1.0" encoding="utf-8"?>
<formControlPr xmlns="http://schemas.microsoft.com/office/spreadsheetml/2009/9/main" objectType="Drop" dropLines="20" dropStyle="combo" dx="26" fmlaLink="Select!$B$466" fmlaRange="Select!$B$467:$B$485" sel="1" val="0"/>
</file>

<file path=xl/ctrlProps/ctrlProp14.xml><?xml version="1.0" encoding="utf-8"?>
<formControlPr xmlns="http://schemas.microsoft.com/office/spreadsheetml/2009/9/main" objectType="Drop" dropLines="20" dropStyle="combo" dx="26" fmlaLink="Select!$B$489" fmlaRange="Select!$B$490:$B$508" sel="1" val="0"/>
</file>

<file path=xl/ctrlProps/ctrlProp15.xml><?xml version="1.0" encoding="utf-8"?>
<formControlPr xmlns="http://schemas.microsoft.com/office/spreadsheetml/2009/9/main" objectType="Drop" dropLines="25" dropStyle="combo" dx="26" fmlaLink="Select!$D$489" fmlaRange="Select!$D$490:$D$509" sel="1" val="0"/>
</file>

<file path=xl/ctrlProps/ctrlProp16.xml><?xml version="1.0" encoding="utf-8"?>
<formControlPr xmlns="http://schemas.microsoft.com/office/spreadsheetml/2009/9/main" objectType="Drop" dropLines="20" dropStyle="combo" dx="26" fmlaLink="Select!$B$74" fmlaRange="Select!$B$75:$B$92" sel="1" val="0"/>
</file>

<file path=xl/ctrlProps/ctrlProp17.xml><?xml version="1.0" encoding="utf-8"?>
<formControlPr xmlns="http://schemas.microsoft.com/office/spreadsheetml/2009/9/main" objectType="Drop" dropLines="20" dropStyle="combo" dx="26" fmlaLink="Select!$D$74" fmlaRange="Select!$D$75:$D$92" sel="1" val="0"/>
</file>

<file path=xl/ctrlProps/ctrlProp18.xml><?xml version="1.0" encoding="utf-8"?>
<formControlPr xmlns="http://schemas.microsoft.com/office/spreadsheetml/2009/9/main" objectType="Drop" dropLines="15" dropStyle="combo" dx="26" fmlaLink="SELNEW!$A$138" fmlaRange="SELNEW!$A$139:$A$150" sel="1" val="0"/>
</file>

<file path=xl/ctrlProps/ctrlProp19.xml><?xml version="1.0" encoding="utf-8"?>
<formControlPr xmlns="http://schemas.microsoft.com/office/spreadsheetml/2009/9/main" objectType="Drop" dropLines="30" dropStyle="combo" dx="26" fmlaLink="SELNEW!$A$152" fmlaRange="SELNEW!$A$153:$A$169" sel="1" val="0"/>
</file>

<file path=xl/ctrlProps/ctrlProp20.xml><?xml version="1.0" encoding="utf-8"?>
<formControlPr xmlns="http://schemas.microsoft.com/office/spreadsheetml/2009/9/main" objectType="Drop" dropLines="20" dropStyle="combo" dx="26" fmlaLink="Select!$B$279" fmlaRange="Select!$B$280:$B$286" sel="1" val="0"/>
</file>

<file path=xl/ctrlProps/ctrlProp21.xml><?xml version="1.0" encoding="utf-8"?>
<formControlPr xmlns="http://schemas.microsoft.com/office/spreadsheetml/2009/9/main" objectType="Drop" dropLines="15" dropStyle="combo" dx="26" fmlaLink="Select!$C$311" fmlaRange="Select!$C$312:$C$325" sel="1" val="0"/>
</file>

<file path=xl/ctrlProps/ctrlProp22.xml><?xml version="1.0" encoding="utf-8"?>
<formControlPr xmlns="http://schemas.microsoft.com/office/spreadsheetml/2009/9/main" objectType="Drop" dropLines="15" dropStyle="combo" dx="26" fmlaLink="Select!$D$311" fmlaRange="Select!$D$312:$D$325" sel="1" val="0"/>
</file>

<file path=xl/ctrlProps/ctrlProp23.xml><?xml version="1.0" encoding="utf-8"?>
<formControlPr xmlns="http://schemas.microsoft.com/office/spreadsheetml/2009/9/main" objectType="Drop" dropLines="15" dropStyle="combo" dx="26" fmlaLink="Select!$E$311" fmlaRange="Select!$E$312:$E$325" sel="1" val="0"/>
</file>

<file path=xl/ctrlProps/ctrlProp24.xml><?xml version="1.0" encoding="utf-8"?>
<formControlPr xmlns="http://schemas.microsoft.com/office/spreadsheetml/2009/9/main" objectType="Drop" dropLines="15" dropStyle="combo" dx="26" fmlaLink="Select!$F$311" fmlaRange="Select!$F$312:$F$325" sel="1" val="0"/>
</file>

<file path=xl/ctrlProps/ctrlProp25.xml><?xml version="1.0" encoding="utf-8"?>
<formControlPr xmlns="http://schemas.microsoft.com/office/spreadsheetml/2009/9/main" objectType="Drop" dropLines="15" dropStyle="combo" dx="26" fmlaLink="Select!$G$311" fmlaRange="Select!$G$312:$G$325" sel="1" val="0"/>
</file>

<file path=xl/ctrlProps/ctrlProp26.xml><?xml version="1.0" encoding="utf-8"?>
<formControlPr xmlns="http://schemas.microsoft.com/office/spreadsheetml/2009/9/main" objectType="Drop" dropLines="15" dropStyle="combo" dx="26" fmlaLink="Select!$H$311" fmlaRange="Select!$H$312:$H$325" sel="1" val="0"/>
</file>

<file path=xl/ctrlProps/ctrlProp27.xml><?xml version="1.0" encoding="utf-8"?>
<formControlPr xmlns="http://schemas.microsoft.com/office/spreadsheetml/2009/9/main" objectType="Drop" dropLines="15" dropStyle="combo" dx="26" fmlaLink="Select!$I$311" fmlaRange="Select!$I$312:$I$325" sel="1" val="0"/>
</file>

<file path=xl/ctrlProps/ctrlProp28.xml><?xml version="1.0" encoding="utf-8"?>
<formControlPr xmlns="http://schemas.microsoft.com/office/spreadsheetml/2009/9/main" objectType="Drop" dropLines="15" dropStyle="combo" dx="26" fmlaLink="Select!$J$311" fmlaRange="Select!$J$312:$J$325" sel="1" val="0"/>
</file>

<file path=xl/ctrlProps/ctrlProp29.xml><?xml version="1.0" encoding="utf-8"?>
<formControlPr xmlns="http://schemas.microsoft.com/office/spreadsheetml/2009/9/main" objectType="Drop" dropLines="15" dropStyle="combo" dx="26" fmlaLink="Select!$K$311" fmlaRange="Select!$K$312:$K$325" sel="1" val="0"/>
</file>

<file path=xl/ctrlProps/ctrlProp30.xml><?xml version="1.0" encoding="utf-8"?>
<formControlPr xmlns="http://schemas.microsoft.com/office/spreadsheetml/2009/9/main" objectType="Drop" dropLines="15" dropStyle="combo" dx="26" fmlaLink="Select!$L$311" fmlaRange="Select!$L$312:$L$325" sel="1" val="0"/>
</file>

<file path=xl/ctrlProps/ctrlProp31.xml><?xml version="1.0" encoding="utf-8"?>
<formControlPr xmlns="http://schemas.microsoft.com/office/spreadsheetml/2009/9/main" objectType="Drop" dropLines="15" dropStyle="combo" dx="26" fmlaLink="Select!$M$311" fmlaRange="Select!$M$312:$M$325" sel="1" val="0"/>
</file>

<file path=xl/ctrlProps/ctrlProp32.xml><?xml version="1.0" encoding="utf-8"?>
<formControlPr xmlns="http://schemas.microsoft.com/office/spreadsheetml/2009/9/main" objectType="Drop" dropLines="15" dropStyle="combo" dx="26" fmlaLink="Select!$N$311" fmlaRange="Select!$N$312:$N$325" sel="1" val="0"/>
</file>

<file path=xl/ctrlProps/ctrlProp33.xml><?xml version="1.0" encoding="utf-8"?>
<formControlPr xmlns="http://schemas.microsoft.com/office/spreadsheetml/2009/9/main" objectType="Drop" dropLines="15" dropStyle="combo" dx="26" fmlaLink="Select!$O$311" fmlaRange="Select!$O$312:$O$325" sel="1" val="0"/>
</file>

<file path=xl/ctrlProps/ctrlProp34.xml><?xml version="1.0" encoding="utf-8"?>
<formControlPr xmlns="http://schemas.microsoft.com/office/spreadsheetml/2009/9/main" objectType="Drop" dropLines="15" dropStyle="combo" dx="26" fmlaLink="Select!$P$311" fmlaRange="Select!$P$312:$P$325" sel="1" val="0"/>
</file>

<file path=xl/ctrlProps/ctrlProp35.xml><?xml version="1.0" encoding="utf-8"?>
<formControlPr xmlns="http://schemas.microsoft.com/office/spreadsheetml/2009/9/main" objectType="Drop" dropLines="15" dropStyle="combo" dx="26" fmlaLink="Select!$Q$311" fmlaRange="Select!$Q$312:$Q$325" sel="1" val="0"/>
</file>

<file path=xl/ctrlProps/ctrlProp36.xml><?xml version="1.0" encoding="utf-8"?>
<formControlPr xmlns="http://schemas.microsoft.com/office/spreadsheetml/2009/9/main" objectType="Drop" dropLines="15" dropStyle="combo" dx="26" fmlaLink="Select!$R$311" fmlaRange="Select!$R$312:$R$325" sel="1" val="0"/>
</file>

<file path=xl/ctrlProps/ctrlProp37.xml><?xml version="1.0" encoding="utf-8"?>
<formControlPr xmlns="http://schemas.microsoft.com/office/spreadsheetml/2009/9/main" objectType="Drop" dropLines="15" dropStyle="combo" dx="26" fmlaLink="Select!$S$311" fmlaRange="Select!$S$312:$S$325" sel="1" val="0"/>
</file>

<file path=xl/ctrlProps/ctrlProp38.xml><?xml version="1.0" encoding="utf-8"?>
<formControlPr xmlns="http://schemas.microsoft.com/office/spreadsheetml/2009/9/main" objectType="Drop" dropLines="15" dropStyle="combo" dx="26" fmlaLink="Select!$T$311" fmlaRange="Select!$T$312:$T$325" sel="1" val="0"/>
</file>

<file path=xl/ctrlProps/ctrlProp39.xml><?xml version="1.0" encoding="utf-8"?>
<formControlPr xmlns="http://schemas.microsoft.com/office/spreadsheetml/2009/9/main" objectType="Drop" dropLines="15" dropStyle="combo" dx="26" fmlaLink="Select!$U$311" fmlaRange="Select!$U$312:$U$325" sel="1" val="0"/>
</file>

<file path=xl/ctrlProps/ctrlProp40.xml><?xml version="1.0" encoding="utf-8"?>
<formControlPr xmlns="http://schemas.microsoft.com/office/spreadsheetml/2009/9/main" objectType="Drop" dropLines="15" dropStyle="combo" dx="26" fmlaLink="Select!$V$311" fmlaRange="Select!$V$312:$V$325" sel="13" val="0"/>
</file>

<file path=xl/ctrlProps/ctrlProp41.xml><?xml version="1.0" encoding="utf-8"?>
<formControlPr xmlns="http://schemas.microsoft.com/office/spreadsheetml/2009/9/main" objectType="Drop" dropLines="15" dropStyle="combo" dx="26" fmlaLink="Select!$W$311" fmlaRange="Select!$W$312:$W$325" sel="4" val="0"/>
</file>

<file path=xl/ctrlProps/ctrlProp42.xml><?xml version="1.0" encoding="utf-8"?>
<formControlPr xmlns="http://schemas.microsoft.com/office/spreadsheetml/2009/9/main" objectType="Drop" dropLines="15" dropStyle="combo" dx="26" fmlaLink="Select!$X$311" fmlaRange="Select!$X$312:$X$325" sel="1" val="0"/>
</file>

<file path=xl/ctrlProps/ctrlProp43.xml><?xml version="1.0" encoding="utf-8"?>
<formControlPr xmlns="http://schemas.microsoft.com/office/spreadsheetml/2009/9/main" objectType="Drop" dropLines="15" dropStyle="combo" dx="26" fmlaLink="Select!$Y$311" fmlaRange="Select!$Y$312:$Y$325" sel="1" val="0"/>
</file>

<file path=xl/ctrlProps/ctrlProp44.xml><?xml version="1.0" encoding="utf-8"?>
<formControlPr xmlns="http://schemas.microsoft.com/office/spreadsheetml/2009/9/main" objectType="Drop" dropLines="15" dropStyle="combo" dx="26" fmlaLink="Select!$Z$311" fmlaRange="Select!$Z$312:$Z$314" sel="1" val="0"/>
</file>

<file path=xl/ctrlProps/ctrlProp45.xml><?xml version="1.0" encoding="utf-8"?>
<formControlPr xmlns="http://schemas.microsoft.com/office/spreadsheetml/2009/9/main" objectType="Drop" dropLines="15" dropStyle="combo" dx="26" fmlaLink="Select!$AA$311" fmlaRange="Select!$AA$312:$AA$314" sel="1" val="0"/>
</file>

<file path=xl/ctrlProps/ctrlProp46.xml><?xml version="1.0" encoding="utf-8"?>
<formControlPr xmlns="http://schemas.microsoft.com/office/spreadsheetml/2009/9/main" objectType="Drop" dropLines="15" dropStyle="combo" dx="26" fmlaLink="Select!$AB$311" fmlaRange="Select!$AB$312:$AB$319" sel="1" val="0"/>
</file>

<file path=xl/ctrlProps/ctrlProp47.xml><?xml version="1.0" encoding="utf-8"?>
<formControlPr xmlns="http://schemas.microsoft.com/office/spreadsheetml/2009/9/main" objectType="Drop" dropLines="15" dropStyle="combo" dx="26" fmlaLink="Select!$AC$311" fmlaRange="Select!$AC$312:$AC$319" sel="1" val="0"/>
</file>

<file path=xl/ctrlProps/ctrlProp48.xml><?xml version="1.0" encoding="utf-8"?>
<formControlPr xmlns="http://schemas.microsoft.com/office/spreadsheetml/2009/9/main" objectType="Drop" dropLines="15" dropStyle="combo" dx="26" fmlaLink="Select!$AD$311" fmlaRange="Select!$AD$312:$AD$319" sel="1" val="0"/>
</file>

<file path=xl/ctrlProps/ctrlProp49.xml><?xml version="1.0" encoding="utf-8"?>
<formControlPr xmlns="http://schemas.microsoft.com/office/spreadsheetml/2009/9/main" objectType="Drop" dropLines="15" dropStyle="combo" dx="26" fmlaLink="Select!$AE$311" fmlaRange="Select!$AE$312:$AE$319" sel="1" val="0"/>
</file>

<file path=xl/ctrlProps/ctrlProp50.xml><?xml version="1.0" encoding="utf-8"?>
<formControlPr xmlns="http://schemas.microsoft.com/office/spreadsheetml/2009/9/main" objectType="Drop" dropLines="15" dropStyle="combo" dx="26" fmlaLink="Select!$B$331" fmlaRange="Select!$B$332:$B$345" sel="1" val="0"/>
</file>

<file path=xl/ctrlProps/ctrlProp51.xml><?xml version="1.0" encoding="utf-8"?>
<formControlPr xmlns="http://schemas.microsoft.com/office/spreadsheetml/2009/9/main" objectType="Drop" dropLines="20" dropStyle="combo" dx="26" fmlaLink="Select!$B$127" fmlaRange="Select!$B$128:$B$141" sel="1" val="0"/>
</file>

<file path=xl/ctrlProps/ctrlProp52.xml><?xml version="1.0" encoding="utf-8"?>
<formControlPr xmlns="http://schemas.microsoft.com/office/spreadsheetml/2009/9/main" objectType="Drop" dropLines="15" dropStyle="combo" dx="26" fmlaLink="Select!$B$2048" fmlaRange="Select!$B$2049:$B$2052" sel="1" val="0"/>
</file>

<file path=xl/ctrlProps/ctrlProp53.xml><?xml version="1.0" encoding="utf-8"?>
<formControlPr xmlns="http://schemas.microsoft.com/office/spreadsheetml/2009/9/main" objectType="Drop" dropLines="20" dropStyle="combo" dx="26" fmlaLink="Select!$H$74" fmlaRange="Select!$H$75:$H$79" sel="1" val="0"/>
</file>

<file path=xl/ctrlProps/ctrlProp54.xml><?xml version="1.0" encoding="utf-8"?>
<formControlPr xmlns="http://schemas.microsoft.com/office/spreadsheetml/2009/9/main" objectType="Drop" dropLines="20" dropStyle="combo" dx="26" fmlaLink="Select!$I$74" fmlaRange="Select!$I$75:$I$83" sel="1" val="0"/>
</file>

<file path=xl/ctrlProps/ctrlProp55.xml><?xml version="1.0" encoding="utf-8"?>
<formControlPr xmlns="http://schemas.microsoft.com/office/spreadsheetml/2009/9/main" objectType="Drop" dropLines="15" dropStyle="combo" dx="26" fmlaLink="Select!$CA$1" fmlaRange="Select!$CA$2:$CA$3" sel="1" val="0"/>
</file>

<file path=xl/ctrlProps/ctrlProp56.xml><?xml version="1.0" encoding="utf-8"?>
<formControlPr xmlns="http://schemas.microsoft.com/office/spreadsheetml/2009/9/main" objectType="Drop" dropLines="15" dropStyle="combo" dx="26" fmlaLink="SELNEW!$A$132" fmlaRange="SELNEW!$A$133:$A$136" sel="1" val="0"/>
</file>

<file path=xl/ctrlProps/ctrlProp57.xml><?xml version="1.0" encoding="utf-8"?>
<formControlPr xmlns="http://schemas.microsoft.com/office/spreadsheetml/2009/9/main" objectType="Drop" dropLines="15" dropStyle="combo" dx="26" fmlaLink="Select!$CE$1" fmlaRange="Select!$CE$2:$CE$6" sel="1" val="0"/>
</file>

<file path=xl/ctrlProps/ctrlProp58.xml><?xml version="1.0" encoding="utf-8"?>
<formControlPr xmlns="http://schemas.microsoft.com/office/spreadsheetml/2009/9/main" objectType="Drop" dropLines="15" dropStyle="combo" dx="26" fmlaLink="Select!$B$576" fmlaRange="Select!$B$577:$B$585" sel="1" val="0"/>
</file>

<file path=xl/ctrlProps/ctrlProp59.xml><?xml version="1.0" encoding="utf-8"?>
<formControlPr xmlns="http://schemas.microsoft.com/office/spreadsheetml/2009/9/main" objectType="Drop" dropLines="15" dropStyle="combo" dx="26" fmlaLink="Select!$B$586" fmlaRange="Select!$B$587:$B$592" sel="1" val="0"/>
</file>

<file path=xl/ctrlProps/ctrlProp60.xml><?xml version="1.0" encoding="utf-8"?>
<formControlPr xmlns="http://schemas.microsoft.com/office/spreadsheetml/2009/9/main" objectType="Drop" dropLines="25" dropStyle="combo" dx="26" fmlaLink="Select!$B$594" fmlaRange="Select!$B$595:$B$612" sel="1" val="0"/>
</file>

<file path=xl/ctrlProps/ctrlProp61.xml><?xml version="1.0" encoding="utf-8"?>
<formControlPr xmlns="http://schemas.microsoft.com/office/spreadsheetml/2009/9/main" objectType="Drop" dropLines="15" dropStyle="combo" dx="26" fmlaLink="Select!$CN$1" fmlaRange="Select!$CN$2:$CN$4" sel="1" val="0"/>
</file>

<file path=xl/ctrlProps/ctrlProp62.xml><?xml version="1.0" encoding="utf-8"?>
<formControlPr xmlns="http://schemas.microsoft.com/office/spreadsheetml/2009/9/main" objectType="Drop" dropLines="15" dropStyle="combo" dx="26" fmlaLink="Select!$CO$1" fmlaRange="Select!$CO$2:$CO$4" sel="1" val="0"/>
</file>

<file path=xl/ctrlProps/ctrlProp63.xml><?xml version="1.0" encoding="utf-8"?>
<formControlPr xmlns="http://schemas.microsoft.com/office/spreadsheetml/2009/9/main" objectType="Drop" dropLines="15" dropStyle="combo" dx="26" fmlaLink="Select!$CV$1" fmlaRange="Select!$CV$2:$CV$5" sel="1" val="0"/>
</file>

<file path=xl/ctrlProps/ctrlProp64.xml><?xml version="1.0" encoding="utf-8"?>
<formControlPr xmlns="http://schemas.microsoft.com/office/spreadsheetml/2009/9/main" objectType="Drop" dropLines="15" dropStyle="combo" dx="26" fmlaLink="Select!$CW$1" fmlaRange="Select!$CW$2:$CW$10" sel="1" val="0"/>
</file>

<file path=xl/ctrlProps/ctrlProp65.xml><?xml version="1.0" encoding="utf-8"?>
<formControlPr xmlns="http://schemas.microsoft.com/office/spreadsheetml/2009/9/main" objectType="Drop" dropLines="25" dropStyle="combo" dx="26" fmlaLink="Select!$B$617" fmlaRange="Select!$B$618:$B$636" sel="1" val="0"/>
</file>

<file path=xl/ctrlProps/ctrlProp66.xml><?xml version="1.0" encoding="utf-8"?>
<formControlPr xmlns="http://schemas.microsoft.com/office/spreadsheetml/2009/9/main" objectType="Drop" dropLines="15" dropStyle="combo" dx="26" fmlaLink="Select!$B$638" fmlaRange="Select!$B$639:$B$641" sel="1" val="0"/>
</file>

<file path=xl/ctrlProps/ctrlProp67.xml><?xml version="1.0" encoding="utf-8"?>
<formControlPr xmlns="http://schemas.microsoft.com/office/spreadsheetml/2009/9/main" objectType="Drop" dropLines="20" dropStyle="combo" dx="26" fmlaLink="Select!$B$511" fmlaRange="Select!$B$512:$B$514" sel="1" val="0"/>
</file>

<file path=xl/ctrlProps/ctrlProp68.xml><?xml version="1.0" encoding="utf-8"?>
<formControlPr xmlns="http://schemas.microsoft.com/office/spreadsheetml/2009/9/main" objectType="Drop" dropLines="20" dropStyle="combo" dx="26" fmlaLink="Select!$B$515" fmlaRange="Select!$B$516:$B$533" sel="1" val="0"/>
</file>

<file path=xl/ctrlProps/ctrlProp69.xml><?xml version="1.0" encoding="utf-8"?>
<formControlPr xmlns="http://schemas.microsoft.com/office/spreadsheetml/2009/9/main" objectType="Drop" dropLines="15" dropStyle="combo" dx="26" fmlaLink="Select!$BR$1" fmlaRange="Select!$BR$2:$BR$6" sel="2" val="0"/>
</file>

<file path=xl/ctrlProps/ctrlProp70.xml><?xml version="1.0" encoding="utf-8"?>
<formControlPr xmlns="http://schemas.microsoft.com/office/spreadsheetml/2009/9/main" objectType="Drop" dropLines="15" dropStyle="combo" dx="26" fmlaLink="Select!$BS$1" fmlaRange="Select!$BS$2:$BS$14" sel="7" val="0"/>
</file>

<file path=xl/ctrlProps/ctrlProp71.xml><?xml version="1.0" encoding="utf-8"?>
<formControlPr xmlns="http://schemas.microsoft.com/office/spreadsheetml/2009/9/main" objectType="Drop" dropLines="15" dropStyle="combo" dx="26" fmlaLink="Select!$BU$1" fmlaRange="Select!$BU$3:$BU$5" sel="3" val="0"/>
</file>

<file path=xl/ctrlProps/ctrlProp72.xml><?xml version="1.0" encoding="utf-8"?>
<formControlPr xmlns="http://schemas.microsoft.com/office/spreadsheetml/2009/9/main" objectType="Drop" dropLines="15" dropStyle="combo" dx="26" fmlaLink="Select!$BN$1" fmlaRange="Select!$BN$2:$BN$4" sel="3" val="0"/>
</file>

<file path=xl/ctrlProps/ctrlProp73.xml><?xml version="1.0" encoding="utf-8"?>
<formControlPr xmlns="http://schemas.microsoft.com/office/spreadsheetml/2009/9/main" objectType="Drop" dropLines="25" dropStyle="combo" dx="26" fmlaLink="Select!$B$1853" fmlaRange="Select!$B$1854:$B$1896" sel="1" val="0"/>
</file>

<file path=xl/ctrlProps/ctrlProp74.xml><?xml version="1.0" encoding="utf-8"?>
<formControlPr xmlns="http://schemas.microsoft.com/office/spreadsheetml/2009/9/main" objectType="Drop" dropLines="15" dropStyle="combo" dx="26" fmlaLink="Select!$BO$1" fmlaRange="Select!$BO$2:$BO$4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www.seosem.ro/" TargetMode="Externa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370417</xdr:colOff>
      <xdr:row>1</xdr:row>
      <xdr:rowOff>21170</xdr:rowOff>
    </xdr:from>
    <xdr:to>
      <xdr:col>63</xdr:col>
      <xdr:colOff>266294</xdr:colOff>
      <xdr:row>3</xdr:row>
      <xdr:rowOff>187759</xdr:rowOff>
    </xdr:to>
    <xdr:pic>
      <xdr:nvPicPr>
        <xdr:cNvPr id="4" name="Picture 3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182167" y="254003"/>
          <a:ext cx="1832627" cy="632256"/>
        </a:xfrm>
        <a:prstGeom prst="rect">
          <a:avLst/>
        </a:prstGeom>
      </xdr:spPr>
    </xdr:pic>
    <xdr:clientData/>
  </xdr:twoCellAnchor>
  <xdr:twoCellAnchor editAs="oneCell">
    <xdr:from>
      <xdr:col>45</xdr:col>
      <xdr:colOff>328086</xdr:colOff>
      <xdr:row>0</xdr:row>
      <xdr:rowOff>21166</xdr:rowOff>
    </xdr:from>
    <xdr:to>
      <xdr:col>56</xdr:col>
      <xdr:colOff>232835</xdr:colOff>
      <xdr:row>4</xdr:row>
      <xdr:rowOff>151341</xdr:rowOff>
    </xdr:to>
    <xdr:pic>
      <xdr:nvPicPr>
        <xdr:cNvPr id="6" name="Picture 5" descr="KV-WTB_A3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43419" y="21166"/>
          <a:ext cx="3122083" cy="1061508"/>
        </a:xfrm>
        <a:prstGeom prst="rect">
          <a:avLst/>
        </a:prstGeom>
      </xdr:spPr>
    </xdr:pic>
    <xdr:clientData/>
  </xdr:twoCellAnchor>
  <xdr:twoCellAnchor editAs="oneCell">
    <xdr:from>
      <xdr:col>2</xdr:col>
      <xdr:colOff>4233</xdr:colOff>
      <xdr:row>1</xdr:row>
      <xdr:rowOff>4235</xdr:rowOff>
    </xdr:from>
    <xdr:to>
      <xdr:col>26</xdr:col>
      <xdr:colOff>201084</xdr:colOff>
      <xdr:row>3</xdr:row>
      <xdr:rowOff>218675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400" y="237068"/>
          <a:ext cx="6737351" cy="6801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6</xdr:row>
          <xdr:rowOff>15240</xdr:rowOff>
        </xdr:from>
        <xdr:to>
          <xdr:col>10</xdr:col>
          <xdr:colOff>160020</xdr:colOff>
          <xdr:row>7</xdr:row>
          <xdr:rowOff>76200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7</xdr:row>
          <xdr:rowOff>137160</xdr:rowOff>
        </xdr:from>
        <xdr:to>
          <xdr:col>10</xdr:col>
          <xdr:colOff>152400</xdr:colOff>
          <xdr:row>9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</xdr:colOff>
          <xdr:row>9</xdr:row>
          <xdr:rowOff>45720</xdr:rowOff>
        </xdr:from>
        <xdr:to>
          <xdr:col>10</xdr:col>
          <xdr:colOff>160020</xdr:colOff>
          <xdr:row>10</xdr:row>
          <xdr:rowOff>99060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45720</xdr:colOff>
          <xdr:row>6</xdr:row>
          <xdr:rowOff>129540</xdr:rowOff>
        </xdr:from>
        <xdr:to>
          <xdr:col>19</xdr:col>
          <xdr:colOff>198120</xdr:colOff>
          <xdr:row>8</xdr:row>
          <xdr:rowOff>22860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53340</xdr:colOff>
          <xdr:row>8</xdr:row>
          <xdr:rowOff>129540</xdr:rowOff>
        </xdr:from>
        <xdr:to>
          <xdr:col>19</xdr:col>
          <xdr:colOff>182880</xdr:colOff>
          <xdr:row>10</xdr:row>
          <xdr:rowOff>7620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160020</xdr:colOff>
          <xdr:row>6</xdr:row>
          <xdr:rowOff>91440</xdr:rowOff>
        </xdr:from>
        <xdr:to>
          <xdr:col>30</xdr:col>
          <xdr:colOff>38100</xdr:colOff>
          <xdr:row>7</xdr:row>
          <xdr:rowOff>167640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167640</xdr:colOff>
          <xdr:row>8</xdr:row>
          <xdr:rowOff>76200</xdr:rowOff>
        </xdr:from>
        <xdr:to>
          <xdr:col>30</xdr:col>
          <xdr:colOff>38100</xdr:colOff>
          <xdr:row>9</xdr:row>
          <xdr:rowOff>152400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6</xdr:row>
          <xdr:rowOff>0</xdr:rowOff>
        </xdr:from>
        <xdr:to>
          <xdr:col>63</xdr:col>
          <xdr:colOff>464820</xdr:colOff>
          <xdr:row>7</xdr:row>
          <xdr:rowOff>0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64</xdr:row>
          <xdr:rowOff>350520</xdr:rowOff>
        </xdr:from>
        <xdr:to>
          <xdr:col>12</xdr:col>
          <xdr:colOff>198120</xdr:colOff>
          <xdr:row>65</xdr:row>
          <xdr:rowOff>175260</xdr:rowOff>
        </xdr:to>
        <xdr:sp macro="" textlink="">
          <xdr:nvSpPr>
            <xdr:cNvPr id="1089" name="Drop Dow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121920</xdr:colOff>
          <xdr:row>64</xdr:row>
          <xdr:rowOff>350520</xdr:rowOff>
        </xdr:from>
        <xdr:to>
          <xdr:col>21</xdr:col>
          <xdr:colOff>45720</xdr:colOff>
          <xdr:row>65</xdr:row>
          <xdr:rowOff>175260</xdr:rowOff>
        </xdr:to>
        <xdr:sp macro="" textlink="">
          <xdr:nvSpPr>
            <xdr:cNvPr id="1090" name="Drop Dow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182880</xdr:colOff>
          <xdr:row>64</xdr:row>
          <xdr:rowOff>83820</xdr:rowOff>
        </xdr:from>
        <xdr:to>
          <xdr:col>43</xdr:col>
          <xdr:colOff>845820</xdr:colOff>
          <xdr:row>64</xdr:row>
          <xdr:rowOff>381000</xdr:rowOff>
        </xdr:to>
        <xdr:sp macro="" textlink="">
          <xdr:nvSpPr>
            <xdr:cNvPr id="1091" name="Drop Dow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182880</xdr:colOff>
          <xdr:row>65</xdr:row>
          <xdr:rowOff>15240</xdr:rowOff>
        </xdr:from>
        <xdr:to>
          <xdr:col>43</xdr:col>
          <xdr:colOff>845820</xdr:colOff>
          <xdr:row>66</xdr:row>
          <xdr:rowOff>45720</xdr:rowOff>
        </xdr:to>
        <xdr:sp macro="" textlink="">
          <xdr:nvSpPr>
            <xdr:cNvPr id="1092" name="Drop Dow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167640</xdr:colOff>
          <xdr:row>66</xdr:row>
          <xdr:rowOff>144780</xdr:rowOff>
        </xdr:from>
        <xdr:to>
          <xdr:col>43</xdr:col>
          <xdr:colOff>868680</xdr:colOff>
          <xdr:row>68</xdr:row>
          <xdr:rowOff>45720</xdr:rowOff>
        </xdr:to>
        <xdr:sp macro="" textlink="">
          <xdr:nvSpPr>
            <xdr:cNvPr id="1094" name="Drop Dow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15240</xdr:colOff>
          <xdr:row>64</xdr:row>
          <xdr:rowOff>99060</xdr:rowOff>
        </xdr:from>
        <xdr:to>
          <xdr:col>53</xdr:col>
          <xdr:colOff>83820</xdr:colOff>
          <xdr:row>64</xdr:row>
          <xdr:rowOff>396240</xdr:rowOff>
        </xdr:to>
        <xdr:sp macro="" textlink="">
          <xdr:nvSpPr>
            <xdr:cNvPr id="1099" name="Drop Dow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15240</xdr:colOff>
          <xdr:row>64</xdr:row>
          <xdr:rowOff>472440</xdr:rowOff>
        </xdr:from>
        <xdr:to>
          <xdr:col>53</xdr:col>
          <xdr:colOff>83820</xdr:colOff>
          <xdr:row>66</xdr:row>
          <xdr:rowOff>60960</xdr:rowOff>
        </xdr:to>
        <xdr:sp macro="" textlink="">
          <xdr:nvSpPr>
            <xdr:cNvPr id="1101" name="Drop Dow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0</xdr:colOff>
          <xdr:row>12</xdr:row>
          <xdr:rowOff>7620</xdr:rowOff>
        </xdr:from>
        <xdr:to>
          <xdr:col>57</xdr:col>
          <xdr:colOff>350520</xdr:colOff>
          <xdr:row>13</xdr:row>
          <xdr:rowOff>7620</xdr:rowOff>
        </xdr:to>
        <xdr:sp macro="" textlink="">
          <xdr:nvSpPr>
            <xdr:cNvPr id="1130" name="Drop Dow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0</xdr:colOff>
          <xdr:row>11</xdr:row>
          <xdr:rowOff>0</xdr:rowOff>
        </xdr:from>
        <xdr:to>
          <xdr:col>57</xdr:col>
          <xdr:colOff>350520</xdr:colOff>
          <xdr:row>12</xdr:row>
          <xdr:rowOff>0</xdr:rowOff>
        </xdr:to>
        <xdr:sp macro="" textlink="">
          <xdr:nvSpPr>
            <xdr:cNvPr id="1132" name="Drop Dow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106680</xdr:colOff>
          <xdr:row>64</xdr:row>
          <xdr:rowOff>457200</xdr:rowOff>
        </xdr:from>
        <xdr:to>
          <xdr:col>58</xdr:col>
          <xdr:colOff>624840</xdr:colOff>
          <xdr:row>65</xdr:row>
          <xdr:rowOff>220980</xdr:rowOff>
        </xdr:to>
        <xdr:sp macro="" textlink="">
          <xdr:nvSpPr>
            <xdr:cNvPr id="1136" name="Drop Dow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99060</xdr:colOff>
          <xdr:row>66</xdr:row>
          <xdr:rowOff>7620</xdr:rowOff>
        </xdr:from>
        <xdr:to>
          <xdr:col>58</xdr:col>
          <xdr:colOff>624840</xdr:colOff>
          <xdr:row>67</xdr:row>
          <xdr:rowOff>68580</xdr:rowOff>
        </xdr:to>
        <xdr:sp macro="" textlink="">
          <xdr:nvSpPr>
            <xdr:cNvPr id="1137" name="Drop Dow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45</xdr:row>
          <xdr:rowOff>30480</xdr:rowOff>
        </xdr:from>
        <xdr:to>
          <xdr:col>24</xdr:col>
          <xdr:colOff>15240</xdr:colOff>
          <xdr:row>46</xdr:row>
          <xdr:rowOff>76200</xdr:rowOff>
        </xdr:to>
        <xdr:sp macro="" textlink="">
          <xdr:nvSpPr>
            <xdr:cNvPr id="1140" name="Drop Dow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7</xdr:row>
          <xdr:rowOff>0</xdr:rowOff>
        </xdr:from>
        <xdr:to>
          <xdr:col>63</xdr:col>
          <xdr:colOff>464820</xdr:colOff>
          <xdr:row>8</xdr:row>
          <xdr:rowOff>0</xdr:rowOff>
        </xdr:to>
        <xdr:sp macro="" textlink="">
          <xdr:nvSpPr>
            <xdr:cNvPr id="1144" name="Drop Dow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8</xdr:row>
          <xdr:rowOff>0</xdr:rowOff>
        </xdr:from>
        <xdr:to>
          <xdr:col>63</xdr:col>
          <xdr:colOff>464820</xdr:colOff>
          <xdr:row>9</xdr:row>
          <xdr:rowOff>0</xdr:rowOff>
        </xdr:to>
        <xdr:sp macro="" textlink="">
          <xdr:nvSpPr>
            <xdr:cNvPr id="1145" name="Drop Dow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9</xdr:row>
          <xdr:rowOff>0</xdr:rowOff>
        </xdr:from>
        <xdr:to>
          <xdr:col>63</xdr:col>
          <xdr:colOff>464820</xdr:colOff>
          <xdr:row>10</xdr:row>
          <xdr:rowOff>0</xdr:rowOff>
        </xdr:to>
        <xdr:sp macro="" textlink="">
          <xdr:nvSpPr>
            <xdr:cNvPr id="1146" name="Drop Dow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10</xdr:row>
          <xdr:rowOff>0</xdr:rowOff>
        </xdr:from>
        <xdr:to>
          <xdr:col>63</xdr:col>
          <xdr:colOff>464820</xdr:colOff>
          <xdr:row>11</xdr:row>
          <xdr:rowOff>0</xdr:rowOff>
        </xdr:to>
        <xdr:sp macro="" textlink="">
          <xdr:nvSpPr>
            <xdr:cNvPr id="1147" name="Drop Dow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11</xdr:row>
          <xdr:rowOff>0</xdr:rowOff>
        </xdr:from>
        <xdr:to>
          <xdr:col>63</xdr:col>
          <xdr:colOff>464820</xdr:colOff>
          <xdr:row>12</xdr:row>
          <xdr:rowOff>0</xdr:rowOff>
        </xdr:to>
        <xdr:sp macro="" textlink="">
          <xdr:nvSpPr>
            <xdr:cNvPr id="1148" name="Drop Dow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12</xdr:row>
          <xdr:rowOff>7620</xdr:rowOff>
        </xdr:from>
        <xdr:to>
          <xdr:col>63</xdr:col>
          <xdr:colOff>464820</xdr:colOff>
          <xdr:row>13</xdr:row>
          <xdr:rowOff>7620</xdr:rowOff>
        </xdr:to>
        <xdr:sp macro="" textlink="">
          <xdr:nvSpPr>
            <xdr:cNvPr id="1149" name="Drop Dow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13</xdr:row>
          <xdr:rowOff>7620</xdr:rowOff>
        </xdr:from>
        <xdr:to>
          <xdr:col>63</xdr:col>
          <xdr:colOff>464820</xdr:colOff>
          <xdr:row>14</xdr:row>
          <xdr:rowOff>7620</xdr:rowOff>
        </xdr:to>
        <xdr:sp macro="" textlink="">
          <xdr:nvSpPr>
            <xdr:cNvPr id="1150" name="Drop Dow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14</xdr:row>
          <xdr:rowOff>7620</xdr:rowOff>
        </xdr:from>
        <xdr:to>
          <xdr:col>63</xdr:col>
          <xdr:colOff>464820</xdr:colOff>
          <xdr:row>15</xdr:row>
          <xdr:rowOff>7620</xdr:rowOff>
        </xdr:to>
        <xdr:sp macro="" textlink="">
          <xdr:nvSpPr>
            <xdr:cNvPr id="1151" name="Drop Dow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15</xdr:row>
          <xdr:rowOff>7620</xdr:rowOff>
        </xdr:from>
        <xdr:to>
          <xdr:col>63</xdr:col>
          <xdr:colOff>464820</xdr:colOff>
          <xdr:row>16</xdr:row>
          <xdr:rowOff>7620</xdr:rowOff>
        </xdr:to>
        <xdr:sp macro="" textlink="">
          <xdr:nvSpPr>
            <xdr:cNvPr id="1152" name="Drop Dow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16</xdr:row>
          <xdr:rowOff>7620</xdr:rowOff>
        </xdr:from>
        <xdr:to>
          <xdr:col>63</xdr:col>
          <xdr:colOff>464820</xdr:colOff>
          <xdr:row>17</xdr:row>
          <xdr:rowOff>7620</xdr:rowOff>
        </xdr:to>
        <xdr:sp macro="" textlink="">
          <xdr:nvSpPr>
            <xdr:cNvPr id="1153" name="Drop Dow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17</xdr:row>
          <xdr:rowOff>0</xdr:rowOff>
        </xdr:from>
        <xdr:to>
          <xdr:col>63</xdr:col>
          <xdr:colOff>464820</xdr:colOff>
          <xdr:row>18</xdr:row>
          <xdr:rowOff>0</xdr:rowOff>
        </xdr:to>
        <xdr:sp macro="" textlink="">
          <xdr:nvSpPr>
            <xdr:cNvPr id="1154" name="Drop Dow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18</xdr:row>
          <xdr:rowOff>0</xdr:rowOff>
        </xdr:from>
        <xdr:to>
          <xdr:col>63</xdr:col>
          <xdr:colOff>464820</xdr:colOff>
          <xdr:row>19</xdr:row>
          <xdr:rowOff>0</xdr:rowOff>
        </xdr:to>
        <xdr:sp macro="" textlink="">
          <xdr:nvSpPr>
            <xdr:cNvPr id="1155" name="Drop Dow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19</xdr:row>
          <xdr:rowOff>0</xdr:rowOff>
        </xdr:from>
        <xdr:to>
          <xdr:col>63</xdr:col>
          <xdr:colOff>464820</xdr:colOff>
          <xdr:row>20</xdr:row>
          <xdr:rowOff>0</xdr:rowOff>
        </xdr:to>
        <xdr:sp macro="" textlink="">
          <xdr:nvSpPr>
            <xdr:cNvPr id="1156" name="Drop Dow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20</xdr:row>
          <xdr:rowOff>0</xdr:rowOff>
        </xdr:from>
        <xdr:to>
          <xdr:col>63</xdr:col>
          <xdr:colOff>464820</xdr:colOff>
          <xdr:row>21</xdr:row>
          <xdr:rowOff>0</xdr:rowOff>
        </xdr:to>
        <xdr:sp macro="" textlink="">
          <xdr:nvSpPr>
            <xdr:cNvPr id="1157" name="Drop Dow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21</xdr:row>
          <xdr:rowOff>0</xdr:rowOff>
        </xdr:from>
        <xdr:to>
          <xdr:col>63</xdr:col>
          <xdr:colOff>464820</xdr:colOff>
          <xdr:row>22</xdr:row>
          <xdr:rowOff>0</xdr:rowOff>
        </xdr:to>
        <xdr:sp macro="" textlink="">
          <xdr:nvSpPr>
            <xdr:cNvPr id="1158" name="Drop Dow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21</xdr:row>
          <xdr:rowOff>152400</xdr:rowOff>
        </xdr:from>
        <xdr:to>
          <xdr:col>63</xdr:col>
          <xdr:colOff>464820</xdr:colOff>
          <xdr:row>23</xdr:row>
          <xdr:rowOff>0</xdr:rowOff>
        </xdr:to>
        <xdr:sp macro="" textlink="">
          <xdr:nvSpPr>
            <xdr:cNvPr id="1159" name="Drop Dow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23</xdr:row>
          <xdr:rowOff>0</xdr:rowOff>
        </xdr:from>
        <xdr:to>
          <xdr:col>63</xdr:col>
          <xdr:colOff>464820</xdr:colOff>
          <xdr:row>24</xdr:row>
          <xdr:rowOff>7620</xdr:rowOff>
        </xdr:to>
        <xdr:sp macro="" textlink="">
          <xdr:nvSpPr>
            <xdr:cNvPr id="1160" name="Drop Dow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24</xdr:row>
          <xdr:rowOff>7620</xdr:rowOff>
        </xdr:from>
        <xdr:to>
          <xdr:col>63</xdr:col>
          <xdr:colOff>464820</xdr:colOff>
          <xdr:row>25</xdr:row>
          <xdr:rowOff>15240</xdr:rowOff>
        </xdr:to>
        <xdr:sp macro="" textlink="">
          <xdr:nvSpPr>
            <xdr:cNvPr id="1161" name="Drop Dow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25</xdr:row>
          <xdr:rowOff>7620</xdr:rowOff>
        </xdr:from>
        <xdr:to>
          <xdr:col>63</xdr:col>
          <xdr:colOff>464820</xdr:colOff>
          <xdr:row>26</xdr:row>
          <xdr:rowOff>15240</xdr:rowOff>
        </xdr:to>
        <xdr:sp macro="" textlink="">
          <xdr:nvSpPr>
            <xdr:cNvPr id="1162" name="Drop Dow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26</xdr:row>
          <xdr:rowOff>0</xdr:rowOff>
        </xdr:from>
        <xdr:to>
          <xdr:col>63</xdr:col>
          <xdr:colOff>464820</xdr:colOff>
          <xdr:row>27</xdr:row>
          <xdr:rowOff>7620</xdr:rowOff>
        </xdr:to>
        <xdr:sp macro="" textlink="">
          <xdr:nvSpPr>
            <xdr:cNvPr id="1163" name="Drop Dow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27</xdr:row>
          <xdr:rowOff>0</xdr:rowOff>
        </xdr:from>
        <xdr:to>
          <xdr:col>63</xdr:col>
          <xdr:colOff>464820</xdr:colOff>
          <xdr:row>28</xdr:row>
          <xdr:rowOff>7620</xdr:rowOff>
        </xdr:to>
        <xdr:sp macro="" textlink="">
          <xdr:nvSpPr>
            <xdr:cNvPr id="1164" name="Drop Dow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28</xdr:row>
          <xdr:rowOff>0</xdr:rowOff>
        </xdr:from>
        <xdr:to>
          <xdr:col>63</xdr:col>
          <xdr:colOff>464820</xdr:colOff>
          <xdr:row>29</xdr:row>
          <xdr:rowOff>7620</xdr:rowOff>
        </xdr:to>
        <xdr:sp macro="" textlink="">
          <xdr:nvSpPr>
            <xdr:cNvPr id="1165" name="Drop Dow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29</xdr:row>
          <xdr:rowOff>0</xdr:rowOff>
        </xdr:from>
        <xdr:to>
          <xdr:col>63</xdr:col>
          <xdr:colOff>464820</xdr:colOff>
          <xdr:row>30</xdr:row>
          <xdr:rowOff>7620</xdr:rowOff>
        </xdr:to>
        <xdr:sp macro="" textlink="">
          <xdr:nvSpPr>
            <xdr:cNvPr id="1166" name="Drop Dow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29</xdr:row>
          <xdr:rowOff>144780</xdr:rowOff>
        </xdr:from>
        <xdr:to>
          <xdr:col>63</xdr:col>
          <xdr:colOff>464820</xdr:colOff>
          <xdr:row>30</xdr:row>
          <xdr:rowOff>152400</xdr:rowOff>
        </xdr:to>
        <xdr:sp macro="" textlink="">
          <xdr:nvSpPr>
            <xdr:cNvPr id="1167" name="Drop Dow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30</xdr:row>
          <xdr:rowOff>144780</xdr:rowOff>
        </xdr:from>
        <xdr:to>
          <xdr:col>63</xdr:col>
          <xdr:colOff>464820</xdr:colOff>
          <xdr:row>31</xdr:row>
          <xdr:rowOff>137160</xdr:rowOff>
        </xdr:to>
        <xdr:sp macro="" textlink="">
          <xdr:nvSpPr>
            <xdr:cNvPr id="1168" name="Drop Dow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36</xdr:row>
          <xdr:rowOff>144780</xdr:rowOff>
        </xdr:from>
        <xdr:to>
          <xdr:col>63</xdr:col>
          <xdr:colOff>464820</xdr:colOff>
          <xdr:row>38</xdr:row>
          <xdr:rowOff>0</xdr:rowOff>
        </xdr:to>
        <xdr:sp macro="" textlink="">
          <xdr:nvSpPr>
            <xdr:cNvPr id="1169" name="Drop Dow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37</xdr:row>
          <xdr:rowOff>144780</xdr:rowOff>
        </xdr:from>
        <xdr:to>
          <xdr:col>63</xdr:col>
          <xdr:colOff>464820</xdr:colOff>
          <xdr:row>39</xdr:row>
          <xdr:rowOff>0</xdr:rowOff>
        </xdr:to>
        <xdr:sp macro="" textlink="">
          <xdr:nvSpPr>
            <xdr:cNvPr id="1170" name="Drop Dow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39</xdr:row>
          <xdr:rowOff>0</xdr:rowOff>
        </xdr:from>
        <xdr:to>
          <xdr:col>63</xdr:col>
          <xdr:colOff>464820</xdr:colOff>
          <xdr:row>40</xdr:row>
          <xdr:rowOff>7620</xdr:rowOff>
        </xdr:to>
        <xdr:sp macro="" textlink="">
          <xdr:nvSpPr>
            <xdr:cNvPr id="1171" name="Drop Dow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7620</xdr:colOff>
          <xdr:row>40</xdr:row>
          <xdr:rowOff>0</xdr:rowOff>
        </xdr:from>
        <xdr:to>
          <xdr:col>63</xdr:col>
          <xdr:colOff>464820</xdr:colOff>
          <xdr:row>41</xdr:row>
          <xdr:rowOff>7620</xdr:rowOff>
        </xdr:to>
        <xdr:sp macro="" textlink="">
          <xdr:nvSpPr>
            <xdr:cNvPr id="1172" name="Drop Dow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64</xdr:row>
          <xdr:rowOff>68580</xdr:rowOff>
        </xdr:from>
        <xdr:to>
          <xdr:col>21</xdr:col>
          <xdr:colOff>53340</xdr:colOff>
          <xdr:row>64</xdr:row>
          <xdr:rowOff>327660</xdr:rowOff>
        </xdr:to>
        <xdr:sp macro="" textlink="">
          <xdr:nvSpPr>
            <xdr:cNvPr id="1175" name="Drop Dow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22860</xdr:colOff>
          <xdr:row>22</xdr:row>
          <xdr:rowOff>0</xdr:rowOff>
        </xdr:from>
        <xdr:to>
          <xdr:col>57</xdr:col>
          <xdr:colOff>350520</xdr:colOff>
          <xdr:row>23</xdr:row>
          <xdr:rowOff>7620</xdr:rowOff>
        </xdr:to>
        <xdr:sp macro="" textlink="">
          <xdr:nvSpPr>
            <xdr:cNvPr id="1177" name="Drop Dow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7620</xdr:colOff>
          <xdr:row>3</xdr:row>
          <xdr:rowOff>7620</xdr:rowOff>
        </xdr:from>
        <xdr:to>
          <xdr:col>42</xdr:col>
          <xdr:colOff>45720</xdr:colOff>
          <xdr:row>4</xdr:row>
          <xdr:rowOff>7620</xdr:rowOff>
        </xdr:to>
        <xdr:sp macro="" textlink="">
          <xdr:nvSpPr>
            <xdr:cNvPr id="1181" name="Drop Dow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15240</xdr:colOff>
          <xdr:row>13</xdr:row>
          <xdr:rowOff>152400</xdr:rowOff>
        </xdr:from>
        <xdr:to>
          <xdr:col>57</xdr:col>
          <xdr:colOff>365760</xdr:colOff>
          <xdr:row>14</xdr:row>
          <xdr:rowOff>152400</xdr:rowOff>
        </xdr:to>
        <xdr:sp macro="" textlink="">
          <xdr:nvSpPr>
            <xdr:cNvPr id="1182" name="Drop Dow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54</xdr:col>
          <xdr:colOff>15240</xdr:colOff>
          <xdr:row>15</xdr:row>
          <xdr:rowOff>152400</xdr:rowOff>
        </xdr:from>
        <xdr:to>
          <xdr:col>57</xdr:col>
          <xdr:colOff>365760</xdr:colOff>
          <xdr:row>16</xdr:row>
          <xdr:rowOff>152400</xdr:rowOff>
        </xdr:to>
        <xdr:sp macro="" textlink="">
          <xdr:nvSpPr>
            <xdr:cNvPr id="1183" name="Drop Dow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</xdr:colOff>
          <xdr:row>32</xdr:row>
          <xdr:rowOff>60960</xdr:rowOff>
        </xdr:from>
        <xdr:to>
          <xdr:col>19</xdr:col>
          <xdr:colOff>99060</xdr:colOff>
          <xdr:row>33</xdr:row>
          <xdr:rowOff>106680</xdr:rowOff>
        </xdr:to>
        <xdr:sp macro="" textlink="">
          <xdr:nvSpPr>
            <xdr:cNvPr id="1184" name="Drop Dow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91440</xdr:colOff>
          <xdr:row>64</xdr:row>
          <xdr:rowOff>30480</xdr:rowOff>
        </xdr:from>
        <xdr:to>
          <xdr:col>58</xdr:col>
          <xdr:colOff>655320</xdr:colOff>
          <xdr:row>64</xdr:row>
          <xdr:rowOff>365760</xdr:rowOff>
        </xdr:to>
        <xdr:sp macro="" textlink="">
          <xdr:nvSpPr>
            <xdr:cNvPr id="1185" name="Drop Dow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32</xdr:row>
          <xdr:rowOff>0</xdr:rowOff>
        </xdr:from>
        <xdr:to>
          <xdr:col>58</xdr:col>
          <xdr:colOff>403860</xdr:colOff>
          <xdr:row>33</xdr:row>
          <xdr:rowOff>7620</xdr:rowOff>
        </xdr:to>
        <xdr:sp macro="" textlink="">
          <xdr:nvSpPr>
            <xdr:cNvPr id="1186" name="Drop Dow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342900</xdr:colOff>
          <xdr:row>65</xdr:row>
          <xdr:rowOff>7620</xdr:rowOff>
        </xdr:from>
        <xdr:to>
          <xdr:col>62</xdr:col>
          <xdr:colOff>312420</xdr:colOff>
          <xdr:row>66</xdr:row>
          <xdr:rowOff>22860</xdr:rowOff>
        </xdr:to>
        <xdr:sp macro="" textlink="">
          <xdr:nvSpPr>
            <xdr:cNvPr id="1189" name="Drop Dow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373380</xdr:colOff>
          <xdr:row>71</xdr:row>
          <xdr:rowOff>15240</xdr:rowOff>
        </xdr:from>
        <xdr:to>
          <xdr:col>61</xdr:col>
          <xdr:colOff>487680</xdr:colOff>
          <xdr:row>72</xdr:row>
          <xdr:rowOff>0</xdr:rowOff>
        </xdr:to>
        <xdr:sp macro="" textlink="">
          <xdr:nvSpPr>
            <xdr:cNvPr id="1190" name="Drop Dow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53340</xdr:colOff>
          <xdr:row>70</xdr:row>
          <xdr:rowOff>251460</xdr:rowOff>
        </xdr:from>
        <xdr:to>
          <xdr:col>65</xdr:col>
          <xdr:colOff>0</xdr:colOff>
          <xdr:row>72</xdr:row>
          <xdr:rowOff>0</xdr:rowOff>
        </xdr:to>
        <xdr:sp macro="" textlink="">
          <xdr:nvSpPr>
            <xdr:cNvPr id="1191" name="Drop Dow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15240</xdr:colOff>
          <xdr:row>42</xdr:row>
          <xdr:rowOff>144780</xdr:rowOff>
        </xdr:from>
        <xdr:to>
          <xdr:col>62</xdr:col>
          <xdr:colOff>396240</xdr:colOff>
          <xdr:row>44</xdr:row>
          <xdr:rowOff>0</xdr:rowOff>
        </xdr:to>
        <xdr:sp macro="" textlink="">
          <xdr:nvSpPr>
            <xdr:cNvPr id="1192" name="Drop Down 168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15240</xdr:colOff>
          <xdr:row>44</xdr:row>
          <xdr:rowOff>0</xdr:rowOff>
        </xdr:from>
        <xdr:to>
          <xdr:col>62</xdr:col>
          <xdr:colOff>396240</xdr:colOff>
          <xdr:row>45</xdr:row>
          <xdr:rowOff>7620</xdr:rowOff>
        </xdr:to>
        <xdr:sp macro="" textlink="">
          <xdr:nvSpPr>
            <xdr:cNvPr id="1193" name="Drop Down 169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76200</xdr:colOff>
          <xdr:row>29</xdr:row>
          <xdr:rowOff>45720</xdr:rowOff>
        </xdr:from>
        <xdr:to>
          <xdr:col>68</xdr:col>
          <xdr:colOff>426720</xdr:colOff>
          <xdr:row>30</xdr:row>
          <xdr:rowOff>99060</xdr:rowOff>
        </xdr:to>
        <xdr:sp macro="" textlink="">
          <xdr:nvSpPr>
            <xdr:cNvPr id="1194" name="Drop Down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76200</xdr:colOff>
          <xdr:row>31</xdr:row>
          <xdr:rowOff>45720</xdr:rowOff>
        </xdr:from>
        <xdr:to>
          <xdr:col>68</xdr:col>
          <xdr:colOff>426720</xdr:colOff>
          <xdr:row>32</xdr:row>
          <xdr:rowOff>83820</xdr:rowOff>
        </xdr:to>
        <xdr:sp macro="" textlink="">
          <xdr:nvSpPr>
            <xdr:cNvPr id="1196" name="Drop Dow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66</xdr:col>
          <xdr:colOff>76200</xdr:colOff>
          <xdr:row>33</xdr:row>
          <xdr:rowOff>45720</xdr:rowOff>
        </xdr:from>
        <xdr:to>
          <xdr:col>68</xdr:col>
          <xdr:colOff>426720</xdr:colOff>
          <xdr:row>34</xdr:row>
          <xdr:rowOff>99060</xdr:rowOff>
        </xdr:to>
        <xdr:sp macro="" textlink="">
          <xdr:nvSpPr>
            <xdr:cNvPr id="1197" name="Drop Dow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327660</xdr:colOff>
          <xdr:row>62</xdr:row>
          <xdr:rowOff>15240</xdr:rowOff>
        </xdr:from>
        <xdr:to>
          <xdr:col>65</xdr:col>
          <xdr:colOff>0</xdr:colOff>
          <xdr:row>62</xdr:row>
          <xdr:rowOff>274320</xdr:rowOff>
        </xdr:to>
        <xdr:sp macro="" textlink="">
          <xdr:nvSpPr>
            <xdr:cNvPr id="1198" name="Drop Dow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40</xdr:row>
          <xdr:rowOff>144780</xdr:rowOff>
        </xdr:from>
        <xdr:to>
          <xdr:col>39</xdr:col>
          <xdr:colOff>175260</xdr:colOff>
          <xdr:row>42</xdr:row>
          <xdr:rowOff>0</xdr:rowOff>
        </xdr:to>
        <xdr:sp macro="" textlink="">
          <xdr:nvSpPr>
            <xdr:cNvPr id="1199" name="Drop Dow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22860</xdr:colOff>
          <xdr:row>40</xdr:row>
          <xdr:rowOff>144780</xdr:rowOff>
        </xdr:from>
        <xdr:to>
          <xdr:col>43</xdr:col>
          <xdr:colOff>358140</xdr:colOff>
          <xdr:row>42</xdr:row>
          <xdr:rowOff>0</xdr:rowOff>
        </xdr:to>
        <xdr:sp macro="" textlink="">
          <xdr:nvSpPr>
            <xdr:cNvPr id="1200" name="Drop Dow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156210</xdr:colOff>
      <xdr:row>1</xdr:row>
      <xdr:rowOff>7620</xdr:rowOff>
    </xdr:from>
    <xdr:to>
      <xdr:col>18</xdr:col>
      <xdr:colOff>165891</xdr:colOff>
      <xdr:row>4</xdr:row>
      <xdr:rowOff>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" y="198120"/>
          <a:ext cx="6520971" cy="5638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9</xdr:row>
          <xdr:rowOff>15240</xdr:rowOff>
        </xdr:from>
        <xdr:to>
          <xdr:col>19</xdr:col>
          <xdr:colOff>518160</xdr:colOff>
          <xdr:row>10</xdr:row>
          <xdr:rowOff>7620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9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10</xdr:row>
          <xdr:rowOff>15240</xdr:rowOff>
        </xdr:from>
        <xdr:to>
          <xdr:col>19</xdr:col>
          <xdr:colOff>518160</xdr:colOff>
          <xdr:row>11</xdr:row>
          <xdr:rowOff>22860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9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114300</xdr:rowOff>
        </xdr:from>
        <xdr:to>
          <xdr:col>19</xdr:col>
          <xdr:colOff>480060</xdr:colOff>
          <xdr:row>13</xdr:row>
          <xdr:rowOff>114300</xdr:rowOff>
        </xdr:to>
        <xdr:sp macro="" textlink="">
          <xdr:nvSpPr>
            <xdr:cNvPr id="11275" name="Drop Dow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9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220980</xdr:colOff>
          <xdr:row>11</xdr:row>
          <xdr:rowOff>15240</xdr:rowOff>
        </xdr:from>
        <xdr:to>
          <xdr:col>19</xdr:col>
          <xdr:colOff>510540</xdr:colOff>
          <xdr:row>12</xdr:row>
          <xdr:rowOff>38100</xdr:rowOff>
        </xdr:to>
        <xdr:sp macro="" textlink="">
          <xdr:nvSpPr>
            <xdr:cNvPr id="11276" name="Drop Dow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9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0</xdr:rowOff>
        </xdr:from>
        <xdr:to>
          <xdr:col>10</xdr:col>
          <xdr:colOff>365760</xdr:colOff>
          <xdr:row>12</xdr:row>
          <xdr:rowOff>7620</xdr:rowOff>
        </xdr:to>
        <xdr:sp macro="" textlink="">
          <xdr:nvSpPr>
            <xdr:cNvPr id="11277" name="Drop Dow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9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236220</xdr:colOff>
          <xdr:row>7</xdr:row>
          <xdr:rowOff>160020</xdr:rowOff>
        </xdr:from>
        <xdr:to>
          <xdr:col>19</xdr:col>
          <xdr:colOff>518160</xdr:colOff>
          <xdr:row>9</xdr:row>
          <xdr:rowOff>0</xdr:rowOff>
        </xdr:to>
        <xdr:sp macro="" textlink="">
          <xdr:nvSpPr>
            <xdr:cNvPr id="11278" name="Drop Dow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9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57150</xdr:colOff>
      <xdr:row>1</xdr:row>
      <xdr:rowOff>7620</xdr:rowOff>
    </xdr:from>
    <xdr:to>
      <xdr:col>19</xdr:col>
      <xdr:colOff>473716</xdr:colOff>
      <xdr:row>4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903AEA-4699-4E2F-B946-4BC53813EB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0690" y="190500"/>
          <a:ext cx="2032006" cy="61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91110</xdr:colOff>
      <xdr:row>2</xdr:row>
      <xdr:rowOff>16567</xdr:rowOff>
    </xdr:from>
    <xdr:to>
      <xdr:col>14</xdr:col>
      <xdr:colOff>323024</xdr:colOff>
      <xdr:row>5</xdr:row>
      <xdr:rowOff>75036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740" y="248480"/>
          <a:ext cx="4803914" cy="431187"/>
        </a:xfrm>
        <a:prstGeom prst="rect">
          <a:avLst/>
        </a:prstGeom>
      </xdr:spPr>
    </xdr:pic>
    <xdr:clientData/>
  </xdr:twoCellAnchor>
  <xdr:twoCellAnchor editAs="oneCell">
    <xdr:from>
      <xdr:col>10</xdr:col>
      <xdr:colOff>235228</xdr:colOff>
      <xdr:row>1</xdr:row>
      <xdr:rowOff>109333</xdr:rowOff>
    </xdr:from>
    <xdr:to>
      <xdr:col>14</xdr:col>
      <xdr:colOff>371061</xdr:colOff>
      <xdr:row>6</xdr:row>
      <xdr:rowOff>29234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7EA6A1-4DE9-4395-986E-4D14A410D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1280" y="195472"/>
          <a:ext cx="1699590" cy="5162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Z109"/>
  <sheetViews>
    <sheetView tabSelected="1" zoomScale="90" zoomScaleNormal="90" workbookViewId="0">
      <selection activeCell="V16" sqref="V16:AC16"/>
    </sheetView>
  </sheetViews>
  <sheetFormatPr defaultColWidth="9.109375" defaultRowHeight="13.8"/>
  <cols>
    <col min="1" max="1" width="0.44140625" style="51" customWidth="1"/>
    <col min="2" max="12" width="3.6640625" style="51" customWidth="1"/>
    <col min="13" max="13" width="6" style="51" customWidth="1"/>
    <col min="14" max="18" width="3.6640625" style="51" customWidth="1"/>
    <col min="19" max="19" width="7.5546875" style="51" customWidth="1"/>
    <col min="20" max="20" width="3.6640625" style="51" customWidth="1"/>
    <col min="21" max="21" width="4.5546875" style="51" customWidth="1"/>
    <col min="22" max="22" width="5.44140625" style="51" customWidth="1"/>
    <col min="23" max="25" width="3.6640625" style="51" customWidth="1"/>
    <col min="26" max="26" width="5" style="51" customWidth="1"/>
    <col min="27" max="27" width="3.6640625" style="51" customWidth="1"/>
    <col min="28" max="28" width="6.44140625" style="51" customWidth="1"/>
    <col min="29" max="35" width="3.6640625" style="51" customWidth="1"/>
    <col min="36" max="36" width="7.6640625" style="51" customWidth="1"/>
    <col min="37" max="38" width="3.6640625" style="51" customWidth="1"/>
    <col min="39" max="39" width="4.109375" style="51" customWidth="1"/>
    <col min="40" max="40" width="3.6640625" style="51" customWidth="1"/>
    <col min="41" max="41" width="5.5546875" style="51" customWidth="1"/>
    <col min="42" max="43" width="3.6640625" style="51" customWidth="1"/>
    <col min="44" max="44" width="13.88671875" style="51" customWidth="1"/>
    <col min="45" max="45" width="3.6640625" style="51" customWidth="1"/>
    <col min="46" max="46" width="6.33203125" style="51" customWidth="1"/>
    <col min="47" max="47" width="0.109375" style="51" customWidth="1"/>
    <col min="48" max="48" width="10.109375" style="51" customWidth="1"/>
    <col min="49" max="50" width="3.6640625" style="51" customWidth="1"/>
    <col min="51" max="51" width="1.44140625" style="51" customWidth="1"/>
    <col min="52" max="52" width="8.33203125" style="51" customWidth="1"/>
    <col min="53" max="57" width="3.6640625" style="51" customWidth="1"/>
    <col min="58" max="58" width="13.109375" style="51" customWidth="1"/>
    <col min="59" max="59" width="10.6640625" style="51" customWidth="1"/>
    <col min="60" max="60" width="9.109375" style="51"/>
    <col min="61" max="61" width="9.109375" style="51" customWidth="1"/>
    <col min="62" max="62" width="10.5546875" style="51" customWidth="1"/>
    <col min="63" max="64" width="9.109375" style="51"/>
    <col min="65" max="65" width="11.88671875" style="51" customWidth="1"/>
    <col min="66" max="66" width="36" style="51" customWidth="1"/>
    <col min="67" max="67" width="11" style="51" customWidth="1"/>
    <col min="68" max="68" width="10" style="51" customWidth="1"/>
    <col min="69" max="16384" width="9.109375" style="51"/>
  </cols>
  <sheetData>
    <row r="1" spans="1:78" ht="18" customHeight="1">
      <c r="A1" s="304"/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  <c r="V1" s="302"/>
      <c r="W1" s="302"/>
      <c r="X1" s="302"/>
      <c r="Y1" s="302"/>
      <c r="Z1" s="302"/>
      <c r="AA1" s="302"/>
      <c r="AB1" s="302"/>
      <c r="AC1" s="345" t="str">
        <f>Lang!A2</f>
        <v>FORMULAR COMANDA</v>
      </c>
      <c r="AD1" s="311"/>
      <c r="AE1" s="311"/>
      <c r="AF1" s="311"/>
      <c r="AG1" s="311"/>
      <c r="AH1" s="311"/>
      <c r="AI1" s="311"/>
      <c r="AJ1" s="311"/>
      <c r="AK1" s="311"/>
      <c r="AL1" s="311"/>
      <c r="AM1" s="311"/>
      <c r="AN1" s="311"/>
      <c r="AO1" s="311"/>
      <c r="AP1" s="406" t="s">
        <v>3226</v>
      </c>
      <c r="AQ1" s="312"/>
      <c r="AR1" s="312"/>
      <c r="AS1" s="310"/>
      <c r="AT1" s="310"/>
      <c r="AU1" s="309"/>
      <c r="AV1" s="305"/>
      <c r="AW1" s="305"/>
      <c r="AX1" s="305"/>
      <c r="AY1" s="305"/>
      <c r="AZ1" s="305"/>
      <c r="BA1" s="305"/>
      <c r="BB1" s="305"/>
      <c r="BC1" s="305"/>
      <c r="BD1" s="305"/>
      <c r="BE1" s="305"/>
      <c r="BF1" s="305"/>
      <c r="BG1" s="305"/>
      <c r="BH1" s="305"/>
      <c r="BI1" s="305"/>
      <c r="BJ1" s="305"/>
      <c r="BK1" s="305"/>
      <c r="BL1" s="305"/>
      <c r="BM1" s="305"/>
      <c r="BN1" s="304"/>
      <c r="BO1" s="304"/>
      <c r="BP1" s="304"/>
      <c r="BQ1" s="304"/>
      <c r="BR1" s="594"/>
      <c r="BS1" s="594"/>
      <c r="BT1" s="594"/>
      <c r="BU1" s="594"/>
      <c r="BV1" s="594"/>
      <c r="BW1" s="594"/>
      <c r="BX1" s="594"/>
      <c r="BY1" s="594"/>
      <c r="BZ1" s="594"/>
    </row>
    <row r="2" spans="1:78" ht="18" customHeight="1">
      <c r="A2" s="304"/>
      <c r="B2" s="303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2"/>
      <c r="W2" s="302"/>
      <c r="X2" s="302"/>
      <c r="Y2" s="302"/>
      <c r="Z2" s="302"/>
      <c r="AA2" s="302"/>
      <c r="AB2" s="302"/>
      <c r="AC2" s="302"/>
      <c r="AD2" s="302"/>
      <c r="AE2" s="302"/>
      <c r="AF2" s="302"/>
      <c r="AG2" s="302"/>
      <c r="AH2" s="302"/>
      <c r="AI2" s="302"/>
      <c r="AJ2" s="302"/>
      <c r="AK2" s="302"/>
      <c r="AL2" s="302"/>
      <c r="AM2" s="302"/>
      <c r="AN2" s="302"/>
      <c r="AO2" s="302"/>
      <c r="AP2" s="308"/>
      <c r="AQ2" s="308"/>
      <c r="AR2" s="308"/>
      <c r="AS2" s="309"/>
      <c r="AT2" s="309"/>
      <c r="AU2" s="309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4"/>
      <c r="BO2" s="304"/>
      <c r="BP2" s="304"/>
      <c r="BQ2" s="304"/>
      <c r="BR2" s="594"/>
      <c r="BS2" s="594"/>
      <c r="BT2" s="594"/>
      <c r="BU2" s="594"/>
      <c r="BV2" s="594"/>
      <c r="BW2" s="594"/>
      <c r="BX2" s="594"/>
      <c r="BY2" s="594"/>
      <c r="BZ2" s="594"/>
    </row>
    <row r="3" spans="1:78" ht="18" customHeight="1">
      <c r="A3" s="304"/>
      <c r="B3" s="303"/>
      <c r="C3" s="304"/>
      <c r="D3" s="304"/>
      <c r="E3" s="304"/>
      <c r="F3" s="304"/>
      <c r="G3" s="304"/>
      <c r="H3" s="304"/>
      <c r="I3" s="304"/>
      <c r="J3" s="304"/>
      <c r="K3" s="304"/>
      <c r="L3" s="304"/>
      <c r="M3" s="304"/>
      <c r="N3" s="304"/>
      <c r="O3" s="304"/>
      <c r="P3" s="304"/>
      <c r="Q3" s="304"/>
      <c r="R3" s="304"/>
      <c r="S3" s="304"/>
      <c r="T3" s="304"/>
      <c r="U3" s="304"/>
      <c r="V3" s="302"/>
      <c r="W3" s="302"/>
      <c r="X3" s="302"/>
      <c r="Y3" s="302"/>
      <c r="Z3" s="302"/>
      <c r="AA3" s="302"/>
      <c r="AB3" s="302"/>
      <c r="AC3" s="302"/>
      <c r="AD3" s="302"/>
      <c r="AE3" s="302"/>
      <c r="AF3" s="302"/>
      <c r="AG3" s="302"/>
      <c r="AH3" s="302"/>
      <c r="AI3" s="302"/>
      <c r="AJ3" s="302"/>
      <c r="AK3" s="302"/>
      <c r="AL3" s="302"/>
      <c r="AM3" s="302"/>
      <c r="AN3" s="302"/>
      <c r="AO3" s="302"/>
      <c r="AP3" s="308"/>
      <c r="AQ3" s="308"/>
      <c r="AR3" s="308"/>
      <c r="AS3" s="309"/>
      <c r="AT3" s="309"/>
      <c r="AU3" s="305"/>
      <c r="AV3" s="305"/>
      <c r="AW3" s="305"/>
      <c r="AX3" s="305"/>
      <c r="AY3" s="305"/>
      <c r="AZ3" s="305"/>
      <c r="BA3" s="305"/>
      <c r="BB3" s="305"/>
      <c r="BC3" s="305"/>
      <c r="BD3" s="305"/>
      <c r="BE3" s="305"/>
      <c r="BF3" s="305"/>
      <c r="BG3" s="307" t="str">
        <f>Lang!A382</f>
        <v>Fisier realizat de:</v>
      </c>
      <c r="BH3" s="305"/>
      <c r="BI3" s="305"/>
      <c r="BJ3" s="305"/>
      <c r="BK3" s="305"/>
      <c r="BL3" s="305"/>
      <c r="BM3" s="305"/>
      <c r="BN3" s="304"/>
      <c r="BO3" s="304"/>
      <c r="BP3" s="304"/>
      <c r="BQ3" s="304"/>
      <c r="BR3" s="594"/>
      <c r="BS3" s="594"/>
      <c r="BT3" s="594"/>
      <c r="BU3" s="594"/>
      <c r="BV3" s="594"/>
      <c r="BW3" s="594"/>
      <c r="BX3" s="594"/>
      <c r="BY3" s="594"/>
      <c r="BZ3" s="594"/>
    </row>
    <row r="4" spans="1:78" ht="18" customHeight="1">
      <c r="A4" s="304"/>
      <c r="B4" s="303"/>
      <c r="C4" s="304"/>
      <c r="D4" s="304"/>
      <c r="E4" s="304"/>
      <c r="F4" s="304"/>
      <c r="G4" s="304"/>
      <c r="H4" s="304"/>
      <c r="I4" s="304"/>
      <c r="J4" s="304"/>
      <c r="K4" s="304"/>
      <c r="L4" s="304"/>
      <c r="M4" s="304"/>
      <c r="N4" s="304"/>
      <c r="O4" s="304"/>
      <c r="P4" s="304"/>
      <c r="Q4" s="304"/>
      <c r="R4" s="304"/>
      <c r="S4" s="304"/>
      <c r="T4" s="304"/>
      <c r="U4" s="304"/>
      <c r="V4" s="305"/>
      <c r="W4" s="305"/>
      <c r="X4" s="305"/>
      <c r="Y4" s="305"/>
      <c r="Z4" s="305"/>
      <c r="AA4" s="305"/>
      <c r="AB4" s="307"/>
      <c r="AC4" s="305"/>
      <c r="AD4" s="305"/>
      <c r="AE4" s="305"/>
      <c r="AF4" s="305"/>
      <c r="AG4" s="307" t="str">
        <f>Lang!A327</f>
        <v>Selectati Limba</v>
      </c>
      <c r="AH4" s="305"/>
      <c r="AI4" s="305"/>
      <c r="AJ4" s="305"/>
      <c r="AK4" s="305"/>
      <c r="AL4" s="305"/>
      <c r="AM4" s="305"/>
      <c r="AN4" s="305"/>
      <c r="AO4" s="305"/>
      <c r="AP4" s="309"/>
      <c r="AQ4" s="309"/>
      <c r="AR4" s="309"/>
      <c r="AS4" s="309"/>
      <c r="AT4" s="309"/>
      <c r="AU4" s="305"/>
      <c r="AV4" s="305"/>
      <c r="AW4" s="305"/>
      <c r="AX4" s="305"/>
      <c r="AY4" s="305"/>
      <c r="AZ4" s="305"/>
      <c r="BA4" s="305"/>
      <c r="BB4" s="305"/>
      <c r="BC4" s="305"/>
      <c r="BD4" s="305"/>
      <c r="BE4" s="305"/>
      <c r="BF4" s="305"/>
      <c r="BG4" s="305"/>
      <c r="BH4" s="305"/>
      <c r="BI4" s="305"/>
      <c r="BJ4" s="305"/>
      <c r="BK4" s="305"/>
      <c r="BL4" s="305"/>
      <c r="BM4" s="305"/>
      <c r="BN4" s="304"/>
      <c r="BO4" s="304"/>
      <c r="BP4" s="304"/>
      <c r="BQ4" s="304"/>
      <c r="BR4" s="594"/>
      <c r="BS4" s="594"/>
      <c r="BT4" s="594"/>
      <c r="BU4" s="594"/>
      <c r="BV4" s="594"/>
      <c r="BW4" s="594"/>
      <c r="BX4" s="594"/>
      <c r="BY4" s="594"/>
      <c r="BZ4" s="594"/>
    </row>
    <row r="5" spans="1:78" ht="18" customHeight="1" thickBot="1">
      <c r="A5" s="304"/>
      <c r="B5" s="304"/>
      <c r="C5" s="304"/>
      <c r="D5" s="304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6"/>
      <c r="W5" s="306"/>
      <c r="X5" s="306"/>
      <c r="Y5" s="306"/>
      <c r="Z5" s="306"/>
      <c r="AA5" s="306"/>
      <c r="AB5" s="306"/>
      <c r="AC5" s="306"/>
      <c r="AD5" s="306"/>
      <c r="AE5" s="306"/>
      <c r="AF5" s="309"/>
      <c r="AG5" s="309"/>
      <c r="AH5" s="309"/>
      <c r="AI5" s="309"/>
      <c r="AJ5" s="309"/>
      <c r="AK5" s="309"/>
      <c r="AL5" s="309"/>
      <c r="AM5" s="309"/>
      <c r="AN5" s="309"/>
      <c r="AO5" s="309"/>
      <c r="AP5" s="309"/>
      <c r="AQ5" s="309"/>
      <c r="AR5" s="309"/>
      <c r="AS5" s="309"/>
      <c r="AT5" s="309"/>
      <c r="AU5" s="306"/>
      <c r="AV5" s="306"/>
      <c r="AW5" s="306"/>
      <c r="AX5" s="306"/>
      <c r="AY5" s="306"/>
      <c r="AZ5" s="306"/>
      <c r="BA5" s="306"/>
      <c r="BB5" s="306"/>
      <c r="BC5" s="306"/>
      <c r="BD5" s="306"/>
      <c r="BE5" s="306"/>
      <c r="BF5" s="306"/>
      <c r="BG5" s="306"/>
      <c r="BH5" s="306"/>
      <c r="BI5" s="306"/>
      <c r="BJ5" s="306"/>
      <c r="BK5" s="306"/>
      <c r="BL5" s="306"/>
      <c r="BM5" s="306"/>
      <c r="BN5" s="304"/>
      <c r="BO5" s="304"/>
      <c r="BP5" s="304"/>
      <c r="BQ5" s="304"/>
      <c r="BR5" s="594"/>
      <c r="BS5" s="594"/>
      <c r="BT5" s="594"/>
      <c r="BU5" s="594"/>
      <c r="BV5" s="594"/>
      <c r="BW5" s="594"/>
      <c r="BX5" s="594"/>
      <c r="BY5" s="594"/>
      <c r="BZ5" s="594"/>
    </row>
    <row r="6" spans="1:78" s="63" customFormat="1" ht="15" customHeight="1" thickBot="1">
      <c r="B6" s="644" t="str">
        <f>Lang!A3</f>
        <v>TIGLA METALICA</v>
      </c>
      <c r="C6" s="645"/>
      <c r="D6" s="645"/>
      <c r="E6" s="645"/>
      <c r="F6" s="645"/>
      <c r="G6" s="645"/>
      <c r="H6" s="645"/>
      <c r="I6" s="645"/>
      <c r="J6" s="645"/>
      <c r="K6" s="646"/>
      <c r="L6" s="644" t="str">
        <f>Lang!A6</f>
        <v>BORDURI</v>
      </c>
      <c r="M6" s="645"/>
      <c r="N6" s="645"/>
      <c r="O6" s="645"/>
      <c r="P6" s="645"/>
      <c r="Q6" s="645"/>
      <c r="R6" s="645"/>
      <c r="S6" s="645"/>
      <c r="T6" s="645"/>
      <c r="U6" s="646"/>
      <c r="V6" s="644" t="str">
        <f>Lang!A9</f>
        <v>SISTEM PLUVIAL</v>
      </c>
      <c r="W6" s="645"/>
      <c r="X6" s="645"/>
      <c r="Y6" s="645"/>
      <c r="Z6" s="645"/>
      <c r="AA6" s="645"/>
      <c r="AB6" s="645"/>
      <c r="AC6" s="645"/>
      <c r="AD6" s="645"/>
      <c r="AE6" s="646"/>
      <c r="AF6" s="647" t="str">
        <f>Lang!A10</f>
        <v>MEMBRANE SI ACCESORII</v>
      </c>
      <c r="AG6" s="648"/>
      <c r="AH6" s="648"/>
      <c r="AI6" s="648"/>
      <c r="AJ6" s="648"/>
      <c r="AK6" s="648"/>
      <c r="AL6" s="648"/>
      <c r="AM6" s="648"/>
      <c r="AN6" s="648"/>
      <c r="AO6" s="648"/>
      <c r="AP6" s="648"/>
      <c r="AQ6" s="648"/>
      <c r="AR6" s="648"/>
      <c r="AS6" s="648"/>
      <c r="AT6" s="649"/>
      <c r="AU6" s="64" t="s">
        <v>442</v>
      </c>
      <c r="AV6" s="622" t="str">
        <f>Lang!A11</f>
        <v>SURUBURI</v>
      </c>
      <c r="AW6" s="623"/>
      <c r="AX6" s="623"/>
      <c r="AY6" s="623"/>
      <c r="AZ6" s="623"/>
      <c r="BA6" s="623"/>
      <c r="BB6" s="623"/>
      <c r="BC6" s="623"/>
      <c r="BD6" s="623"/>
      <c r="BE6" s="623"/>
      <c r="BF6" s="623"/>
      <c r="BG6" s="624"/>
      <c r="BH6" s="644" t="str">
        <f>Lang!A26</f>
        <v>FERESTRE SI ACCESORII</v>
      </c>
      <c r="BI6" s="645"/>
      <c r="BJ6" s="645"/>
      <c r="BK6" s="645"/>
      <c r="BL6" s="645"/>
      <c r="BM6" s="646"/>
      <c r="BN6" s="715" t="str">
        <f>Lang!A413</f>
        <v>TABLA CUTATA/PLANA SUBTIRE</v>
      </c>
      <c r="BO6" s="716"/>
      <c r="BP6" s="716"/>
      <c r="BQ6" s="717"/>
      <c r="BR6" s="594"/>
      <c r="BS6" s="594"/>
      <c r="BT6" s="594"/>
      <c r="BU6" s="594"/>
      <c r="BV6" s="594"/>
      <c r="BW6" s="594"/>
      <c r="BX6" s="594"/>
      <c r="BY6" s="594"/>
      <c r="BZ6" s="594"/>
    </row>
    <row r="7" spans="1:78" ht="15.9" customHeight="1">
      <c r="B7" s="725" t="str">
        <f>Lang!A7</f>
        <v>Model</v>
      </c>
      <c r="C7" s="726"/>
      <c r="D7" s="726"/>
      <c r="E7" s="726"/>
      <c r="F7" s="79"/>
      <c r="G7" s="79"/>
      <c r="H7" s="79"/>
      <c r="I7" s="79"/>
      <c r="J7" s="79"/>
      <c r="K7" s="80"/>
      <c r="L7" s="727"/>
      <c r="M7" s="728"/>
      <c r="N7" s="728"/>
      <c r="O7" s="728"/>
      <c r="P7" s="728"/>
      <c r="Q7" s="728"/>
      <c r="R7" s="728"/>
      <c r="S7" s="728"/>
      <c r="T7" s="728"/>
      <c r="U7" s="729"/>
      <c r="V7" s="725" t="str">
        <f>B7</f>
        <v>Model</v>
      </c>
      <c r="W7" s="726"/>
      <c r="X7" s="726"/>
      <c r="Y7" s="81"/>
      <c r="Z7" s="81"/>
      <c r="AA7" s="81"/>
      <c r="AB7" s="81"/>
      <c r="AC7" s="81"/>
      <c r="AD7" s="81"/>
      <c r="AE7" s="79"/>
      <c r="AF7" s="598" t="str">
        <f>Info!A184</f>
        <v>Membrana anticondens WETTERBEST 115 gr/mp - 75mp</v>
      </c>
      <c r="AG7" s="598"/>
      <c r="AH7" s="598"/>
      <c r="AI7" s="598"/>
      <c r="AJ7" s="598"/>
      <c r="AK7" s="598"/>
      <c r="AL7" s="598"/>
      <c r="AM7" s="598"/>
      <c r="AN7" s="598"/>
      <c r="AO7" s="598"/>
      <c r="AP7" s="598"/>
      <c r="AQ7" s="598"/>
      <c r="AR7" s="598"/>
      <c r="AS7" s="650"/>
      <c r="AT7" s="650"/>
      <c r="AU7" s="446" t="str">
        <f>Lang!A12</f>
        <v>Suruburi pentru acoperis</v>
      </c>
      <c r="AV7" s="625" t="str">
        <f>Lang!A12</f>
        <v>Suruburi pentru acoperis</v>
      </c>
      <c r="AW7" s="625"/>
      <c r="AX7" s="625"/>
      <c r="AY7" s="625"/>
      <c r="AZ7" s="625"/>
      <c r="BA7" s="625"/>
      <c r="BB7" s="625"/>
      <c r="BC7" s="625"/>
      <c r="BD7" s="625"/>
      <c r="BE7" s="625"/>
      <c r="BF7" s="625"/>
      <c r="BG7" s="626"/>
      <c r="BH7" s="657" t="str">
        <f>Info!A328</f>
        <v>Fereastra Dakea Good</v>
      </c>
      <c r="BI7" s="658"/>
      <c r="BJ7" s="659"/>
      <c r="BK7" s="70"/>
      <c r="BL7" s="70"/>
      <c r="BM7" s="282"/>
      <c r="BN7" s="692" t="s">
        <v>1767</v>
      </c>
      <c r="BO7" s="693"/>
      <c r="BP7" s="693"/>
      <c r="BQ7" s="694"/>
      <c r="BR7" s="594"/>
      <c r="BS7" s="594"/>
      <c r="BT7" s="594"/>
      <c r="BU7" s="594"/>
      <c r="BV7" s="594"/>
      <c r="BW7" s="594"/>
      <c r="BX7" s="594"/>
      <c r="BY7" s="594"/>
      <c r="BZ7" s="594"/>
    </row>
    <row r="8" spans="1:78" ht="15.9" customHeight="1">
      <c r="B8" s="754"/>
      <c r="C8" s="755"/>
      <c r="D8" s="755"/>
      <c r="E8" s="755"/>
      <c r="F8" s="82"/>
      <c r="G8" s="82"/>
      <c r="H8" s="82"/>
      <c r="I8" s="82"/>
      <c r="J8" s="82"/>
      <c r="K8" s="83"/>
      <c r="L8" s="315" t="str">
        <f>B9</f>
        <v>Grosime</v>
      </c>
      <c r="M8" s="82"/>
      <c r="N8" s="82"/>
      <c r="O8" s="82"/>
      <c r="P8" s="82"/>
      <c r="Q8" s="82"/>
      <c r="R8" s="82"/>
      <c r="S8" s="82"/>
      <c r="T8" s="82"/>
      <c r="U8" s="83"/>
      <c r="V8" s="82"/>
      <c r="W8" s="82"/>
      <c r="X8" s="82"/>
      <c r="Y8" s="82"/>
      <c r="Z8" s="82"/>
      <c r="AA8" s="82"/>
      <c r="AB8" s="82"/>
      <c r="AC8" s="82"/>
      <c r="AD8" s="82"/>
      <c r="AE8" s="82"/>
      <c r="AF8" s="598" t="str">
        <f>Info!A185</f>
        <v>Membrana anticondens WETTERBEST 135 gr/mp - 75mp</v>
      </c>
      <c r="AG8" s="598"/>
      <c r="AH8" s="598"/>
      <c r="AI8" s="598"/>
      <c r="AJ8" s="598"/>
      <c r="AK8" s="598"/>
      <c r="AL8" s="598"/>
      <c r="AM8" s="598"/>
      <c r="AN8" s="598"/>
      <c r="AO8" s="598"/>
      <c r="AP8" s="598"/>
      <c r="AQ8" s="598"/>
      <c r="AR8" s="598"/>
      <c r="AS8" s="650"/>
      <c r="AT8" s="650"/>
      <c r="AU8" s="447">
        <f>Info!A247</f>
        <v>0</v>
      </c>
      <c r="AV8" s="627" t="str">
        <f>AV57</f>
        <v>Șurub cap torx 4,8x20 RAL 250 buc/cutie RAL:</v>
      </c>
      <c r="AW8" s="627"/>
      <c r="AX8" s="627"/>
      <c r="AY8" s="627"/>
      <c r="AZ8" s="627"/>
      <c r="BA8" s="627"/>
      <c r="BB8" s="627"/>
      <c r="BC8" s="627"/>
      <c r="BD8" s="627"/>
      <c r="BE8" s="652"/>
      <c r="BF8" s="652"/>
      <c r="BG8" s="444"/>
      <c r="BH8" s="632"/>
      <c r="BI8" s="633"/>
      <c r="BJ8" s="634"/>
      <c r="BK8" s="67"/>
      <c r="BL8" s="67"/>
      <c r="BM8" s="279"/>
      <c r="BN8" s="321" t="s">
        <v>1038</v>
      </c>
      <c r="BO8" s="263" t="s">
        <v>1724</v>
      </c>
      <c r="BP8" s="263" t="s">
        <v>1723</v>
      </c>
      <c r="BQ8" s="322" t="s">
        <v>1773</v>
      </c>
      <c r="BR8" s="594"/>
      <c r="BS8" s="594"/>
      <c r="BT8" s="594"/>
      <c r="BU8" s="594"/>
      <c r="BV8" s="594"/>
      <c r="BW8" s="594"/>
      <c r="BX8" s="594"/>
      <c r="BY8" s="594"/>
      <c r="BZ8" s="594"/>
    </row>
    <row r="9" spans="1:78" ht="15.9" customHeight="1">
      <c r="B9" s="820" t="str">
        <f>Lang!A4</f>
        <v>Grosime</v>
      </c>
      <c r="C9" s="821"/>
      <c r="D9" s="821"/>
      <c r="E9" s="821"/>
      <c r="F9" s="82"/>
      <c r="G9" s="82"/>
      <c r="H9" s="82"/>
      <c r="I9" s="82"/>
      <c r="J9" s="82"/>
      <c r="K9" s="83"/>
      <c r="L9" s="84"/>
      <c r="M9" s="82"/>
      <c r="N9" s="82"/>
      <c r="O9" s="82"/>
      <c r="P9" s="82"/>
      <c r="Q9" s="82"/>
      <c r="R9" s="82"/>
      <c r="S9" s="82"/>
      <c r="T9" s="82"/>
      <c r="U9" s="83"/>
      <c r="V9" s="730"/>
      <c r="W9" s="731"/>
      <c r="X9" s="731"/>
      <c r="Y9" s="82"/>
      <c r="Z9" s="82"/>
      <c r="AA9" s="82"/>
      <c r="AB9" s="82"/>
      <c r="AC9" s="82"/>
      <c r="AD9" s="82"/>
      <c r="AE9" s="82"/>
      <c r="AF9" s="598" t="str">
        <f>Info!A186</f>
        <v>Membrana anticondens WETTERBEST 150 gr/mp - 75mp</v>
      </c>
      <c r="AG9" s="598"/>
      <c r="AH9" s="598"/>
      <c r="AI9" s="598"/>
      <c r="AJ9" s="598"/>
      <c r="AK9" s="598"/>
      <c r="AL9" s="598"/>
      <c r="AM9" s="598"/>
      <c r="AN9" s="598"/>
      <c r="AO9" s="598"/>
      <c r="AP9" s="598"/>
      <c r="AQ9" s="598"/>
      <c r="AR9" s="598"/>
      <c r="AS9" s="650"/>
      <c r="AT9" s="650"/>
      <c r="AU9" s="447" t="str">
        <f>Info!A248</f>
        <v>Suruburi pentru acoperis</v>
      </c>
      <c r="AV9" s="627" t="str">
        <f>AV58</f>
        <v>Șurub cap torx 4,8x35 RAL 250 buc/cutie RAL:</v>
      </c>
      <c r="AW9" s="627"/>
      <c r="AX9" s="627"/>
      <c r="AY9" s="627"/>
      <c r="AZ9" s="627"/>
      <c r="BA9" s="627"/>
      <c r="BB9" s="627"/>
      <c r="BC9" s="627"/>
      <c r="BD9" s="627"/>
      <c r="BE9" s="652"/>
      <c r="BF9" s="652"/>
      <c r="BG9" s="444"/>
      <c r="BH9" s="629" t="str">
        <f>Info!A329</f>
        <v>Fereastra Dakea Good PVC</v>
      </c>
      <c r="BI9" s="630"/>
      <c r="BJ9" s="631"/>
      <c r="BK9" s="68"/>
      <c r="BL9" s="68"/>
      <c r="BM9" s="107"/>
      <c r="BN9" s="280" t="s">
        <v>1768</v>
      </c>
      <c r="BO9" s="281">
        <v>950</v>
      </c>
      <c r="BP9" s="281">
        <v>2000</v>
      </c>
      <c r="BQ9" s="251"/>
      <c r="BR9" s="594"/>
      <c r="BS9" s="594"/>
      <c r="BT9" s="594"/>
      <c r="BU9" s="594"/>
      <c r="BV9" s="594"/>
      <c r="BW9" s="594"/>
      <c r="BX9" s="594"/>
      <c r="BY9" s="594"/>
      <c r="BZ9" s="594"/>
    </row>
    <row r="10" spans="1:78" ht="15.9" customHeight="1">
      <c r="B10" s="824"/>
      <c r="C10" s="825"/>
      <c r="D10" s="825"/>
      <c r="E10" s="825"/>
      <c r="F10" s="825"/>
      <c r="G10" s="825"/>
      <c r="H10" s="825"/>
      <c r="I10" s="82"/>
      <c r="J10" s="82"/>
      <c r="K10" s="83"/>
      <c r="L10" s="315" t="str">
        <f>B11</f>
        <v>Culoare Ral</v>
      </c>
      <c r="M10" s="82"/>
      <c r="N10" s="82"/>
      <c r="O10" s="82"/>
      <c r="P10" s="82"/>
      <c r="Q10" s="82"/>
      <c r="R10" s="82"/>
      <c r="S10" s="82"/>
      <c r="T10" s="82"/>
      <c r="U10" s="83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598" t="str">
        <f>Info!A187</f>
        <v>Membrana anticondens WETTERBEST 180 gr/mp - 75mp</v>
      </c>
      <c r="AG10" s="598"/>
      <c r="AH10" s="598"/>
      <c r="AI10" s="598"/>
      <c r="AJ10" s="598"/>
      <c r="AK10" s="598"/>
      <c r="AL10" s="598"/>
      <c r="AM10" s="598"/>
      <c r="AN10" s="598"/>
      <c r="AO10" s="598"/>
      <c r="AP10" s="598"/>
      <c r="AQ10" s="598"/>
      <c r="AR10" s="598"/>
      <c r="AS10" s="650"/>
      <c r="AT10" s="650"/>
      <c r="AU10" s="627" t="str">
        <f>Info!A249</f>
        <v>Surub 4,8*20 Zn</v>
      </c>
      <c r="AV10" s="627"/>
      <c r="AW10" s="627"/>
      <c r="AX10" s="627"/>
      <c r="AY10" s="627"/>
      <c r="AZ10" s="627"/>
      <c r="BA10" s="627"/>
      <c r="BB10" s="627"/>
      <c r="BC10" s="627"/>
      <c r="BD10" s="627"/>
      <c r="BE10" s="627"/>
      <c r="BF10" s="628"/>
      <c r="BG10" s="285"/>
      <c r="BH10" s="632"/>
      <c r="BI10" s="633"/>
      <c r="BJ10" s="634"/>
      <c r="BK10" s="67"/>
      <c r="BL10" s="67"/>
      <c r="BM10" s="279"/>
      <c r="BN10" s="280" t="s">
        <v>1769</v>
      </c>
      <c r="BO10" s="281">
        <v>950</v>
      </c>
      <c r="BP10" s="281">
        <v>2000</v>
      </c>
      <c r="BQ10" s="251"/>
      <c r="BR10" s="594"/>
      <c r="BS10" s="594"/>
      <c r="BT10" s="594"/>
      <c r="BU10" s="594"/>
      <c r="BV10" s="594"/>
      <c r="BW10" s="594"/>
      <c r="BX10" s="594"/>
      <c r="BY10" s="594"/>
      <c r="BZ10" s="594"/>
    </row>
    <row r="11" spans="1:78" ht="15.9" customHeight="1">
      <c r="B11" s="314" t="str">
        <f>Lang!A5</f>
        <v>Culoare Ral</v>
      </c>
      <c r="C11" s="85"/>
      <c r="D11" s="85"/>
      <c r="E11" s="85"/>
      <c r="F11" s="85"/>
      <c r="G11" s="85"/>
      <c r="H11" s="85"/>
      <c r="I11" s="85"/>
      <c r="J11" s="85"/>
      <c r="K11" s="86"/>
      <c r="L11" s="87"/>
      <c r="M11" s="85"/>
      <c r="N11" s="85"/>
      <c r="O11" s="85"/>
      <c r="P11" s="85"/>
      <c r="Q11" s="85"/>
      <c r="R11" s="85"/>
      <c r="S11" s="85"/>
      <c r="T11" s="85"/>
      <c r="U11" s="86"/>
      <c r="V11" s="826" t="str">
        <f>L10</f>
        <v>Culoare Ral</v>
      </c>
      <c r="W11" s="827"/>
      <c r="X11" s="827"/>
      <c r="Y11" s="85"/>
      <c r="Z11" s="85"/>
      <c r="AA11" s="85"/>
      <c r="AB11" s="85"/>
      <c r="AC11" s="85"/>
      <c r="AD11" s="85"/>
      <c r="AE11" s="85"/>
      <c r="AF11" s="598" t="str">
        <f>Info!A188</f>
        <v>Membrana Acofort 100 gr/mp - 75 mp</v>
      </c>
      <c r="AG11" s="598"/>
      <c r="AH11" s="598"/>
      <c r="AI11" s="598"/>
      <c r="AJ11" s="598"/>
      <c r="AK11" s="598"/>
      <c r="AL11" s="598"/>
      <c r="AM11" s="598"/>
      <c r="AN11" s="598"/>
      <c r="AO11" s="598"/>
      <c r="AP11" s="598"/>
      <c r="AQ11" s="598"/>
      <c r="AR11" s="598"/>
      <c r="AS11" s="650"/>
      <c r="AT11" s="650"/>
      <c r="AU11" s="627" t="str">
        <f>Info!A250</f>
        <v>Surub 4,8*35 Zn</v>
      </c>
      <c r="AV11" s="627"/>
      <c r="AW11" s="627"/>
      <c r="AX11" s="627"/>
      <c r="AY11" s="627"/>
      <c r="AZ11" s="627"/>
      <c r="BA11" s="627"/>
      <c r="BB11" s="627"/>
      <c r="BC11" s="627"/>
      <c r="BD11" s="627"/>
      <c r="BE11" s="627"/>
      <c r="BF11" s="628"/>
      <c r="BG11" s="285"/>
      <c r="BH11" s="629" t="str">
        <f>Info!A330</f>
        <v>Fereastra Dakea Good Energy</v>
      </c>
      <c r="BI11" s="630"/>
      <c r="BJ11" s="631"/>
      <c r="BK11" s="67"/>
      <c r="BL11" s="67"/>
      <c r="BM11" s="279"/>
      <c r="BN11" s="280" t="s">
        <v>1770</v>
      </c>
      <c r="BO11" s="281">
        <v>950</v>
      </c>
      <c r="BP11" s="281">
        <v>2000</v>
      </c>
      <c r="BQ11" s="251"/>
      <c r="BR11" s="594"/>
      <c r="BS11" s="594"/>
      <c r="BT11" s="594"/>
      <c r="BU11" s="594"/>
      <c r="BV11" s="594"/>
      <c r="BW11" s="594"/>
      <c r="BX11" s="594"/>
      <c r="BY11" s="594"/>
      <c r="BZ11" s="594"/>
    </row>
    <row r="12" spans="1:78" ht="15.9" customHeight="1">
      <c r="B12" s="52" t="str">
        <f>Lang!A22</f>
        <v>Completare la fact nr /data:</v>
      </c>
      <c r="C12" s="53"/>
      <c r="D12" s="53"/>
      <c r="E12" s="53"/>
      <c r="F12" s="53"/>
      <c r="G12" s="53"/>
      <c r="H12" s="805"/>
      <c r="I12" s="806"/>
      <c r="J12" s="806"/>
      <c r="K12" s="807"/>
      <c r="L12" s="808" t="str">
        <f>IF(OR(Select!$B$232=11,Select!$B$232=12)," ",Info!A72)</f>
        <v>Bordura speciala calcan BSC</v>
      </c>
      <c r="M12" s="809"/>
      <c r="N12" s="809"/>
      <c r="O12" s="809"/>
      <c r="P12" s="809"/>
      <c r="Q12" s="809"/>
      <c r="R12" s="809"/>
      <c r="S12" s="810"/>
      <c r="T12" s="544"/>
      <c r="U12" s="667"/>
      <c r="V12" s="668" t="str">
        <f>SELNEW!A82</f>
        <v xml:space="preserve"> </v>
      </c>
      <c r="W12" s="669"/>
      <c r="X12" s="669"/>
      <c r="Y12" s="669"/>
      <c r="Z12" s="669"/>
      <c r="AA12" s="669"/>
      <c r="AB12" s="669"/>
      <c r="AC12" s="670"/>
      <c r="AD12" s="544"/>
      <c r="AE12" s="666"/>
      <c r="AF12" s="598" t="str">
        <f>Info!A189</f>
        <v>Membrana Acofort 115 gr/mp - 75 mp</v>
      </c>
      <c r="AG12" s="598"/>
      <c r="AH12" s="598"/>
      <c r="AI12" s="598"/>
      <c r="AJ12" s="598"/>
      <c r="AK12" s="598"/>
      <c r="AL12" s="598"/>
      <c r="AM12" s="598"/>
      <c r="AN12" s="598"/>
      <c r="AO12" s="598"/>
      <c r="AP12" s="598"/>
      <c r="AQ12" s="598"/>
      <c r="AR12" s="598"/>
      <c r="AS12" s="650"/>
      <c r="AT12" s="650"/>
      <c r="AU12" s="627" t="str">
        <f>Info!A251</f>
        <v>Surub 4,8*20 RAL</v>
      </c>
      <c r="AV12" s="627"/>
      <c r="AW12" s="627"/>
      <c r="AX12" s="627"/>
      <c r="AY12" s="627"/>
      <c r="AZ12" s="627"/>
      <c r="BA12" s="627"/>
      <c r="BB12" s="627"/>
      <c r="BC12" s="627"/>
      <c r="BD12" s="627"/>
      <c r="BE12" s="627"/>
      <c r="BF12" s="628"/>
      <c r="BG12" s="285"/>
      <c r="BH12" s="632"/>
      <c r="BI12" s="633"/>
      <c r="BJ12" s="634"/>
      <c r="BK12" s="67"/>
      <c r="BL12" s="67"/>
      <c r="BM12" s="279"/>
      <c r="BN12" s="280" t="s">
        <v>1771</v>
      </c>
      <c r="BO12" s="281">
        <v>950</v>
      </c>
      <c r="BP12" s="281">
        <v>2000</v>
      </c>
      <c r="BQ12" s="251"/>
      <c r="BR12" s="594"/>
      <c r="BS12" s="594"/>
      <c r="BT12" s="594"/>
      <c r="BU12" s="594"/>
      <c r="BV12" s="594"/>
      <c r="BW12" s="594"/>
      <c r="BX12" s="594"/>
      <c r="BY12" s="594"/>
      <c r="BZ12" s="594"/>
    </row>
    <row r="13" spans="1:78" ht="15.9" customHeight="1">
      <c r="B13" s="818" t="str">
        <f>Lang!A23</f>
        <v xml:space="preserve">Total MP </v>
      </c>
      <c r="C13" s="819"/>
      <c r="D13" s="819"/>
      <c r="E13" s="822">
        <f>Print!W26</f>
        <v>0</v>
      </c>
      <c r="F13" s="822"/>
      <c r="G13" s="822"/>
      <c r="H13" s="822"/>
      <c r="I13" s="822"/>
      <c r="J13" s="822"/>
      <c r="K13" s="823"/>
      <c r="L13" s="808" t="str">
        <f>IF(OR(Select!$B$232=11,Select!$B$232=12)," ",Info!A73)</f>
        <v xml:space="preserve">Coama dreapta mare </v>
      </c>
      <c r="M13" s="809"/>
      <c r="N13" s="809"/>
      <c r="O13" s="809"/>
      <c r="P13" s="809"/>
      <c r="Q13" s="809"/>
      <c r="R13" s="809"/>
      <c r="S13" s="810"/>
      <c r="T13" s="544"/>
      <c r="U13" s="667"/>
      <c r="V13" s="668" t="str">
        <f>SELNEW!A83</f>
        <v xml:space="preserve"> </v>
      </c>
      <c r="W13" s="669"/>
      <c r="X13" s="669"/>
      <c r="Y13" s="669"/>
      <c r="Z13" s="669"/>
      <c r="AA13" s="669"/>
      <c r="AB13" s="669"/>
      <c r="AC13" s="670"/>
      <c r="AD13" s="544"/>
      <c r="AE13" s="666"/>
      <c r="AF13" s="598" t="str">
        <f>Info!A190</f>
        <v>Membrana Acofort 135 gr/mp - 75 mp</v>
      </c>
      <c r="AG13" s="598"/>
      <c r="AH13" s="598"/>
      <c r="AI13" s="598"/>
      <c r="AJ13" s="598"/>
      <c r="AK13" s="598"/>
      <c r="AL13" s="598"/>
      <c r="AM13" s="598"/>
      <c r="AN13" s="598"/>
      <c r="AO13" s="598"/>
      <c r="AP13" s="598"/>
      <c r="AQ13" s="598"/>
      <c r="AR13" s="598"/>
      <c r="AS13" s="650"/>
      <c r="AT13" s="650"/>
      <c r="AU13" s="627" t="str">
        <f>Info!A252</f>
        <v>Surub 4,8*35 RAL</v>
      </c>
      <c r="AV13" s="627"/>
      <c r="AW13" s="627"/>
      <c r="AX13" s="627"/>
      <c r="AY13" s="627"/>
      <c r="AZ13" s="627"/>
      <c r="BA13" s="627"/>
      <c r="BB13" s="627"/>
      <c r="BC13" s="627"/>
      <c r="BD13" s="627"/>
      <c r="BE13" s="627"/>
      <c r="BF13" s="628"/>
      <c r="BG13" s="285"/>
      <c r="BH13" s="629" t="str">
        <f>Info!A331</f>
        <v>Fereastra Dakea Good Energy PVC</v>
      </c>
      <c r="BI13" s="630"/>
      <c r="BJ13" s="631"/>
      <c r="BK13" s="67"/>
      <c r="BL13" s="67"/>
      <c r="BM13" s="279"/>
      <c r="BN13" s="280" t="s">
        <v>1772</v>
      </c>
      <c r="BO13" s="281">
        <v>950</v>
      </c>
      <c r="BP13" s="281">
        <v>2000</v>
      </c>
      <c r="BQ13" s="251"/>
      <c r="BR13" s="594"/>
      <c r="BS13" s="594"/>
      <c r="BT13" s="594"/>
      <c r="BU13" s="594"/>
      <c r="BV13" s="594"/>
      <c r="BW13" s="594"/>
      <c r="BX13" s="594"/>
      <c r="BY13" s="594"/>
      <c r="BZ13" s="594"/>
    </row>
    <row r="14" spans="1:78" ht="15.9" customHeight="1">
      <c r="B14" s="816" t="str">
        <f>Lang!A24</f>
        <v>PRET / MP</v>
      </c>
      <c r="C14" s="817"/>
      <c r="D14" s="817"/>
      <c r="E14" s="815">
        <f>Print!Z26</f>
        <v>0</v>
      </c>
      <c r="F14" s="815"/>
      <c r="G14" s="815"/>
      <c r="H14" s="815"/>
      <c r="I14" s="813" t="str">
        <f>Lang!A25</f>
        <v>euro</v>
      </c>
      <c r="J14" s="813"/>
      <c r="K14" s="814"/>
      <c r="L14" s="808" t="str">
        <f>IF(OR(Select!$B$232=11,Select!$B$232=12)," ",Info!A74)</f>
        <v>Coama dreapta mica CDMI</v>
      </c>
      <c r="M14" s="809"/>
      <c r="N14" s="809"/>
      <c r="O14" s="809"/>
      <c r="P14" s="809"/>
      <c r="Q14" s="809"/>
      <c r="R14" s="809"/>
      <c r="S14" s="810"/>
      <c r="T14" s="544"/>
      <c r="U14" s="667"/>
      <c r="V14" s="668" t="str">
        <f>SELNEW!A84</f>
        <v xml:space="preserve"> </v>
      </c>
      <c r="W14" s="669"/>
      <c r="X14" s="669"/>
      <c r="Y14" s="669"/>
      <c r="Z14" s="669"/>
      <c r="AA14" s="669"/>
      <c r="AB14" s="669"/>
      <c r="AC14" s="670"/>
      <c r="AD14" s="544"/>
      <c r="AE14" s="666"/>
      <c r="AF14" s="598" t="str">
        <f>Info!A191</f>
        <v>Membrana  anticondens ACOVENT 90 gr/mp - 80 mp</v>
      </c>
      <c r="AG14" s="598"/>
      <c r="AH14" s="598"/>
      <c r="AI14" s="598"/>
      <c r="AJ14" s="598"/>
      <c r="AK14" s="598"/>
      <c r="AL14" s="598"/>
      <c r="AM14" s="598"/>
      <c r="AN14" s="598"/>
      <c r="AO14" s="598"/>
      <c r="AP14" s="598"/>
      <c r="AQ14" s="598"/>
      <c r="AR14" s="598"/>
      <c r="AS14" s="650"/>
      <c r="AT14" s="650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8"/>
      <c r="BG14" s="285"/>
      <c r="BH14" s="632"/>
      <c r="BI14" s="633"/>
      <c r="BJ14" s="634"/>
      <c r="BK14" s="67"/>
      <c r="BL14" s="67"/>
      <c r="BM14" s="279"/>
      <c r="BN14" s="695" t="s">
        <v>285</v>
      </c>
      <c r="BO14" s="696"/>
      <c r="BP14" s="696"/>
      <c r="BQ14" s="697"/>
      <c r="BR14" s="594"/>
      <c r="BS14" s="594"/>
      <c r="BT14" s="594"/>
      <c r="BU14" s="594"/>
      <c r="BV14" s="594"/>
      <c r="BW14" s="594"/>
      <c r="BX14" s="594"/>
      <c r="BY14" s="594"/>
      <c r="BZ14" s="594"/>
    </row>
    <row r="15" spans="1:78" ht="15.9" customHeight="1">
      <c r="B15" s="735" t="str">
        <f>SELNEW!A17</f>
        <v xml:space="preserve"> </v>
      </c>
      <c r="C15" s="734"/>
      <c r="D15" s="732" t="str">
        <f>SELNEW!B17</f>
        <v xml:space="preserve"> </v>
      </c>
      <c r="E15" s="733"/>
      <c r="F15" s="734"/>
      <c r="G15" s="748">
        <f>IF(Select!$C$166=2," ",G16)</f>
        <v>0</v>
      </c>
      <c r="H15" s="749"/>
      <c r="I15" s="750"/>
      <c r="J15" s="811"/>
      <c r="K15" s="812"/>
      <c r="L15" s="808" t="str">
        <f>IF(OR(Select!$B$232=11,Select!$B$232=12)," ",Info!A75)</f>
        <v>Coama rotunda mica CR</v>
      </c>
      <c r="M15" s="809"/>
      <c r="N15" s="809"/>
      <c r="O15" s="809"/>
      <c r="P15" s="809"/>
      <c r="Q15" s="809"/>
      <c r="R15" s="809"/>
      <c r="S15" s="810"/>
      <c r="T15" s="544"/>
      <c r="U15" s="667"/>
      <c r="V15" s="668" t="str">
        <f>SELNEW!A85</f>
        <v xml:space="preserve"> </v>
      </c>
      <c r="W15" s="669"/>
      <c r="X15" s="669"/>
      <c r="Y15" s="669"/>
      <c r="Z15" s="669"/>
      <c r="AA15" s="669"/>
      <c r="AB15" s="669"/>
      <c r="AC15" s="670"/>
      <c r="AD15" s="544"/>
      <c r="AE15" s="666"/>
      <c r="AF15" s="598" t="str">
        <f>Info!A192</f>
        <v>Membrana anticondens DACHOVA 115 gr/mp - 80mp</v>
      </c>
      <c r="AG15" s="598"/>
      <c r="AH15" s="598"/>
      <c r="AI15" s="598"/>
      <c r="AJ15" s="598"/>
      <c r="AK15" s="598"/>
      <c r="AL15" s="598"/>
      <c r="AM15" s="598"/>
      <c r="AN15" s="598"/>
      <c r="AO15" s="598"/>
      <c r="AP15" s="598"/>
      <c r="AQ15" s="598"/>
      <c r="AR15" s="598"/>
      <c r="AS15" s="650"/>
      <c r="AT15" s="650"/>
      <c r="AU15" s="627"/>
      <c r="AV15" s="627"/>
      <c r="AW15" s="627"/>
      <c r="AX15" s="627"/>
      <c r="AY15" s="627"/>
      <c r="AZ15" s="627"/>
      <c r="BA15" s="627"/>
      <c r="BB15" s="627"/>
      <c r="BC15" s="627"/>
      <c r="BD15" s="627"/>
      <c r="BE15" s="627"/>
      <c r="BF15" s="628"/>
      <c r="BG15" s="285"/>
      <c r="BH15" s="629" t="str">
        <f>Info!A332</f>
        <v>Fereastra Dakea Better Safe</v>
      </c>
      <c r="BI15" s="630"/>
      <c r="BJ15" s="631"/>
      <c r="BK15" s="67"/>
      <c r="BL15" s="67"/>
      <c r="BM15" s="279"/>
      <c r="BN15" s="321" t="s">
        <v>1038</v>
      </c>
      <c r="BO15" s="263" t="s">
        <v>1724</v>
      </c>
      <c r="BP15" s="263" t="s">
        <v>1723</v>
      </c>
      <c r="BQ15" s="322" t="s">
        <v>1773</v>
      </c>
      <c r="BR15" s="594"/>
      <c r="BS15" s="594"/>
      <c r="BT15" s="594"/>
      <c r="BU15" s="594"/>
      <c r="BV15" s="594"/>
      <c r="BW15" s="594"/>
      <c r="BX15" s="594"/>
      <c r="BY15" s="594"/>
      <c r="BZ15" s="594"/>
    </row>
    <row r="16" spans="1:78" ht="15.9" customHeight="1">
      <c r="B16" s="735" t="str">
        <f>SELNEW!A18</f>
        <v xml:space="preserve"> </v>
      </c>
      <c r="C16" s="734"/>
      <c r="D16" s="732" t="str">
        <f>SELNEW!B18</f>
        <v xml:space="preserve"> </v>
      </c>
      <c r="E16" s="733"/>
      <c r="F16" s="734"/>
      <c r="G16" s="748">
        <f>IF(Select!$C$166=2," ",G17)</f>
        <v>0</v>
      </c>
      <c r="H16" s="749"/>
      <c r="I16" s="750"/>
      <c r="J16" s="811"/>
      <c r="K16" s="812"/>
      <c r="L16" s="808" t="str">
        <f>IF(OR(Select!$B$232=11,Select!$B$232=12)," ",Info!A76)</f>
        <v>Coama rotunda mare CRMA</v>
      </c>
      <c r="M16" s="809"/>
      <c r="N16" s="809"/>
      <c r="O16" s="809"/>
      <c r="P16" s="809"/>
      <c r="Q16" s="809"/>
      <c r="R16" s="809"/>
      <c r="S16" s="810"/>
      <c r="T16" s="544"/>
      <c r="U16" s="667"/>
      <c r="V16" s="668" t="str">
        <f>SELNEW!A86</f>
        <v xml:space="preserve"> </v>
      </c>
      <c r="W16" s="669"/>
      <c r="X16" s="669"/>
      <c r="Y16" s="669"/>
      <c r="Z16" s="669"/>
      <c r="AA16" s="669"/>
      <c r="AB16" s="669"/>
      <c r="AC16" s="670"/>
      <c r="AD16" s="544"/>
      <c r="AE16" s="666"/>
      <c r="AF16" s="598" t="str">
        <f>Info!A193</f>
        <v>Membrana anticondens ACOVENT 135 gr/mp 80 mp</v>
      </c>
      <c r="AG16" s="598"/>
      <c r="AH16" s="598"/>
      <c r="AI16" s="598"/>
      <c r="AJ16" s="598"/>
      <c r="AK16" s="598"/>
      <c r="AL16" s="598"/>
      <c r="AM16" s="598"/>
      <c r="AN16" s="598"/>
      <c r="AO16" s="598"/>
      <c r="AP16" s="598"/>
      <c r="AQ16" s="598"/>
      <c r="AR16" s="598"/>
      <c r="AS16" s="650"/>
      <c r="AT16" s="650"/>
      <c r="AU16" s="627" t="str">
        <f>Info!A255</f>
        <v>Surub 4,8*70 Zn</v>
      </c>
      <c r="AV16" s="627"/>
      <c r="AW16" s="627"/>
      <c r="AX16" s="627"/>
      <c r="AY16" s="627"/>
      <c r="AZ16" s="627"/>
      <c r="BA16" s="627"/>
      <c r="BB16" s="627"/>
      <c r="BC16" s="627"/>
      <c r="BD16" s="627"/>
      <c r="BE16" s="627"/>
      <c r="BF16" s="628"/>
      <c r="BG16" s="285"/>
      <c r="BH16" s="632"/>
      <c r="BI16" s="633"/>
      <c r="BJ16" s="634"/>
      <c r="BK16" s="67"/>
      <c r="BL16" s="67"/>
      <c r="BM16" s="279"/>
      <c r="BN16" s="280" t="s">
        <v>1768</v>
      </c>
      <c r="BO16" s="281">
        <v>870</v>
      </c>
      <c r="BP16" s="281">
        <v>2000</v>
      </c>
      <c r="BQ16" s="251"/>
      <c r="BR16" s="594"/>
      <c r="BS16" s="594"/>
      <c r="BT16" s="594"/>
      <c r="BU16" s="594"/>
      <c r="BV16" s="594"/>
      <c r="BW16" s="594"/>
      <c r="BX16" s="594"/>
      <c r="BY16" s="594"/>
      <c r="BZ16" s="594"/>
    </row>
    <row r="17" spans="2:78" ht="15.9" customHeight="1">
      <c r="B17" s="735" t="str">
        <f>SELNEW!A19</f>
        <v xml:space="preserve"> </v>
      </c>
      <c r="C17" s="734"/>
      <c r="D17" s="732" t="str">
        <f>SELNEW!B19</f>
        <v xml:space="preserve"> </v>
      </c>
      <c r="E17" s="733"/>
      <c r="F17" s="734"/>
      <c r="G17" s="748">
        <f>IF(Select!$C$166=2," ",G18)</f>
        <v>0</v>
      </c>
      <c r="H17" s="749"/>
      <c r="I17" s="750"/>
      <c r="J17" s="811"/>
      <c r="K17" s="812"/>
      <c r="L17" s="808" t="str">
        <f>IF(OR(Select!$B$232=11,Select!$B$232=12)," ",Info!A77)</f>
        <v>Semicoama</v>
      </c>
      <c r="M17" s="809"/>
      <c r="N17" s="809"/>
      <c r="O17" s="809"/>
      <c r="P17" s="809"/>
      <c r="Q17" s="809"/>
      <c r="R17" s="809"/>
      <c r="S17" s="810"/>
      <c r="T17" s="544"/>
      <c r="U17" s="667"/>
      <c r="V17" s="668" t="str">
        <f>SELNEW!A87</f>
        <v xml:space="preserve"> </v>
      </c>
      <c r="W17" s="669"/>
      <c r="X17" s="669"/>
      <c r="Y17" s="669"/>
      <c r="Z17" s="669"/>
      <c r="AA17" s="669"/>
      <c r="AB17" s="669"/>
      <c r="AC17" s="670"/>
      <c r="AD17" s="544"/>
      <c r="AE17" s="666"/>
      <c r="AF17" s="598" t="str">
        <f>Info!A194</f>
        <v>Membrana anticondens DACHOVA 150 gr/mp 80 mp</v>
      </c>
      <c r="AG17" s="598"/>
      <c r="AH17" s="598"/>
      <c r="AI17" s="598"/>
      <c r="AJ17" s="598"/>
      <c r="AK17" s="598"/>
      <c r="AL17" s="598"/>
      <c r="AM17" s="598"/>
      <c r="AN17" s="598"/>
      <c r="AO17" s="598"/>
      <c r="AP17" s="598"/>
      <c r="AQ17" s="598"/>
      <c r="AR17" s="598"/>
      <c r="AS17" s="531"/>
      <c r="AT17" s="531"/>
      <c r="AU17" s="627" t="str">
        <f>Info!A256</f>
        <v>Surub 4,8*70 RAL - 100 Buc/cutie</v>
      </c>
      <c r="AV17" s="627"/>
      <c r="AW17" s="627"/>
      <c r="AX17" s="627"/>
      <c r="AY17" s="627"/>
      <c r="AZ17" s="627"/>
      <c r="BA17" s="627"/>
      <c r="BB17" s="627"/>
      <c r="BC17" s="627"/>
      <c r="BD17" s="627"/>
      <c r="BE17" s="627"/>
      <c r="BF17" s="628"/>
      <c r="BG17" s="285"/>
      <c r="BH17" s="629" t="str">
        <f>Info!A333</f>
        <v>Fereastra Dakea Better Safe PVC</v>
      </c>
      <c r="BI17" s="630"/>
      <c r="BJ17" s="631"/>
      <c r="BK17" s="67"/>
      <c r="BL17" s="67"/>
      <c r="BM17" s="279"/>
      <c r="BN17" s="280" t="s">
        <v>1769</v>
      </c>
      <c r="BO17" s="281">
        <v>870</v>
      </c>
      <c r="BP17" s="281">
        <v>2000</v>
      </c>
      <c r="BQ17" s="251"/>
      <c r="BR17" s="594"/>
      <c r="BS17" s="594"/>
      <c r="BT17" s="594"/>
      <c r="BU17" s="594"/>
      <c r="BV17" s="594"/>
      <c r="BW17" s="594"/>
      <c r="BX17" s="594"/>
      <c r="BY17" s="594"/>
      <c r="BZ17" s="594"/>
    </row>
    <row r="18" spans="2:78" ht="15.9" customHeight="1">
      <c r="B18" s="735" t="str">
        <f>SELNEW!A20</f>
        <v xml:space="preserve"> </v>
      </c>
      <c r="C18" s="734"/>
      <c r="D18" s="732" t="str">
        <f>SELNEW!B20</f>
        <v xml:space="preserve"> </v>
      </c>
      <c r="E18" s="733"/>
      <c r="F18" s="734"/>
      <c r="G18" s="748">
        <f>IF(Select!$C$166=2," ",G19)</f>
        <v>0</v>
      </c>
      <c r="H18" s="749"/>
      <c r="I18" s="750"/>
      <c r="J18" s="811"/>
      <c r="K18" s="812"/>
      <c r="L18" s="808" t="str">
        <f>IF(OR(Select!$B$232=11,Select!$B$232=12)," ",Info!A78)</f>
        <v>Capac coama</v>
      </c>
      <c r="M18" s="809"/>
      <c r="N18" s="809"/>
      <c r="O18" s="809"/>
      <c r="P18" s="809"/>
      <c r="Q18" s="809"/>
      <c r="R18" s="809"/>
      <c r="S18" s="810"/>
      <c r="T18" s="544"/>
      <c r="U18" s="667"/>
      <c r="V18" s="668" t="str">
        <f>SELNEW!A88</f>
        <v xml:space="preserve"> </v>
      </c>
      <c r="W18" s="669"/>
      <c r="X18" s="669"/>
      <c r="Y18" s="669"/>
      <c r="Z18" s="669"/>
      <c r="AA18" s="669"/>
      <c r="AB18" s="669"/>
      <c r="AC18" s="670"/>
      <c r="AD18" s="544"/>
      <c r="AE18" s="666"/>
      <c r="AF18" s="598" t="str">
        <f>Info!A195</f>
        <v>Membrana anticondens EKRAN 185 gr/mp 80mp</v>
      </c>
      <c r="AG18" s="598"/>
      <c r="AH18" s="598"/>
      <c r="AI18" s="598"/>
      <c r="AJ18" s="598"/>
      <c r="AK18" s="598"/>
      <c r="AL18" s="598"/>
      <c r="AM18" s="598"/>
      <c r="AN18" s="598"/>
      <c r="AO18" s="598"/>
      <c r="AP18" s="598"/>
      <c r="AQ18" s="598"/>
      <c r="AR18" s="598"/>
      <c r="AS18" s="531"/>
      <c r="AT18" s="531"/>
      <c r="AU18" s="627" t="str">
        <f>Info!A257</f>
        <v xml:space="preserve">Surub Click 4.2 x 32 pt fixare in astereala </v>
      </c>
      <c r="AV18" s="627"/>
      <c r="AW18" s="627"/>
      <c r="AX18" s="627"/>
      <c r="AY18" s="627"/>
      <c r="AZ18" s="627"/>
      <c r="BA18" s="627"/>
      <c r="BB18" s="627"/>
      <c r="BC18" s="627"/>
      <c r="BD18" s="627"/>
      <c r="BE18" s="627"/>
      <c r="BF18" s="628"/>
      <c r="BG18" s="285"/>
      <c r="BH18" s="632"/>
      <c r="BI18" s="633"/>
      <c r="BJ18" s="634"/>
      <c r="BK18" s="67"/>
      <c r="BL18" s="67"/>
      <c r="BM18" s="279"/>
      <c r="BN18" s="280" t="s">
        <v>1770</v>
      </c>
      <c r="BO18" s="281">
        <v>870</v>
      </c>
      <c r="BP18" s="281">
        <v>2000</v>
      </c>
      <c r="BQ18" s="251"/>
      <c r="BR18" s="594"/>
      <c r="BS18" s="594"/>
      <c r="BT18" s="594"/>
      <c r="BU18" s="594"/>
      <c r="BV18" s="594"/>
      <c r="BW18" s="594"/>
      <c r="BX18" s="594"/>
      <c r="BY18" s="594"/>
      <c r="BZ18" s="594"/>
    </row>
    <row r="19" spans="2:78" ht="15.9" customHeight="1">
      <c r="B19" s="735" t="str">
        <f>SELNEW!A21</f>
        <v xml:space="preserve"> </v>
      </c>
      <c r="C19" s="734"/>
      <c r="D19" s="732" t="str">
        <f>SELNEW!B21</f>
        <v xml:space="preserve"> </v>
      </c>
      <c r="E19" s="733"/>
      <c r="F19" s="734"/>
      <c r="G19" s="748">
        <f>IF(Select!$C$166=2," ",G20)</f>
        <v>0</v>
      </c>
      <c r="H19" s="749"/>
      <c r="I19" s="750"/>
      <c r="J19" s="811"/>
      <c r="K19" s="812"/>
      <c r="L19" s="808" t="str">
        <f>IF(OR(Select!$B$232=11,Select!$B$232=12)," ",Info!A79)</f>
        <v>Colector fronton CF</v>
      </c>
      <c r="M19" s="809"/>
      <c r="N19" s="809"/>
      <c r="O19" s="809"/>
      <c r="P19" s="809"/>
      <c r="Q19" s="809"/>
      <c r="R19" s="809"/>
      <c r="S19" s="810"/>
      <c r="T19" s="544"/>
      <c r="U19" s="667"/>
      <c r="V19" s="668" t="str">
        <f>SELNEW!A89</f>
        <v xml:space="preserve"> </v>
      </c>
      <c r="W19" s="669"/>
      <c r="X19" s="669"/>
      <c r="Y19" s="669"/>
      <c r="Z19" s="669"/>
      <c r="AA19" s="669"/>
      <c r="AB19" s="669"/>
      <c r="AC19" s="670"/>
      <c r="AD19" s="544"/>
      <c r="AE19" s="666"/>
      <c r="AF19" s="598" t="str">
        <f>Info!A196</f>
        <v>Membrana METALLIC pentru tabla faltuita 450 gr/mp 1,5 X 25-37.5mp .</v>
      </c>
      <c r="AG19" s="598"/>
      <c r="AH19" s="598"/>
      <c r="AI19" s="598"/>
      <c r="AJ19" s="598"/>
      <c r="AK19" s="598"/>
      <c r="AL19" s="598"/>
      <c r="AM19" s="598"/>
      <c r="AN19" s="598"/>
      <c r="AO19" s="598"/>
      <c r="AP19" s="598"/>
      <c r="AQ19" s="598"/>
      <c r="AR19" s="598"/>
      <c r="AS19" s="531"/>
      <c r="AT19" s="531"/>
      <c r="AU19" s="627" t="str">
        <f>Info!A258</f>
        <v>Surub 4,8*50 ZN 100buc</v>
      </c>
      <c r="AV19" s="627"/>
      <c r="AW19" s="627"/>
      <c r="AX19" s="627"/>
      <c r="AY19" s="627"/>
      <c r="AZ19" s="627"/>
      <c r="BA19" s="627"/>
      <c r="BB19" s="627"/>
      <c r="BC19" s="627"/>
      <c r="BD19" s="627"/>
      <c r="BE19" s="627"/>
      <c r="BF19" s="628"/>
      <c r="BG19" s="472"/>
      <c r="BH19" s="629" t="str">
        <f>Info!A334</f>
        <v>Fereastra Dakea Better Energy</v>
      </c>
      <c r="BI19" s="630"/>
      <c r="BJ19" s="631"/>
      <c r="BK19" s="67"/>
      <c r="BL19" s="67"/>
      <c r="BM19" s="279"/>
      <c r="BN19" s="280" t="s">
        <v>1771</v>
      </c>
      <c r="BO19" s="281">
        <v>870</v>
      </c>
      <c r="BP19" s="281">
        <v>2000</v>
      </c>
      <c r="BQ19" s="251"/>
      <c r="BR19" s="594"/>
      <c r="BS19" s="594"/>
      <c r="BT19" s="594"/>
      <c r="BU19" s="594"/>
      <c r="BV19" s="594"/>
      <c r="BW19" s="594"/>
      <c r="BX19" s="594"/>
      <c r="BY19" s="594"/>
      <c r="BZ19" s="594"/>
    </row>
    <row r="20" spans="2:78" ht="15.9" customHeight="1">
      <c r="B20" s="735" t="str">
        <f>SELNEW!A22</f>
        <v xml:space="preserve"> </v>
      </c>
      <c r="C20" s="734"/>
      <c r="D20" s="732" t="str">
        <f>SELNEW!B22</f>
        <v xml:space="preserve"> </v>
      </c>
      <c r="E20" s="733"/>
      <c r="F20" s="734"/>
      <c r="G20" s="748">
        <f>G21</f>
        <v>0</v>
      </c>
      <c r="H20" s="749"/>
      <c r="I20" s="750"/>
      <c r="J20" s="544"/>
      <c r="K20" s="667"/>
      <c r="L20" s="808" t="str">
        <f>IF(OR(Select!$B$232=11,Select!$B$232=12)," ",Info!A80)</f>
        <v>Racord calcan</v>
      </c>
      <c r="M20" s="809"/>
      <c r="N20" s="809"/>
      <c r="O20" s="809"/>
      <c r="P20" s="809"/>
      <c r="Q20" s="809"/>
      <c r="R20" s="809"/>
      <c r="S20" s="810"/>
      <c r="T20" s="544"/>
      <c r="U20" s="667"/>
      <c r="V20" s="668" t="str">
        <f>SELNEW!A90</f>
        <v xml:space="preserve"> </v>
      </c>
      <c r="W20" s="669"/>
      <c r="X20" s="669"/>
      <c r="Y20" s="669"/>
      <c r="Z20" s="669"/>
      <c r="AA20" s="669"/>
      <c r="AB20" s="669"/>
      <c r="AC20" s="670"/>
      <c r="AD20" s="544"/>
      <c r="AE20" s="666"/>
      <c r="AF20" s="598" t="str">
        <f>Info!A197</f>
        <v>Aluband 100 - 10000 mm</v>
      </c>
      <c r="AG20" s="598"/>
      <c r="AH20" s="598"/>
      <c r="AI20" s="598"/>
      <c r="AJ20" s="598"/>
      <c r="AK20" s="598"/>
      <c r="AL20" s="598"/>
      <c r="AM20" s="598"/>
      <c r="AN20" s="598"/>
      <c r="AO20" s="598"/>
      <c r="AP20" s="598"/>
      <c r="AQ20" s="598"/>
      <c r="AR20" s="598"/>
      <c r="AS20" s="531"/>
      <c r="AT20" s="531"/>
      <c r="AU20" s="627" t="str">
        <f>Info!A259</f>
        <v>Surub 4,8*50 RAL 8017 100buc</v>
      </c>
      <c r="AV20" s="627"/>
      <c r="AW20" s="627"/>
      <c r="AX20" s="627"/>
      <c r="AY20" s="627"/>
      <c r="AZ20" s="627"/>
      <c r="BA20" s="627"/>
      <c r="BB20" s="627"/>
      <c r="BC20" s="627"/>
      <c r="BD20" s="627"/>
      <c r="BE20" s="627"/>
      <c r="BF20" s="628"/>
      <c r="BG20" s="472"/>
      <c r="BH20" s="632"/>
      <c r="BI20" s="633"/>
      <c r="BJ20" s="634"/>
      <c r="BK20" s="67"/>
      <c r="BL20" s="67"/>
      <c r="BM20" s="279"/>
      <c r="BN20" s="280" t="s">
        <v>1772</v>
      </c>
      <c r="BO20" s="281">
        <v>870</v>
      </c>
      <c r="BP20" s="281">
        <v>2000</v>
      </c>
      <c r="BQ20" s="251"/>
      <c r="BR20" s="594"/>
      <c r="BS20" s="594"/>
      <c r="BT20" s="594"/>
      <c r="BU20" s="594"/>
      <c r="BV20" s="594"/>
      <c r="BW20" s="594"/>
      <c r="BX20" s="594"/>
      <c r="BY20" s="594"/>
      <c r="BZ20" s="594"/>
    </row>
    <row r="21" spans="2:78" ht="15.9" customHeight="1">
      <c r="B21" s="735" t="str">
        <f>SELNEW!A23</f>
        <v xml:space="preserve"> </v>
      </c>
      <c r="C21" s="734"/>
      <c r="D21" s="732" t="str">
        <f>SELNEW!B23</f>
        <v xml:space="preserve"> </v>
      </c>
      <c r="E21" s="733"/>
      <c r="F21" s="734"/>
      <c r="G21" s="748">
        <f t="shared" ref="G21:G29" si="0">G22</f>
        <v>0</v>
      </c>
      <c r="H21" s="749"/>
      <c r="I21" s="750"/>
      <c r="J21" s="544"/>
      <c r="K21" s="667"/>
      <c r="L21" s="808" t="str">
        <f>IF(OR(Select!$B$232=11,Select!$B$232=12)," ",Info!A81)</f>
        <v>Dolie DO</v>
      </c>
      <c r="M21" s="809"/>
      <c r="N21" s="809"/>
      <c r="O21" s="809"/>
      <c r="P21" s="809"/>
      <c r="Q21" s="809"/>
      <c r="R21" s="809"/>
      <c r="S21" s="810"/>
      <c r="T21" s="544"/>
      <c r="U21" s="667"/>
      <c r="V21" s="668" t="str">
        <f>SELNEW!A91</f>
        <v xml:space="preserve"> </v>
      </c>
      <c r="W21" s="669"/>
      <c r="X21" s="669"/>
      <c r="Y21" s="669"/>
      <c r="Z21" s="669"/>
      <c r="AA21" s="669"/>
      <c r="AB21" s="669"/>
      <c r="AC21" s="670"/>
      <c r="AD21" s="544"/>
      <c r="AE21" s="666"/>
      <c r="AF21" s="598" t="str">
        <f>Info!A198</f>
        <v>Aluband 150 - 10000 mm</v>
      </c>
      <c r="AG21" s="598"/>
      <c r="AH21" s="598"/>
      <c r="AI21" s="598"/>
      <c r="AJ21" s="598"/>
      <c r="AK21" s="598"/>
      <c r="AL21" s="598"/>
      <c r="AM21" s="598"/>
      <c r="AN21" s="598"/>
      <c r="AO21" s="598"/>
      <c r="AP21" s="598"/>
      <c r="AQ21" s="598"/>
      <c r="AR21" s="598"/>
      <c r="AS21" s="531"/>
      <c r="AT21" s="531"/>
      <c r="AU21" s="447"/>
      <c r="AV21" s="678" t="str">
        <f>Lang!A13</f>
        <v>Suruburi pentru metal W/OD14mm</v>
      </c>
      <c r="AW21" s="678"/>
      <c r="AX21" s="678"/>
      <c r="AY21" s="678"/>
      <c r="AZ21" s="678"/>
      <c r="BA21" s="678"/>
      <c r="BB21" s="678"/>
      <c r="BC21" s="678"/>
      <c r="BD21" s="678"/>
      <c r="BE21" s="678"/>
      <c r="BF21" s="678"/>
      <c r="BG21" s="679"/>
      <c r="BH21" s="629" t="str">
        <f>Info!A335</f>
        <v>Fereastra Dakea Better Energy PVC</v>
      </c>
      <c r="BI21" s="630"/>
      <c r="BJ21" s="631"/>
      <c r="BK21" s="67"/>
      <c r="BL21" s="67"/>
      <c r="BM21" s="279"/>
      <c r="BN21" s="695" t="s">
        <v>268</v>
      </c>
      <c r="BO21" s="696"/>
      <c r="BP21" s="696"/>
      <c r="BQ21" s="697"/>
      <c r="BR21" s="594"/>
      <c r="BS21" s="594"/>
      <c r="BT21" s="594"/>
      <c r="BU21" s="594"/>
      <c r="BV21" s="594"/>
      <c r="BW21" s="594"/>
      <c r="BX21" s="594"/>
      <c r="BY21" s="594"/>
      <c r="BZ21" s="594"/>
    </row>
    <row r="22" spans="2:78" ht="15.9" customHeight="1">
      <c r="B22" s="735" t="str">
        <f>SELNEW!A24</f>
        <v xml:space="preserve"> </v>
      </c>
      <c r="C22" s="734"/>
      <c r="D22" s="732" t="str">
        <f>SELNEW!B24</f>
        <v xml:space="preserve"> </v>
      </c>
      <c r="E22" s="733"/>
      <c r="F22" s="734"/>
      <c r="G22" s="748">
        <f t="shared" si="0"/>
        <v>0</v>
      </c>
      <c r="H22" s="749"/>
      <c r="I22" s="750"/>
      <c r="J22" s="544"/>
      <c r="K22" s="667"/>
      <c r="L22" s="808" t="str">
        <f>IF(OR(Select!$B$232=11,Select!$B$232=12)," ",Info!A82)</f>
        <v>Opritor zapada</v>
      </c>
      <c r="M22" s="809"/>
      <c r="N22" s="809"/>
      <c r="O22" s="809"/>
      <c r="P22" s="809"/>
      <c r="Q22" s="809"/>
      <c r="R22" s="809"/>
      <c r="S22" s="810"/>
      <c r="T22" s="544"/>
      <c r="U22" s="667"/>
      <c r="V22" s="668" t="str">
        <f>SELNEW!A92</f>
        <v xml:space="preserve"> </v>
      </c>
      <c r="W22" s="669"/>
      <c r="X22" s="669"/>
      <c r="Y22" s="669"/>
      <c r="Z22" s="669"/>
      <c r="AA22" s="669"/>
      <c r="AB22" s="669"/>
      <c r="AC22" s="670"/>
      <c r="AD22" s="544"/>
      <c r="AE22" s="666"/>
      <c r="AF22" s="598" t="str">
        <f>Info!A199</f>
        <v>Aluband 300 - 10000 mm</v>
      </c>
      <c r="AG22" s="598"/>
      <c r="AH22" s="598"/>
      <c r="AI22" s="598"/>
      <c r="AJ22" s="598"/>
      <c r="AK22" s="598"/>
      <c r="AL22" s="598"/>
      <c r="AM22" s="598"/>
      <c r="AN22" s="598"/>
      <c r="AO22" s="598"/>
      <c r="AP22" s="598"/>
      <c r="AQ22" s="598"/>
      <c r="AR22" s="598"/>
      <c r="AS22" s="531"/>
      <c r="AT22" s="531"/>
      <c r="AU22" s="627" t="str">
        <f>Info!A260</f>
        <v>Surub 4.8*19 CF 3mm Zn</v>
      </c>
      <c r="AV22" s="627"/>
      <c r="AW22" s="627"/>
      <c r="AX22" s="627"/>
      <c r="AY22" s="627"/>
      <c r="AZ22" s="627"/>
      <c r="BA22" s="627"/>
      <c r="BB22" s="627"/>
      <c r="BC22" s="627"/>
      <c r="BD22" s="627"/>
      <c r="BE22" s="627"/>
      <c r="BF22" s="628"/>
      <c r="BG22" s="285"/>
      <c r="BH22" s="632"/>
      <c r="BI22" s="633"/>
      <c r="BJ22" s="634"/>
      <c r="BK22" s="67"/>
      <c r="BL22" s="67"/>
      <c r="BM22" s="279"/>
      <c r="BN22" s="321" t="s">
        <v>1038</v>
      </c>
      <c r="BO22" s="263" t="s">
        <v>1724</v>
      </c>
      <c r="BP22" s="263" t="s">
        <v>1723</v>
      </c>
      <c r="BQ22" s="322" t="s">
        <v>1773</v>
      </c>
      <c r="BR22" s="594"/>
      <c r="BS22" s="594"/>
      <c r="BT22" s="594"/>
      <c r="BU22" s="594"/>
      <c r="BV22" s="594"/>
      <c r="BW22" s="594"/>
      <c r="BX22" s="594"/>
      <c r="BY22" s="594"/>
      <c r="BZ22" s="594"/>
    </row>
    <row r="23" spans="2:78" ht="15" customHeight="1">
      <c r="B23" s="735" t="str">
        <f>SELNEW!A25</f>
        <v xml:space="preserve"> </v>
      </c>
      <c r="C23" s="734"/>
      <c r="D23" s="732" t="str">
        <f>SELNEW!B25</f>
        <v xml:space="preserve"> </v>
      </c>
      <c r="E23" s="733"/>
      <c r="F23" s="734"/>
      <c r="G23" s="748">
        <f t="shared" si="0"/>
        <v>0</v>
      </c>
      <c r="H23" s="749"/>
      <c r="I23" s="750"/>
      <c r="J23" s="544"/>
      <c r="K23" s="667"/>
      <c r="L23" s="808" t="str">
        <f>IF(OR(Select!$B$232=11,Select!$B$232=12)," ",Info!A83)</f>
        <v>Pazie tip 1 PAZ 1</v>
      </c>
      <c r="M23" s="809"/>
      <c r="N23" s="809"/>
      <c r="O23" s="809"/>
      <c r="P23" s="809"/>
      <c r="Q23" s="809"/>
      <c r="R23" s="809"/>
      <c r="S23" s="810"/>
      <c r="T23" s="544"/>
      <c r="U23" s="667"/>
      <c r="V23" s="668" t="str">
        <f>SELNEW!A93</f>
        <v xml:space="preserve"> </v>
      </c>
      <c r="W23" s="669"/>
      <c r="X23" s="669"/>
      <c r="Y23" s="669"/>
      <c r="Z23" s="669"/>
      <c r="AA23" s="669"/>
      <c r="AB23" s="669"/>
      <c r="AC23" s="670"/>
      <c r="AD23" s="544"/>
      <c r="AE23" s="666"/>
      <c r="AF23" s="598" t="str">
        <f>Info!A200</f>
        <v>Rola autoadeziva de protectie sub coame IZOVENT - 0,31 x 5m</v>
      </c>
      <c r="AG23" s="598"/>
      <c r="AH23" s="598"/>
      <c r="AI23" s="598"/>
      <c r="AJ23" s="598"/>
      <c r="AK23" s="598"/>
      <c r="AL23" s="598"/>
      <c r="AM23" s="598"/>
      <c r="AN23" s="598"/>
      <c r="AO23" s="598"/>
      <c r="AP23" s="598"/>
      <c r="AQ23" s="598"/>
      <c r="AR23" s="598"/>
      <c r="AS23" s="531"/>
      <c r="AT23" s="531"/>
      <c r="AU23" s="627" t="str">
        <f>Info!A261</f>
        <v>Surub 4.8*19 CF3 RAL</v>
      </c>
      <c r="AV23" s="627"/>
      <c r="AW23" s="627"/>
      <c r="AX23" s="627"/>
      <c r="AY23" s="627"/>
      <c r="AZ23" s="627"/>
      <c r="BA23" s="627"/>
      <c r="BB23" s="627"/>
      <c r="BC23" s="627"/>
      <c r="BD23" s="627"/>
      <c r="BE23" s="627"/>
      <c r="BF23" s="628"/>
      <c r="BG23" s="285"/>
      <c r="BH23" s="629"/>
      <c r="BI23" s="630"/>
      <c r="BJ23" s="631"/>
      <c r="BK23" s="67"/>
      <c r="BL23" s="67"/>
      <c r="BM23" s="279"/>
      <c r="BN23" s="280" t="s">
        <v>1768</v>
      </c>
      <c r="BO23" s="281">
        <v>910</v>
      </c>
      <c r="BP23" s="281">
        <v>2000</v>
      </c>
      <c r="BQ23" s="251"/>
      <c r="BR23" s="594"/>
      <c r="BS23" s="594"/>
      <c r="BT23" s="594"/>
      <c r="BU23" s="594"/>
      <c r="BV23" s="594"/>
      <c r="BW23" s="594"/>
      <c r="BX23" s="594"/>
      <c r="BY23" s="594"/>
      <c r="BZ23" s="594"/>
    </row>
    <row r="24" spans="2:78" ht="15" customHeight="1" thickBot="1">
      <c r="B24" s="735" t="str">
        <f>SELNEW!A26</f>
        <v xml:space="preserve"> </v>
      </c>
      <c r="C24" s="734"/>
      <c r="D24" s="732" t="str">
        <f>SELNEW!B26</f>
        <v xml:space="preserve"> </v>
      </c>
      <c r="E24" s="733"/>
      <c r="F24" s="734"/>
      <c r="G24" s="748">
        <f t="shared" si="0"/>
        <v>0</v>
      </c>
      <c r="H24" s="749"/>
      <c r="I24" s="750"/>
      <c r="J24" s="544"/>
      <c r="K24" s="667"/>
      <c r="L24" s="808" t="str">
        <f>IF(OR(Select!$B$232=11,Select!$B$232=12)," ",Info!A84)</f>
        <v>Pazie streasina PAZS</v>
      </c>
      <c r="M24" s="809"/>
      <c r="N24" s="809"/>
      <c r="O24" s="809"/>
      <c r="P24" s="809"/>
      <c r="Q24" s="809"/>
      <c r="R24" s="809"/>
      <c r="S24" s="810"/>
      <c r="T24" s="544"/>
      <c r="U24" s="667"/>
      <c r="V24" s="668" t="str">
        <f>SELNEW!A94</f>
        <v xml:space="preserve"> </v>
      </c>
      <c r="W24" s="669"/>
      <c r="X24" s="669"/>
      <c r="Y24" s="669"/>
      <c r="Z24" s="669"/>
      <c r="AA24" s="669"/>
      <c r="AB24" s="669"/>
      <c r="AC24" s="670"/>
      <c r="AD24" s="544"/>
      <c r="AE24" s="666"/>
      <c r="AF24" s="598" t="str">
        <f>Info!A201</f>
        <v>Rola autoadeziva de protectie sub coame IZOVENT - 0,24 x 5m</v>
      </c>
      <c r="AG24" s="598"/>
      <c r="AH24" s="598"/>
      <c r="AI24" s="598"/>
      <c r="AJ24" s="598"/>
      <c r="AK24" s="598"/>
      <c r="AL24" s="598"/>
      <c r="AM24" s="598"/>
      <c r="AN24" s="598"/>
      <c r="AO24" s="598"/>
      <c r="AP24" s="598"/>
      <c r="AQ24" s="598"/>
      <c r="AR24" s="598"/>
      <c r="AS24" s="531"/>
      <c r="AT24" s="531"/>
      <c r="AU24" s="743" t="str">
        <f>Info!A262</f>
        <v>Cheie tubulara 8mm</v>
      </c>
      <c r="AV24" s="743"/>
      <c r="AW24" s="743"/>
      <c r="AX24" s="743"/>
      <c r="AY24" s="743"/>
      <c r="AZ24" s="743"/>
      <c r="BA24" s="743"/>
      <c r="BB24" s="743"/>
      <c r="BC24" s="743"/>
      <c r="BD24" s="743"/>
      <c r="BE24" s="743"/>
      <c r="BF24" s="744"/>
      <c r="BG24" s="285"/>
      <c r="BH24" s="632"/>
      <c r="BI24" s="633"/>
      <c r="BJ24" s="634"/>
      <c r="BK24" s="67"/>
      <c r="BL24" s="67"/>
      <c r="BM24" s="279"/>
      <c r="BN24" s="280" t="s">
        <v>1769</v>
      </c>
      <c r="BO24" s="281">
        <v>910</v>
      </c>
      <c r="BP24" s="281">
        <v>2000</v>
      </c>
      <c r="BQ24" s="251"/>
      <c r="BR24" s="594"/>
      <c r="BS24" s="594"/>
      <c r="BT24" s="594"/>
      <c r="BU24" s="594"/>
      <c r="BV24" s="594"/>
      <c r="BW24" s="594"/>
      <c r="BX24" s="594"/>
      <c r="BY24" s="594"/>
      <c r="BZ24" s="594"/>
    </row>
    <row r="25" spans="2:78" ht="15" customHeight="1" thickBot="1">
      <c r="B25" s="735" t="str">
        <f>SELNEW!A27</f>
        <v xml:space="preserve"> </v>
      </c>
      <c r="C25" s="734"/>
      <c r="D25" s="732" t="str">
        <f>SELNEW!B27</f>
        <v xml:space="preserve"> </v>
      </c>
      <c r="E25" s="733"/>
      <c r="F25" s="734"/>
      <c r="G25" s="748">
        <f t="shared" si="0"/>
        <v>0</v>
      </c>
      <c r="H25" s="749"/>
      <c r="I25" s="750"/>
      <c r="J25" s="544"/>
      <c r="K25" s="667"/>
      <c r="L25" s="808" t="str">
        <f>IF(OR(Select!$B$232=11,Select!$B$232=12)," ",Info!A85)</f>
        <v>Parazapada Ranforsata PRZS</v>
      </c>
      <c r="M25" s="809"/>
      <c r="N25" s="809"/>
      <c r="O25" s="809"/>
      <c r="P25" s="809"/>
      <c r="Q25" s="809"/>
      <c r="R25" s="809"/>
      <c r="S25" s="810"/>
      <c r="T25" s="544"/>
      <c r="U25" s="667"/>
      <c r="V25" s="668" t="str">
        <f>SELNEW!A95</f>
        <v xml:space="preserve"> </v>
      </c>
      <c r="W25" s="669"/>
      <c r="X25" s="669"/>
      <c r="Y25" s="669"/>
      <c r="Z25" s="669"/>
      <c r="AA25" s="669"/>
      <c r="AB25" s="669"/>
      <c r="AC25" s="670"/>
      <c r="AD25" s="544"/>
      <c r="AE25" s="666"/>
      <c r="AF25" s="598" t="str">
        <f>Info!A202</f>
        <v>Rola adeziva IZOBUTYL (pentru   CLICK )- 15mm x 60m</v>
      </c>
      <c r="AG25" s="598"/>
      <c r="AH25" s="598"/>
      <c r="AI25" s="598"/>
      <c r="AJ25" s="598"/>
      <c r="AK25" s="598"/>
      <c r="AL25" s="598"/>
      <c r="AM25" s="598"/>
      <c r="AN25" s="598"/>
      <c r="AO25" s="598"/>
      <c r="AP25" s="598"/>
      <c r="AQ25" s="598"/>
      <c r="AR25" s="598"/>
      <c r="AS25" s="531"/>
      <c r="AT25" s="531"/>
      <c r="AU25" s="653" t="str">
        <f>Lang!A166</f>
        <v>materiale diverse</v>
      </c>
      <c r="AV25" s="653"/>
      <c r="AW25" s="653"/>
      <c r="AX25" s="653"/>
      <c r="AY25" s="653"/>
      <c r="AZ25" s="653"/>
      <c r="BA25" s="653"/>
      <c r="BB25" s="653"/>
      <c r="BC25" s="653"/>
      <c r="BD25" s="653"/>
      <c r="BE25" s="653"/>
      <c r="BF25" s="653"/>
      <c r="BG25" s="654"/>
      <c r="BH25" s="629" t="str">
        <f>Info!A337</f>
        <v>Fereastra Dakea Ultima Energy</v>
      </c>
      <c r="BI25" s="630"/>
      <c r="BJ25" s="631"/>
      <c r="BK25" s="67"/>
      <c r="BL25" s="67"/>
      <c r="BM25" s="279"/>
      <c r="BN25" s="280" t="s">
        <v>1770</v>
      </c>
      <c r="BO25" s="281">
        <v>910</v>
      </c>
      <c r="BP25" s="281">
        <v>2000</v>
      </c>
      <c r="BQ25" s="251"/>
      <c r="BR25" s="594"/>
      <c r="BS25" s="594"/>
      <c r="BT25" s="594"/>
      <c r="BU25" s="594"/>
      <c r="BV25" s="594"/>
      <c r="BW25" s="594"/>
      <c r="BX25" s="594"/>
      <c r="BY25" s="594"/>
      <c r="BZ25" s="594"/>
    </row>
    <row r="26" spans="2:78" ht="15" customHeight="1">
      <c r="B26" s="735" t="str">
        <f>SELNEW!A28</f>
        <v xml:space="preserve"> </v>
      </c>
      <c r="C26" s="734"/>
      <c r="D26" s="732" t="str">
        <f>SELNEW!B28</f>
        <v xml:space="preserve"> </v>
      </c>
      <c r="E26" s="733"/>
      <c r="F26" s="734"/>
      <c r="G26" s="748">
        <f t="shared" si="0"/>
        <v>0</v>
      </c>
      <c r="H26" s="749"/>
      <c r="I26" s="750"/>
      <c r="J26" s="544"/>
      <c r="K26" s="667"/>
      <c r="L26" s="808" t="str">
        <f>IF(OR(Select!$B$232=11,Select!$B$232=12)," ",Info!A86)</f>
        <v>Rupere panta interior</v>
      </c>
      <c r="M26" s="809"/>
      <c r="N26" s="809"/>
      <c r="O26" s="809"/>
      <c r="P26" s="809"/>
      <c r="Q26" s="809"/>
      <c r="R26" s="809"/>
      <c r="S26" s="810"/>
      <c r="T26" s="544"/>
      <c r="U26" s="667"/>
      <c r="V26" s="668" t="str">
        <f>SELNEW!A96</f>
        <v xml:space="preserve"> </v>
      </c>
      <c r="W26" s="669"/>
      <c r="X26" s="669"/>
      <c r="Y26" s="669"/>
      <c r="Z26" s="669"/>
      <c r="AA26" s="669"/>
      <c r="AB26" s="669"/>
      <c r="AC26" s="670"/>
      <c r="AD26" s="761"/>
      <c r="AE26" s="762"/>
      <c r="AF26" s="598" t="str">
        <f>Info!A203</f>
        <v>BANDA EXPANDABILA IZOLANT 30X8/4.3 m</v>
      </c>
      <c r="AG26" s="598"/>
      <c r="AH26" s="598"/>
      <c r="AI26" s="598"/>
      <c r="AJ26" s="598"/>
      <c r="AK26" s="598"/>
      <c r="AL26" s="598"/>
      <c r="AM26" s="598"/>
      <c r="AN26" s="598"/>
      <c r="AO26" s="598"/>
      <c r="AP26" s="598"/>
      <c r="AQ26" s="598"/>
      <c r="AR26" s="598"/>
      <c r="AS26" s="531"/>
      <c r="AT26" s="531"/>
      <c r="AU26" s="419"/>
      <c r="AV26" s="655" t="str">
        <f>Lang!A167</f>
        <v>Denumire</v>
      </c>
      <c r="AW26" s="655"/>
      <c r="AX26" s="655"/>
      <c r="AY26" s="655"/>
      <c r="AZ26" s="655"/>
      <c r="BA26" s="655"/>
      <c r="BB26" s="655"/>
      <c r="BC26" s="655"/>
      <c r="BD26" s="655"/>
      <c r="BE26" s="655"/>
      <c r="BF26" s="655" t="str">
        <f>I14</f>
        <v>euro</v>
      </c>
      <c r="BG26" s="874" t="str">
        <f>T35</f>
        <v>BUC</v>
      </c>
      <c r="BH26" s="632"/>
      <c r="BI26" s="633"/>
      <c r="BJ26" s="634"/>
      <c r="BK26" s="67"/>
      <c r="BL26" s="67"/>
      <c r="BM26" s="279"/>
      <c r="BN26" s="280" t="s">
        <v>1771</v>
      </c>
      <c r="BO26" s="281">
        <v>910</v>
      </c>
      <c r="BP26" s="281">
        <v>2000</v>
      </c>
      <c r="BQ26" s="251"/>
      <c r="BR26" s="594"/>
      <c r="BS26" s="594"/>
      <c r="BT26" s="594"/>
      <c r="BU26" s="594"/>
      <c r="BV26" s="594"/>
      <c r="BW26" s="594"/>
      <c r="BX26" s="594"/>
      <c r="BY26" s="594"/>
      <c r="BZ26" s="594"/>
    </row>
    <row r="27" spans="2:78" ht="15" customHeight="1" thickBot="1">
      <c r="B27" s="735" t="str">
        <f>SELNEW!A29</f>
        <v xml:space="preserve"> </v>
      </c>
      <c r="C27" s="734"/>
      <c r="D27" s="732" t="str">
        <f>SELNEW!B29</f>
        <v xml:space="preserve"> </v>
      </c>
      <c r="E27" s="733"/>
      <c r="F27" s="734"/>
      <c r="G27" s="748">
        <f t="shared" si="0"/>
        <v>0</v>
      </c>
      <c r="H27" s="749"/>
      <c r="I27" s="750"/>
      <c r="J27" s="544"/>
      <c r="K27" s="667"/>
      <c r="L27" s="833" t="str">
        <f>IF(OR(Select!$B$232=11,Select!$B$232=12)," ",Info!A87)</f>
        <v>Sort rupere perete vertical SRV</v>
      </c>
      <c r="M27" s="834"/>
      <c r="N27" s="834"/>
      <c r="O27" s="834"/>
      <c r="P27" s="834"/>
      <c r="Q27" s="834"/>
      <c r="R27" s="834"/>
      <c r="S27" s="835"/>
      <c r="T27" s="544"/>
      <c r="U27" s="667"/>
      <c r="V27" s="668" t="str">
        <f>SELNEW!A97</f>
        <v xml:space="preserve"> </v>
      </c>
      <c r="W27" s="669"/>
      <c r="X27" s="669"/>
      <c r="Y27" s="669"/>
      <c r="Z27" s="669"/>
      <c r="AA27" s="669"/>
      <c r="AB27" s="669"/>
      <c r="AC27" s="670"/>
      <c r="AD27" s="761"/>
      <c r="AE27" s="762"/>
      <c r="AF27" s="598" t="str">
        <f>Info!A204</f>
        <v>Banda etansare Wtb Imperator ( coama ), lungime 1100 mm</v>
      </c>
      <c r="AG27" s="598"/>
      <c r="AH27" s="598"/>
      <c r="AI27" s="598"/>
      <c r="AJ27" s="598"/>
      <c r="AK27" s="598"/>
      <c r="AL27" s="598"/>
      <c r="AM27" s="598"/>
      <c r="AN27" s="598"/>
      <c r="AO27" s="598"/>
      <c r="AP27" s="598"/>
      <c r="AQ27" s="598"/>
      <c r="AR27" s="598"/>
      <c r="AS27" s="531"/>
      <c r="AT27" s="531"/>
      <c r="AU27" s="420"/>
      <c r="AV27" s="656"/>
      <c r="AW27" s="656"/>
      <c r="AX27" s="656"/>
      <c r="AY27" s="656"/>
      <c r="AZ27" s="656"/>
      <c r="BA27" s="656"/>
      <c r="BB27" s="656"/>
      <c r="BC27" s="656"/>
      <c r="BD27" s="656"/>
      <c r="BE27" s="656"/>
      <c r="BF27" s="656"/>
      <c r="BG27" s="875"/>
      <c r="BH27" s="629" t="str">
        <f>Info!A338</f>
        <v>Fereastra Dakea Ultima Energy PVC</v>
      </c>
      <c r="BI27" s="630"/>
      <c r="BJ27" s="631"/>
      <c r="BK27" s="67"/>
      <c r="BL27" s="67"/>
      <c r="BM27" s="279"/>
      <c r="BN27" s="280" t="s">
        <v>1772</v>
      </c>
      <c r="BO27" s="281">
        <v>910</v>
      </c>
      <c r="BP27" s="281">
        <v>2000</v>
      </c>
      <c r="BQ27" s="251"/>
      <c r="BR27" s="594"/>
      <c r="BS27" s="594"/>
      <c r="BT27" s="594"/>
      <c r="BU27" s="594"/>
      <c r="BV27" s="594"/>
      <c r="BW27" s="594"/>
      <c r="BX27" s="594"/>
      <c r="BY27" s="594"/>
      <c r="BZ27" s="594"/>
    </row>
    <row r="28" spans="2:78" ht="15" customHeight="1">
      <c r="B28" s="735" t="str">
        <f>SELNEW!A30</f>
        <v xml:space="preserve"> </v>
      </c>
      <c r="C28" s="734"/>
      <c r="D28" s="732" t="str">
        <f>SELNEW!B30</f>
        <v xml:space="preserve"> </v>
      </c>
      <c r="E28" s="733"/>
      <c r="F28" s="734"/>
      <c r="G28" s="748">
        <f t="shared" si="0"/>
        <v>0</v>
      </c>
      <c r="H28" s="749"/>
      <c r="I28" s="750"/>
      <c r="J28" s="544"/>
      <c r="K28" s="667"/>
      <c r="L28" s="808" t="str">
        <f>IF(OR(Select!$B$232=11,Select!$B$232=12)," ",Info!A88)</f>
        <v>Sort streasina SO</v>
      </c>
      <c r="M28" s="809"/>
      <c r="N28" s="809"/>
      <c r="O28" s="809"/>
      <c r="P28" s="809"/>
      <c r="Q28" s="809"/>
      <c r="R28" s="809"/>
      <c r="S28" s="810"/>
      <c r="T28" s="544"/>
      <c r="U28" s="667"/>
      <c r="V28" s="668" t="str">
        <f>SELNEW!A98</f>
        <v xml:space="preserve"> </v>
      </c>
      <c r="W28" s="669"/>
      <c r="X28" s="669"/>
      <c r="Y28" s="669"/>
      <c r="Z28" s="669"/>
      <c r="AA28" s="669"/>
      <c r="AB28" s="669"/>
      <c r="AC28" s="670"/>
      <c r="AD28" s="761"/>
      <c r="AE28" s="762"/>
      <c r="AF28" s="598" t="str">
        <f>Info!A205</f>
        <v>Banda universala autoadeziva (dolie), lungime 1000 mm</v>
      </c>
      <c r="AG28" s="598"/>
      <c r="AH28" s="598"/>
      <c r="AI28" s="598"/>
      <c r="AJ28" s="598"/>
      <c r="AK28" s="598"/>
      <c r="AL28" s="598"/>
      <c r="AM28" s="598"/>
      <c r="AN28" s="598"/>
      <c r="AO28" s="598"/>
      <c r="AP28" s="598"/>
      <c r="AQ28" s="598"/>
      <c r="AR28" s="598"/>
      <c r="AS28" s="531"/>
      <c r="AT28" s="531"/>
      <c r="AV28" s="675"/>
      <c r="AW28" s="676"/>
      <c r="AX28" s="676"/>
      <c r="AY28" s="676"/>
      <c r="AZ28" s="676"/>
      <c r="BA28" s="676"/>
      <c r="BB28" s="676"/>
      <c r="BC28" s="676"/>
      <c r="BD28" s="676"/>
      <c r="BE28" s="677"/>
      <c r="BF28" s="54"/>
      <c r="BG28" s="285"/>
      <c r="BH28" s="632"/>
      <c r="BI28" s="633"/>
      <c r="BJ28" s="634"/>
      <c r="BK28" s="67"/>
      <c r="BL28" s="67"/>
      <c r="BM28" s="287"/>
      <c r="BN28" s="701" t="str">
        <f>Lang!A414</f>
        <v>PANOU GARD METALIC</v>
      </c>
      <c r="BO28" s="702"/>
      <c r="BP28" s="702"/>
      <c r="BQ28" s="703"/>
      <c r="BR28" s="594"/>
      <c r="BS28" s="594"/>
      <c r="BT28" s="594"/>
      <c r="BU28" s="594"/>
      <c r="BV28" s="594"/>
      <c r="BW28" s="594"/>
      <c r="BX28" s="594"/>
      <c r="BY28" s="594"/>
      <c r="BZ28" s="594"/>
    </row>
    <row r="29" spans="2:78" ht="15" customHeight="1">
      <c r="B29" s="735" t="str">
        <f>SELNEW!A31</f>
        <v xml:space="preserve"> </v>
      </c>
      <c r="C29" s="734"/>
      <c r="D29" s="732" t="str">
        <f>SELNEW!B31</f>
        <v xml:space="preserve"> </v>
      </c>
      <c r="E29" s="733"/>
      <c r="F29" s="734"/>
      <c r="G29" s="748">
        <f t="shared" si="0"/>
        <v>0</v>
      </c>
      <c r="H29" s="749"/>
      <c r="I29" s="750"/>
      <c r="J29" s="544"/>
      <c r="K29" s="667"/>
      <c r="L29" s="808" t="str">
        <f>IF(OR(Select!$B$232=11,Select!$B$232=12)," ",Info!A89)</f>
        <v>Set Cos Fum</v>
      </c>
      <c r="M29" s="809"/>
      <c r="N29" s="809"/>
      <c r="O29" s="809"/>
      <c r="P29" s="809"/>
      <c r="Q29" s="809"/>
      <c r="R29" s="809"/>
      <c r="S29" s="810"/>
      <c r="T29" s="544"/>
      <c r="U29" s="667"/>
      <c r="V29" s="668" t="str">
        <f>SELNEW!A99</f>
        <v xml:space="preserve"> </v>
      </c>
      <c r="W29" s="669"/>
      <c r="X29" s="669"/>
      <c r="Y29" s="669"/>
      <c r="Z29" s="669"/>
      <c r="AA29" s="669"/>
      <c r="AB29" s="669"/>
      <c r="AC29" s="670"/>
      <c r="AD29" s="761"/>
      <c r="AE29" s="762"/>
      <c r="AF29" s="598" t="str">
        <f>Info!A206</f>
        <v>Banda etansare Wtb Clasic ETM (coama),  lungime 1100 mm</v>
      </c>
      <c r="AG29" s="598"/>
      <c r="AH29" s="598"/>
      <c r="AI29" s="598"/>
      <c r="AJ29" s="598"/>
      <c r="AK29" s="598"/>
      <c r="AL29" s="598"/>
      <c r="AM29" s="598"/>
      <c r="AN29" s="598"/>
      <c r="AO29" s="598"/>
      <c r="AP29" s="598"/>
      <c r="AQ29" s="598"/>
      <c r="AR29" s="598"/>
      <c r="AS29" s="531"/>
      <c r="AT29" s="531"/>
      <c r="AV29" s="675"/>
      <c r="AW29" s="676"/>
      <c r="AX29" s="676"/>
      <c r="AY29" s="676"/>
      <c r="AZ29" s="676"/>
      <c r="BA29" s="676"/>
      <c r="BB29" s="676"/>
      <c r="BC29" s="676"/>
      <c r="BD29" s="676"/>
      <c r="BE29" s="677"/>
      <c r="BF29" s="54"/>
      <c r="BG29" s="285"/>
      <c r="BH29" s="660" t="str">
        <f>Info!A339</f>
        <v>Rama Dakea KUF</v>
      </c>
      <c r="BI29" s="661"/>
      <c r="BJ29" s="662"/>
      <c r="BK29" s="67"/>
      <c r="BL29" s="67"/>
      <c r="BM29" s="287"/>
      <c r="BN29" s="704"/>
      <c r="BO29" s="705"/>
      <c r="BP29" s="705"/>
      <c r="BQ29" s="706"/>
      <c r="BR29" s="594"/>
      <c r="BS29" s="594"/>
      <c r="BT29" s="594"/>
      <c r="BU29" s="594"/>
      <c r="BV29" s="594"/>
      <c r="BW29" s="594"/>
      <c r="BX29" s="594"/>
      <c r="BY29" s="594"/>
      <c r="BZ29" s="594"/>
    </row>
    <row r="30" spans="2:78" ht="15" customHeight="1">
      <c r="B30" s="735" t="str">
        <f>SELNEW!A32</f>
        <v xml:space="preserve"> </v>
      </c>
      <c r="C30" s="734"/>
      <c r="D30" s="732" t="str">
        <f>SELNEW!B32</f>
        <v xml:space="preserve"> </v>
      </c>
      <c r="E30" s="733"/>
      <c r="F30" s="734"/>
      <c r="G30" s="748">
        <f>SELNEW!D2</f>
        <v>0</v>
      </c>
      <c r="H30" s="749"/>
      <c r="I30" s="750"/>
      <c r="J30" s="544"/>
      <c r="K30" s="667"/>
      <c r="L30" s="808"/>
      <c r="M30" s="809"/>
      <c r="N30" s="809"/>
      <c r="O30" s="809"/>
      <c r="P30" s="809"/>
      <c r="Q30" s="809"/>
      <c r="R30" s="809"/>
      <c r="S30" s="810"/>
      <c r="T30" s="544"/>
      <c r="U30" s="667"/>
      <c r="V30" s="668" t="str">
        <f>SELNEW!A100</f>
        <v xml:space="preserve"> </v>
      </c>
      <c r="W30" s="669"/>
      <c r="X30" s="669"/>
      <c r="Y30" s="669"/>
      <c r="Z30" s="669"/>
      <c r="AA30" s="669"/>
      <c r="AB30" s="669"/>
      <c r="AC30" s="670"/>
      <c r="AD30" s="761"/>
      <c r="AE30" s="762"/>
      <c r="AF30" s="598" t="str">
        <f>Info!A207</f>
        <v>Banda etansare Wtb Gladiator /Plus ETM (coama),  lungime 1100 mm</v>
      </c>
      <c r="AG30" s="598"/>
      <c r="AH30" s="598"/>
      <c r="AI30" s="598"/>
      <c r="AJ30" s="598"/>
      <c r="AK30" s="598"/>
      <c r="AL30" s="598"/>
      <c r="AM30" s="598"/>
      <c r="AN30" s="598"/>
      <c r="AO30" s="598"/>
      <c r="AP30" s="598"/>
      <c r="AQ30" s="598"/>
      <c r="AR30" s="598"/>
      <c r="AS30" s="531"/>
      <c r="AT30" s="531"/>
      <c r="AV30" s="675"/>
      <c r="AW30" s="676"/>
      <c r="AX30" s="676"/>
      <c r="AY30" s="676"/>
      <c r="AZ30" s="676"/>
      <c r="BA30" s="676"/>
      <c r="BB30" s="676"/>
      <c r="BC30" s="676"/>
      <c r="BD30" s="676"/>
      <c r="BE30" s="677"/>
      <c r="BF30" s="54"/>
      <c r="BG30" s="285"/>
      <c r="BH30" s="663"/>
      <c r="BI30" s="664"/>
      <c r="BJ30" s="665"/>
      <c r="BK30" s="67"/>
      <c r="BL30" s="67"/>
      <c r="BM30" s="287"/>
      <c r="BN30" s="707" t="s">
        <v>135</v>
      </c>
      <c r="BO30" s="708"/>
      <c r="BP30" s="708"/>
      <c r="BQ30" s="709"/>
      <c r="BR30" s="594"/>
      <c r="BS30" s="594"/>
      <c r="BT30" s="594"/>
      <c r="BU30" s="594"/>
      <c r="BV30" s="594"/>
      <c r="BW30" s="594"/>
      <c r="BX30" s="594"/>
      <c r="BY30" s="594"/>
      <c r="BZ30" s="594"/>
    </row>
    <row r="31" spans="2:78" ht="17.100000000000001" customHeight="1" thickBot="1">
      <c r="B31" s="735" t="str">
        <f>Lang!A28</f>
        <v>Atipica</v>
      </c>
      <c r="C31" s="734"/>
      <c r="D31" s="541"/>
      <c r="E31" s="542"/>
      <c r="F31" s="543"/>
      <c r="G31" s="732">
        <f>G30</f>
        <v>0</v>
      </c>
      <c r="H31" s="733"/>
      <c r="I31" s="734"/>
      <c r="J31" s="544"/>
      <c r="K31" s="667"/>
      <c r="L31" s="808"/>
      <c r="M31" s="809"/>
      <c r="N31" s="809"/>
      <c r="O31" s="809"/>
      <c r="P31" s="809"/>
      <c r="Q31" s="809"/>
      <c r="R31" s="809"/>
      <c r="S31" s="810"/>
      <c r="T31" s="529"/>
      <c r="U31" s="530"/>
      <c r="V31" s="668" t="str">
        <f>SELNEW!A101</f>
        <v xml:space="preserve"> </v>
      </c>
      <c r="W31" s="669"/>
      <c r="X31" s="669"/>
      <c r="Y31" s="669"/>
      <c r="Z31" s="669"/>
      <c r="AA31" s="669"/>
      <c r="AB31" s="669"/>
      <c r="AC31" s="670"/>
      <c r="AD31" s="761"/>
      <c r="AE31" s="762"/>
      <c r="AF31" s="598" t="str">
        <f>Info!A208</f>
        <v>Banda etansare Wtb Cardinal (coama),  lungime 1100 mm</v>
      </c>
      <c r="AG31" s="598"/>
      <c r="AH31" s="598"/>
      <c r="AI31" s="598"/>
      <c r="AJ31" s="598"/>
      <c r="AK31" s="598"/>
      <c r="AL31" s="598"/>
      <c r="AM31" s="598"/>
      <c r="AN31" s="598"/>
      <c r="AO31" s="598"/>
      <c r="AP31" s="598"/>
      <c r="AQ31" s="598"/>
      <c r="AR31" s="598"/>
      <c r="AS31" s="531"/>
      <c r="AT31" s="531"/>
      <c r="AU31" s="420"/>
      <c r="AV31" s="675"/>
      <c r="AW31" s="676"/>
      <c r="AX31" s="676"/>
      <c r="AY31" s="676"/>
      <c r="AZ31" s="676"/>
      <c r="BA31" s="676"/>
      <c r="BB31" s="676"/>
      <c r="BC31" s="676"/>
      <c r="BD31" s="676"/>
      <c r="BE31" s="677"/>
      <c r="BF31" s="54"/>
      <c r="BG31" s="285"/>
      <c r="BH31" s="629" t="str">
        <f>Info!A341</f>
        <v>Trapa acces Flex</v>
      </c>
      <c r="BI31" s="630"/>
      <c r="BJ31" s="631"/>
      <c r="BK31" s="67"/>
      <c r="BL31" s="67"/>
      <c r="BM31" s="287"/>
      <c r="BN31" s="707"/>
      <c r="BO31" s="708"/>
      <c r="BP31" s="708"/>
      <c r="BQ31" s="709"/>
      <c r="BR31" s="594"/>
      <c r="BS31" s="594"/>
      <c r="BT31" s="594"/>
      <c r="BU31" s="594"/>
      <c r="BV31" s="594"/>
      <c r="BW31" s="594"/>
      <c r="BX31" s="594"/>
      <c r="BY31" s="594"/>
      <c r="BZ31" s="594"/>
    </row>
    <row r="32" spans="2:78" ht="17.100000000000001" customHeight="1" thickBot="1">
      <c r="B32" s="735" t="str">
        <f>B31</f>
        <v>Atipica</v>
      </c>
      <c r="C32" s="734"/>
      <c r="D32" s="541"/>
      <c r="E32" s="542"/>
      <c r="F32" s="543"/>
      <c r="G32" s="732">
        <f t="shared" ref="G32:G50" si="1">G31</f>
        <v>0</v>
      </c>
      <c r="H32" s="733"/>
      <c r="I32" s="734"/>
      <c r="J32" s="544"/>
      <c r="K32" s="667"/>
      <c r="L32" s="800" t="str">
        <f>Lang!A30</f>
        <v>TABLA PLANA ( 1250x2000 )</v>
      </c>
      <c r="M32" s="801"/>
      <c r="N32" s="801"/>
      <c r="O32" s="801"/>
      <c r="P32" s="801"/>
      <c r="Q32" s="801"/>
      <c r="R32" s="801"/>
      <c r="S32" s="802"/>
      <c r="T32" s="836"/>
      <c r="U32" s="837"/>
      <c r="V32" s="668" t="str">
        <f>SELNEW!A102</f>
        <v xml:space="preserve"> </v>
      </c>
      <c r="W32" s="669"/>
      <c r="X32" s="669"/>
      <c r="Y32" s="669"/>
      <c r="Z32" s="669"/>
      <c r="AA32" s="669"/>
      <c r="AB32" s="669"/>
      <c r="AC32" s="670"/>
      <c r="AD32" s="761"/>
      <c r="AE32" s="762"/>
      <c r="AF32" s="598" t="str">
        <f>Info!A209</f>
        <v>Banda etansare Wtb Colosseum ETM (coama),  lungime 1100 mm</v>
      </c>
      <c r="AG32" s="598"/>
      <c r="AH32" s="598"/>
      <c r="AI32" s="598"/>
      <c r="AJ32" s="598"/>
      <c r="AK32" s="598"/>
      <c r="AL32" s="598"/>
      <c r="AM32" s="598"/>
      <c r="AN32" s="598"/>
      <c r="AO32" s="598"/>
      <c r="AP32" s="598"/>
      <c r="AQ32" s="598"/>
      <c r="AR32" s="598"/>
      <c r="AS32" s="531"/>
      <c r="AT32" s="531"/>
      <c r="AU32" s="420"/>
      <c r="AV32" s="675"/>
      <c r="AW32" s="676"/>
      <c r="AX32" s="676"/>
      <c r="AY32" s="676"/>
      <c r="AZ32" s="676"/>
      <c r="BA32" s="676"/>
      <c r="BB32" s="676"/>
      <c r="BC32" s="676"/>
      <c r="BD32" s="676"/>
      <c r="BE32" s="677"/>
      <c r="BF32" s="54"/>
      <c r="BG32" s="285"/>
      <c r="BH32" s="632"/>
      <c r="BI32" s="633"/>
      <c r="BJ32" s="634"/>
      <c r="BK32" s="67"/>
      <c r="BL32" s="67"/>
      <c r="BM32" s="287"/>
      <c r="BN32" s="707" t="s">
        <v>1788</v>
      </c>
      <c r="BO32" s="708"/>
      <c r="BP32" s="708"/>
      <c r="BQ32" s="709"/>
      <c r="BR32" s="594"/>
      <c r="BS32" s="594"/>
      <c r="BT32" s="594"/>
      <c r="BU32" s="594"/>
      <c r="BV32" s="594"/>
      <c r="BW32" s="594"/>
      <c r="BX32" s="594"/>
      <c r="BY32" s="594"/>
      <c r="BZ32" s="594"/>
    </row>
    <row r="33" spans="2:78" ht="15" customHeight="1">
      <c r="B33" s="735" t="str">
        <f t="shared" ref="B33:B50" si="2">B32</f>
        <v>Atipica</v>
      </c>
      <c r="C33" s="734"/>
      <c r="D33" s="541"/>
      <c r="E33" s="542"/>
      <c r="F33" s="543"/>
      <c r="G33" s="732">
        <f t="shared" si="1"/>
        <v>0</v>
      </c>
      <c r="H33" s="733"/>
      <c r="I33" s="734"/>
      <c r="J33" s="544"/>
      <c r="K33" s="667"/>
      <c r="L33" s="828"/>
      <c r="M33" s="829"/>
      <c r="N33" s="829"/>
      <c r="O33" s="829"/>
      <c r="P33" s="829"/>
      <c r="Q33" s="829"/>
      <c r="R33" s="829"/>
      <c r="S33" s="829"/>
      <c r="T33" s="829"/>
      <c r="U33" s="830"/>
      <c r="V33" s="668" t="str">
        <f>SELNEW!A103</f>
        <v xml:space="preserve"> </v>
      </c>
      <c r="W33" s="669"/>
      <c r="X33" s="669"/>
      <c r="Y33" s="669"/>
      <c r="Z33" s="669"/>
      <c r="AA33" s="669"/>
      <c r="AB33" s="669"/>
      <c r="AC33" s="670"/>
      <c r="AD33" s="761"/>
      <c r="AE33" s="762"/>
      <c r="AF33" s="598" t="str">
        <f>Info!A210</f>
        <v>Banda etansare W18</v>
      </c>
      <c r="AG33" s="598"/>
      <c r="AH33" s="598"/>
      <c r="AI33" s="598"/>
      <c r="AJ33" s="598"/>
      <c r="AK33" s="598"/>
      <c r="AL33" s="598"/>
      <c r="AM33" s="598"/>
      <c r="AN33" s="598"/>
      <c r="AO33" s="598"/>
      <c r="AP33" s="598"/>
      <c r="AQ33" s="598"/>
      <c r="AR33" s="598"/>
      <c r="AS33" s="531"/>
      <c r="AT33" s="531"/>
      <c r="AU33" s="420"/>
      <c r="AV33" s="745" t="s">
        <v>1667</v>
      </c>
      <c r="AW33" s="746"/>
      <c r="AX33" s="746"/>
      <c r="AY33" s="746"/>
      <c r="AZ33" s="746"/>
      <c r="BA33" s="746"/>
      <c r="BB33" s="746"/>
      <c r="BC33" s="746"/>
      <c r="BD33" s="746"/>
      <c r="BE33" s="746"/>
      <c r="BF33" s="746"/>
      <c r="BG33" s="747"/>
      <c r="BH33" s="635" t="str">
        <f>Info!A342</f>
        <v>Dispozitiv deschidere Tija manuala</v>
      </c>
      <c r="BI33" s="636"/>
      <c r="BJ33" s="636"/>
      <c r="BK33" s="636"/>
      <c r="BL33" s="651"/>
      <c r="BM33" s="287"/>
      <c r="BN33" s="707"/>
      <c r="BO33" s="708"/>
      <c r="BP33" s="708"/>
      <c r="BQ33" s="709"/>
      <c r="BR33" s="594"/>
      <c r="BS33" s="594"/>
      <c r="BT33" s="594"/>
      <c r="BU33" s="594"/>
      <c r="BV33" s="594"/>
      <c r="BW33" s="594"/>
      <c r="BX33" s="594"/>
      <c r="BY33" s="594"/>
      <c r="BZ33" s="594"/>
    </row>
    <row r="34" spans="2:78" ht="15" customHeight="1">
      <c r="B34" s="735" t="str">
        <f t="shared" si="2"/>
        <v>Atipica</v>
      </c>
      <c r="C34" s="734"/>
      <c r="D34" s="541"/>
      <c r="E34" s="542"/>
      <c r="F34" s="543"/>
      <c r="G34" s="732">
        <f t="shared" si="1"/>
        <v>0</v>
      </c>
      <c r="H34" s="733"/>
      <c r="I34" s="734"/>
      <c r="J34" s="544"/>
      <c r="K34" s="667"/>
      <c r="L34" s="831"/>
      <c r="M34" s="766"/>
      <c r="N34" s="766"/>
      <c r="O34" s="766"/>
      <c r="P34" s="766"/>
      <c r="Q34" s="766"/>
      <c r="R34" s="766"/>
      <c r="S34" s="766"/>
      <c r="T34" s="766"/>
      <c r="U34" s="832"/>
      <c r="V34" s="668" t="str">
        <f>SELNEW!A104</f>
        <v xml:space="preserve"> </v>
      </c>
      <c r="W34" s="669"/>
      <c r="X34" s="669"/>
      <c r="Y34" s="669"/>
      <c r="Z34" s="669"/>
      <c r="AA34" s="669"/>
      <c r="AB34" s="669"/>
      <c r="AC34" s="670"/>
      <c r="AD34" s="761"/>
      <c r="AE34" s="762"/>
      <c r="AF34" s="598" t="str">
        <f>Info!A211</f>
        <v>Banda etansare W35</v>
      </c>
      <c r="AG34" s="598"/>
      <c r="AH34" s="598"/>
      <c r="AI34" s="598"/>
      <c r="AJ34" s="598"/>
      <c r="AK34" s="598"/>
      <c r="AL34" s="598"/>
      <c r="AM34" s="598"/>
      <c r="AN34" s="598"/>
      <c r="AO34" s="598"/>
      <c r="AP34" s="598"/>
      <c r="AQ34" s="598"/>
      <c r="AR34" s="598"/>
      <c r="AS34" s="531"/>
      <c r="AT34" s="531"/>
      <c r="AU34" s="420"/>
      <c r="AV34" s="672" t="s">
        <v>2059</v>
      </c>
      <c r="AW34" s="673"/>
      <c r="AX34" s="742">
        <f>Print!R457</f>
        <v>6.59</v>
      </c>
      <c r="AY34" s="742"/>
      <c r="AZ34" s="881" t="s">
        <v>2594</v>
      </c>
      <c r="BA34" s="882"/>
      <c r="BB34" s="756">
        <f>Print!V457</f>
        <v>0</v>
      </c>
      <c r="BC34" s="756"/>
      <c r="BD34" s="741" t="s">
        <v>2595</v>
      </c>
      <c r="BE34" s="741"/>
      <c r="BF34" s="741"/>
      <c r="BG34" s="505">
        <f>Print!W457</f>
        <v>0</v>
      </c>
      <c r="BH34" s="635" t="str">
        <f>Info!A343</f>
        <v>Dispozitiv deschidere Electric</v>
      </c>
      <c r="BI34" s="636"/>
      <c r="BJ34" s="636"/>
      <c r="BK34" s="636"/>
      <c r="BL34" s="651"/>
      <c r="BM34" s="287"/>
      <c r="BN34" s="707" t="s">
        <v>423</v>
      </c>
      <c r="BO34" s="708"/>
      <c r="BP34" s="708"/>
      <c r="BQ34" s="709"/>
      <c r="BR34" s="594"/>
      <c r="BS34" s="594"/>
      <c r="BT34" s="594"/>
      <c r="BU34" s="594"/>
      <c r="BV34" s="594"/>
      <c r="BW34" s="594"/>
      <c r="BX34" s="594"/>
      <c r="BY34" s="594"/>
      <c r="BZ34" s="594"/>
    </row>
    <row r="35" spans="2:78" ht="15" customHeight="1" thickBot="1">
      <c r="B35" s="735" t="str">
        <f t="shared" si="2"/>
        <v>Atipica</v>
      </c>
      <c r="C35" s="734"/>
      <c r="D35" s="541"/>
      <c r="E35" s="542"/>
      <c r="F35" s="543"/>
      <c r="G35" s="732">
        <f t="shared" si="1"/>
        <v>0</v>
      </c>
      <c r="H35" s="733"/>
      <c r="I35" s="734"/>
      <c r="J35" s="544"/>
      <c r="K35" s="667"/>
      <c r="L35" s="737" t="str">
        <f>Lang!A68</f>
        <v>NR.</v>
      </c>
      <c r="M35" s="738"/>
      <c r="N35" s="736" t="str">
        <f>Lang!A69</f>
        <v>LATIME</v>
      </c>
      <c r="O35" s="736"/>
      <c r="P35" s="736"/>
      <c r="Q35" s="738" t="str">
        <f>Lang!A70</f>
        <v>LUNGIME</v>
      </c>
      <c r="R35" s="738"/>
      <c r="S35" s="738"/>
      <c r="T35" s="738" t="str">
        <f>Lang!A71</f>
        <v>BUC</v>
      </c>
      <c r="U35" s="803"/>
      <c r="V35" s="668" t="str">
        <f>SELNEW!A105</f>
        <v xml:space="preserve"> </v>
      </c>
      <c r="W35" s="669"/>
      <c r="X35" s="669"/>
      <c r="Y35" s="669"/>
      <c r="Z35" s="669"/>
      <c r="AA35" s="669"/>
      <c r="AB35" s="669"/>
      <c r="AC35" s="670"/>
      <c r="AD35" s="761"/>
      <c r="AE35" s="762"/>
      <c r="AF35" s="598" t="str">
        <f>Info!A212</f>
        <v>Banda etansare W60 Coama</v>
      </c>
      <c r="AG35" s="598"/>
      <c r="AH35" s="598"/>
      <c r="AI35" s="598"/>
      <c r="AJ35" s="598"/>
      <c r="AK35" s="598"/>
      <c r="AL35" s="598"/>
      <c r="AM35" s="598"/>
      <c r="AN35" s="598"/>
      <c r="AO35" s="598"/>
      <c r="AP35" s="598"/>
      <c r="AQ35" s="598"/>
      <c r="AR35" s="598"/>
      <c r="AS35" s="531"/>
      <c r="AT35" s="531"/>
      <c r="AU35" s="421"/>
      <c r="AV35" s="876" t="str">
        <f>Lang!A488</f>
        <v>Modul PANORAMA 1195*740mm (bucăți)</v>
      </c>
      <c r="AW35" s="877"/>
      <c r="AX35" s="877"/>
      <c r="AY35" s="877"/>
      <c r="AZ35" s="877"/>
      <c r="BA35" s="877"/>
      <c r="BB35" s="877"/>
      <c r="BC35" s="877"/>
      <c r="BD35" s="877"/>
      <c r="BE35" s="877"/>
      <c r="BF35" s="878"/>
      <c r="BG35" s="285"/>
      <c r="BH35" s="635"/>
      <c r="BI35" s="636"/>
      <c r="BJ35" s="636"/>
      <c r="BK35" s="71"/>
      <c r="BL35" s="72"/>
      <c r="BM35" s="287"/>
      <c r="BN35" s="710"/>
      <c r="BO35" s="711"/>
      <c r="BP35" s="711"/>
      <c r="BQ35" s="712"/>
      <c r="BR35" s="594"/>
      <c r="BS35" s="594"/>
      <c r="BT35" s="594"/>
      <c r="BU35" s="594"/>
      <c r="BV35" s="594"/>
      <c r="BW35" s="594"/>
      <c r="BX35" s="594"/>
      <c r="BY35" s="594"/>
      <c r="BZ35" s="594"/>
    </row>
    <row r="36" spans="2:78" ht="15" customHeight="1">
      <c r="B36" s="735" t="str">
        <f t="shared" si="2"/>
        <v>Atipica</v>
      </c>
      <c r="C36" s="734"/>
      <c r="D36" s="541"/>
      <c r="E36" s="542"/>
      <c r="F36" s="543"/>
      <c r="G36" s="732">
        <f t="shared" si="1"/>
        <v>0</v>
      </c>
      <c r="H36" s="733"/>
      <c r="I36" s="734"/>
      <c r="J36" s="544"/>
      <c r="K36" s="667"/>
      <c r="L36" s="751">
        <v>1</v>
      </c>
      <c r="M36" s="752"/>
      <c r="N36" s="614"/>
      <c r="O36" s="615"/>
      <c r="P36" s="616"/>
      <c r="Q36" s="776">
        <v>2000</v>
      </c>
      <c r="R36" s="804"/>
      <c r="S36" s="777"/>
      <c r="T36" s="776"/>
      <c r="U36" s="838"/>
      <c r="V36" s="668"/>
      <c r="W36" s="669"/>
      <c r="X36" s="669"/>
      <c r="Y36" s="669"/>
      <c r="Z36" s="669"/>
      <c r="AA36" s="669"/>
      <c r="AB36" s="669"/>
      <c r="AC36" s="670"/>
      <c r="AD36" s="544"/>
      <c r="AE36" s="666"/>
      <c r="AF36" s="598" t="str">
        <f>Info!A213</f>
        <v>Piepten plastic anti-pasari 1000x60 mm</v>
      </c>
      <c r="AG36" s="598"/>
      <c r="AH36" s="598"/>
      <c r="AI36" s="598"/>
      <c r="AJ36" s="598"/>
      <c r="AK36" s="598"/>
      <c r="AL36" s="598"/>
      <c r="AM36" s="598"/>
      <c r="AN36" s="598"/>
      <c r="AO36" s="598"/>
      <c r="AP36" s="598"/>
      <c r="AQ36" s="598"/>
      <c r="AR36" s="598"/>
      <c r="AS36" s="531"/>
      <c r="AT36" s="531"/>
      <c r="AU36" s="420"/>
      <c r="AV36" s="524" t="str">
        <f>Lang!A489</f>
        <v>Tabla plană PANORAMA 1240*2000</v>
      </c>
      <c r="AW36" s="525"/>
      <c r="AX36" s="525"/>
      <c r="AY36" s="525"/>
      <c r="AZ36" s="525"/>
      <c r="BA36" s="525"/>
      <c r="BB36" s="525"/>
      <c r="BC36" s="525"/>
      <c r="BD36" s="525"/>
      <c r="BE36" s="525"/>
      <c r="BF36" s="526"/>
      <c r="BG36" s="285"/>
      <c r="BH36" s="635"/>
      <c r="BI36" s="636"/>
      <c r="BJ36" s="636"/>
      <c r="BK36" s="71"/>
      <c r="BL36" s="72"/>
      <c r="BM36" s="287"/>
      <c r="BN36" s="319" t="s">
        <v>1723</v>
      </c>
      <c r="BO36" s="718" t="s">
        <v>2034</v>
      </c>
      <c r="BP36" s="719"/>
      <c r="BQ36" s="320" t="s">
        <v>1773</v>
      </c>
      <c r="BR36" s="594"/>
      <c r="BS36" s="594"/>
      <c r="BT36" s="594"/>
      <c r="BU36" s="594"/>
      <c r="BV36" s="594"/>
      <c r="BW36" s="594"/>
      <c r="BX36" s="594"/>
      <c r="BY36" s="594"/>
      <c r="BZ36" s="594"/>
    </row>
    <row r="37" spans="2:78" ht="15" customHeight="1">
      <c r="B37" s="735" t="str">
        <f t="shared" si="2"/>
        <v>Atipica</v>
      </c>
      <c r="C37" s="734"/>
      <c r="D37" s="541"/>
      <c r="E37" s="542"/>
      <c r="F37" s="543"/>
      <c r="G37" s="732">
        <f t="shared" si="1"/>
        <v>0</v>
      </c>
      <c r="H37" s="733"/>
      <c r="I37" s="734"/>
      <c r="J37" s="544"/>
      <c r="K37" s="667"/>
      <c r="L37" s="739">
        <v>2</v>
      </c>
      <c r="M37" s="740"/>
      <c r="N37" s="541"/>
      <c r="O37" s="542"/>
      <c r="P37" s="543"/>
      <c r="Q37" s="544"/>
      <c r="R37" s="666"/>
      <c r="S37" s="545"/>
      <c r="T37" s="544"/>
      <c r="U37" s="667"/>
      <c r="V37" s="668"/>
      <c r="W37" s="669"/>
      <c r="X37" s="669"/>
      <c r="Y37" s="669"/>
      <c r="Z37" s="669"/>
      <c r="AA37" s="669"/>
      <c r="AB37" s="669"/>
      <c r="AC37" s="670"/>
      <c r="AD37" s="544"/>
      <c r="AE37" s="666"/>
      <c r="AF37" s="598" t="str">
        <f>Info!A214</f>
        <v>Silicon etansare Wetterbest</v>
      </c>
      <c r="AG37" s="598"/>
      <c r="AH37" s="598"/>
      <c r="AI37" s="598"/>
      <c r="AJ37" s="598"/>
      <c r="AK37" s="598"/>
      <c r="AL37" s="598"/>
      <c r="AM37" s="598"/>
      <c r="AN37" s="598"/>
      <c r="AO37" s="598"/>
      <c r="AP37" s="598"/>
      <c r="AQ37" s="598"/>
      <c r="AR37" s="598"/>
      <c r="AS37" s="531"/>
      <c r="AT37" s="531"/>
      <c r="AU37" s="420"/>
      <c r="AV37" s="524" t="str">
        <f>Lang!A490</f>
        <v>Bordură specială calcan PANORAMA</v>
      </c>
      <c r="AW37" s="525"/>
      <c r="AX37" s="525"/>
      <c r="AY37" s="525"/>
      <c r="AZ37" s="525"/>
      <c r="BA37" s="525"/>
      <c r="BB37" s="525"/>
      <c r="BC37" s="525"/>
      <c r="BD37" s="525"/>
      <c r="BE37" s="525"/>
      <c r="BF37" s="526"/>
      <c r="BG37" s="482"/>
      <c r="BH37" s="856"/>
      <c r="BI37" s="857"/>
      <c r="BJ37" s="857"/>
      <c r="BK37" s="857"/>
      <c r="BL37" s="857"/>
      <c r="BM37" s="272"/>
      <c r="BN37" s="698" t="s">
        <v>1794</v>
      </c>
      <c r="BO37" s="699"/>
      <c r="BP37" s="699"/>
      <c r="BQ37" s="700"/>
      <c r="BR37" s="594"/>
      <c r="BS37" s="594"/>
      <c r="BT37" s="594"/>
      <c r="BU37" s="594"/>
      <c r="BV37" s="594"/>
      <c r="BW37" s="594"/>
      <c r="BX37" s="594"/>
      <c r="BY37" s="594"/>
      <c r="BZ37" s="594"/>
    </row>
    <row r="38" spans="2:78" ht="15" customHeight="1" thickBot="1">
      <c r="B38" s="735" t="str">
        <f t="shared" si="2"/>
        <v>Atipica</v>
      </c>
      <c r="C38" s="734"/>
      <c r="D38" s="541"/>
      <c r="E38" s="542"/>
      <c r="F38" s="543"/>
      <c r="G38" s="732">
        <f t="shared" si="1"/>
        <v>0</v>
      </c>
      <c r="H38" s="733"/>
      <c r="I38" s="734"/>
      <c r="J38" s="544"/>
      <c r="K38" s="667"/>
      <c r="L38" s="739">
        <v>3</v>
      </c>
      <c r="M38" s="740"/>
      <c r="N38" s="541"/>
      <c r="O38" s="542"/>
      <c r="P38" s="543"/>
      <c r="Q38" s="544"/>
      <c r="R38" s="666"/>
      <c r="S38" s="545"/>
      <c r="T38" s="544"/>
      <c r="U38" s="667"/>
      <c r="V38" s="668"/>
      <c r="W38" s="669"/>
      <c r="X38" s="669"/>
      <c r="Y38" s="669"/>
      <c r="Z38" s="669"/>
      <c r="AA38" s="669"/>
      <c r="AB38" s="669"/>
      <c r="AC38" s="670"/>
      <c r="AD38" s="529"/>
      <c r="AE38" s="674"/>
      <c r="AF38" s="598" t="str">
        <f>Info!A215</f>
        <v>Mastic etansare Wetterbest</v>
      </c>
      <c r="AG38" s="598"/>
      <c r="AH38" s="598"/>
      <c r="AI38" s="598"/>
      <c r="AJ38" s="598"/>
      <c r="AK38" s="598"/>
      <c r="AL38" s="598"/>
      <c r="AM38" s="598"/>
      <c r="AN38" s="598"/>
      <c r="AO38" s="598"/>
      <c r="AP38" s="598"/>
      <c r="AQ38" s="598"/>
      <c r="AR38" s="598"/>
      <c r="AS38" s="531"/>
      <c r="AT38" s="531"/>
      <c r="AU38" s="420"/>
      <c r="AV38" s="524" t="str">
        <f>Lang!A491</f>
        <v>Coamă dreaptă mare PANORAMA</v>
      </c>
      <c r="AW38" s="525"/>
      <c r="AX38" s="525"/>
      <c r="AY38" s="525"/>
      <c r="AZ38" s="525"/>
      <c r="BA38" s="525"/>
      <c r="BB38" s="525"/>
      <c r="BC38" s="525"/>
      <c r="BD38" s="525"/>
      <c r="BE38" s="525"/>
      <c r="BF38" s="526"/>
      <c r="BG38" s="285"/>
      <c r="BH38" s="629" t="str">
        <f>Info!A348</f>
        <v>FEREASTRA DE MANSARDA ROOFLITE</v>
      </c>
      <c r="BI38" s="630"/>
      <c r="BJ38" s="631"/>
      <c r="BK38" s="69"/>
      <c r="BL38" s="69"/>
      <c r="BM38" s="287"/>
      <c r="BN38" s="274"/>
      <c r="BO38" s="690"/>
      <c r="BP38" s="691"/>
      <c r="BQ38" s="275"/>
      <c r="BR38" s="594"/>
      <c r="BS38" s="594"/>
      <c r="BT38" s="594"/>
      <c r="BU38" s="594"/>
      <c r="BV38" s="594"/>
      <c r="BW38" s="594"/>
      <c r="BX38" s="594"/>
      <c r="BY38" s="594"/>
      <c r="BZ38" s="594"/>
    </row>
    <row r="39" spans="2:78" ht="15" customHeight="1">
      <c r="B39" s="735" t="str">
        <f t="shared" si="2"/>
        <v>Atipica</v>
      </c>
      <c r="C39" s="734"/>
      <c r="D39" s="541"/>
      <c r="E39" s="542"/>
      <c r="F39" s="543"/>
      <c r="G39" s="732">
        <f t="shared" si="1"/>
        <v>0</v>
      </c>
      <c r="H39" s="733"/>
      <c r="I39" s="734"/>
      <c r="J39" s="544"/>
      <c r="K39" s="667"/>
      <c r="L39" s="739">
        <v>4</v>
      </c>
      <c r="M39" s="740"/>
      <c r="N39" s="541"/>
      <c r="O39" s="542"/>
      <c r="P39" s="543"/>
      <c r="Q39" s="544"/>
      <c r="R39" s="666"/>
      <c r="S39" s="545"/>
      <c r="T39" s="544"/>
      <c r="U39" s="667"/>
      <c r="V39" s="105">
        <f>Select!I2</f>
        <v>1</v>
      </c>
      <c r="W39" s="769"/>
      <c r="X39" s="769"/>
      <c r="Y39" s="769"/>
      <c r="Z39" s="769"/>
      <c r="AA39" s="769"/>
      <c r="AB39" s="769"/>
      <c r="AC39" s="769"/>
      <c r="AD39" s="769"/>
      <c r="AE39" s="105">
        <f>Select!M2</f>
        <v>1</v>
      </c>
      <c r="AF39" s="598" t="str">
        <f>Info!A216</f>
        <v>Pistol pentru silicon Albastru</v>
      </c>
      <c r="AG39" s="598"/>
      <c r="AH39" s="598"/>
      <c r="AI39" s="598"/>
      <c r="AJ39" s="598"/>
      <c r="AK39" s="598"/>
      <c r="AL39" s="598"/>
      <c r="AM39" s="598"/>
      <c r="AN39" s="598"/>
      <c r="AO39" s="598"/>
      <c r="AP39" s="598"/>
      <c r="AQ39" s="598"/>
      <c r="AR39" s="598"/>
      <c r="AS39" s="531"/>
      <c r="AT39" s="531"/>
      <c r="AU39" s="420"/>
      <c r="AV39" s="524" t="str">
        <f>Lang!A492</f>
        <v>Coamă dreaptă mică PANORAMA</v>
      </c>
      <c r="AW39" s="525"/>
      <c r="AX39" s="525"/>
      <c r="AY39" s="525"/>
      <c r="AZ39" s="525"/>
      <c r="BA39" s="525"/>
      <c r="BB39" s="525"/>
      <c r="BC39" s="525"/>
      <c r="BD39" s="525"/>
      <c r="BE39" s="525"/>
      <c r="BF39" s="526"/>
      <c r="BG39" s="285"/>
      <c r="BH39" s="632"/>
      <c r="BI39" s="633"/>
      <c r="BJ39" s="634"/>
      <c r="BK39" s="69"/>
      <c r="BL39" s="69"/>
      <c r="BM39" s="287"/>
      <c r="BN39" s="274"/>
      <c r="BO39" s="690"/>
      <c r="BP39" s="691"/>
      <c r="BQ39" s="275"/>
      <c r="BR39" s="594"/>
      <c r="BS39" s="594"/>
      <c r="BT39" s="594"/>
      <c r="BU39" s="594"/>
      <c r="BV39" s="594"/>
      <c r="BW39" s="594"/>
      <c r="BX39" s="594"/>
      <c r="BY39" s="594"/>
      <c r="BZ39" s="594"/>
    </row>
    <row r="40" spans="2:78" ht="15" customHeight="1">
      <c r="B40" s="735" t="str">
        <f t="shared" si="2"/>
        <v>Atipica</v>
      </c>
      <c r="C40" s="734"/>
      <c r="D40" s="541"/>
      <c r="E40" s="542"/>
      <c r="F40" s="543"/>
      <c r="G40" s="732">
        <f t="shared" si="1"/>
        <v>0</v>
      </c>
      <c r="H40" s="733"/>
      <c r="I40" s="734"/>
      <c r="J40" s="544"/>
      <c r="K40" s="667"/>
      <c r="L40" s="739">
        <v>5</v>
      </c>
      <c r="M40" s="740"/>
      <c r="N40" s="541"/>
      <c r="O40" s="542"/>
      <c r="P40" s="543"/>
      <c r="Q40" s="544"/>
      <c r="R40" s="666"/>
      <c r="S40" s="545"/>
      <c r="T40" s="544"/>
      <c r="U40" s="667"/>
      <c r="V40" s="181"/>
      <c r="W40" s="182"/>
      <c r="X40" s="182"/>
      <c r="Y40" s="182"/>
      <c r="Z40" s="182"/>
      <c r="AA40" s="182"/>
      <c r="AB40" s="182"/>
      <c r="AC40" s="182"/>
      <c r="AD40" s="182"/>
      <c r="AE40" s="182"/>
      <c r="AF40" s="598" t="str">
        <f>Info!A217</f>
        <v>Pistol pentru silicon Galben</v>
      </c>
      <c r="AG40" s="598"/>
      <c r="AH40" s="598"/>
      <c r="AI40" s="598"/>
      <c r="AJ40" s="598"/>
      <c r="AK40" s="598"/>
      <c r="AL40" s="598"/>
      <c r="AM40" s="598"/>
      <c r="AN40" s="598"/>
      <c r="AO40" s="598"/>
      <c r="AP40" s="598"/>
      <c r="AQ40" s="598"/>
      <c r="AR40" s="598"/>
      <c r="AS40" s="531"/>
      <c r="AT40" s="531"/>
      <c r="AU40" s="420"/>
      <c r="AV40" s="524" t="str">
        <f>Lang!A493</f>
        <v>Coamă rotundă mică PANORAMA</v>
      </c>
      <c r="AW40" s="525"/>
      <c r="AX40" s="525"/>
      <c r="AY40" s="525"/>
      <c r="AZ40" s="525"/>
      <c r="BA40" s="525"/>
      <c r="BB40" s="525"/>
      <c r="BC40" s="525"/>
      <c r="BD40" s="525"/>
      <c r="BE40" s="525"/>
      <c r="BF40" s="526"/>
      <c r="BG40" s="285"/>
      <c r="BH40" s="629" t="str">
        <f>Info!A349</f>
        <v>RAMA ROOFLITE</v>
      </c>
      <c r="BI40" s="630"/>
      <c r="BJ40" s="631"/>
      <c r="BK40" s="69"/>
      <c r="BL40" s="69"/>
      <c r="BM40" s="287"/>
      <c r="BN40" s="274"/>
      <c r="BO40" s="690"/>
      <c r="BP40" s="691"/>
      <c r="BQ40" s="275"/>
      <c r="BR40" s="594"/>
      <c r="BS40" s="594"/>
      <c r="BT40" s="594"/>
      <c r="BU40" s="594"/>
      <c r="BV40" s="594"/>
      <c r="BW40" s="594"/>
      <c r="BX40" s="594"/>
      <c r="BY40" s="594"/>
      <c r="BZ40" s="594"/>
    </row>
    <row r="41" spans="2:78" ht="15" customHeight="1" thickBot="1">
      <c r="B41" s="735" t="str">
        <f t="shared" si="2"/>
        <v>Atipica</v>
      </c>
      <c r="C41" s="734"/>
      <c r="D41" s="541"/>
      <c r="E41" s="542"/>
      <c r="F41" s="543"/>
      <c r="G41" s="732">
        <f t="shared" si="1"/>
        <v>0</v>
      </c>
      <c r="H41" s="733"/>
      <c r="I41" s="734"/>
      <c r="J41" s="544"/>
      <c r="K41" s="667"/>
      <c r="L41" s="739">
        <v>6</v>
      </c>
      <c r="M41" s="740"/>
      <c r="N41" s="541"/>
      <c r="O41" s="542"/>
      <c r="P41" s="543"/>
      <c r="Q41" s="544"/>
      <c r="R41" s="666"/>
      <c r="S41" s="545"/>
      <c r="T41" s="544"/>
      <c r="U41" s="667"/>
      <c r="V41" s="181"/>
      <c r="W41" s="182"/>
      <c r="X41" s="182"/>
      <c r="Y41" s="182"/>
      <c r="Z41" s="182"/>
      <c r="AA41" s="182"/>
      <c r="AB41" s="182"/>
      <c r="AC41" s="182"/>
      <c r="AD41" s="182"/>
      <c r="AE41" s="182"/>
      <c r="AF41" s="598" t="str">
        <f>Info!A218</f>
        <v>Pistol pentru silicon Negru</v>
      </c>
      <c r="AG41" s="598"/>
      <c r="AH41" s="598"/>
      <c r="AI41" s="598"/>
      <c r="AJ41" s="598"/>
      <c r="AK41" s="598"/>
      <c r="AL41" s="598"/>
      <c r="AM41" s="598"/>
      <c r="AN41" s="598"/>
      <c r="AO41" s="598"/>
      <c r="AP41" s="598"/>
      <c r="AQ41" s="598"/>
      <c r="AR41" s="598"/>
      <c r="AS41" s="531"/>
      <c r="AT41" s="531"/>
      <c r="AU41" s="420"/>
      <c r="AV41" s="524" t="str">
        <f>Lang!A494</f>
        <v>Coamă modulară PANORAMA 0,385mm</v>
      </c>
      <c r="AW41" s="525"/>
      <c r="AX41" s="525"/>
      <c r="AY41" s="525"/>
      <c r="AZ41" s="525"/>
      <c r="BA41" s="525"/>
      <c r="BB41" s="525"/>
      <c r="BC41" s="525"/>
      <c r="BD41" s="525"/>
      <c r="BE41" s="525"/>
      <c r="BF41" s="526"/>
      <c r="BG41" s="254"/>
      <c r="BH41" s="682"/>
      <c r="BI41" s="683"/>
      <c r="BJ41" s="684"/>
      <c r="BK41" s="245"/>
      <c r="BL41" s="245"/>
      <c r="BM41" s="273"/>
      <c r="BN41" s="274"/>
      <c r="BO41" s="690"/>
      <c r="BP41" s="691"/>
      <c r="BQ41" s="275"/>
      <c r="BR41" s="594"/>
      <c r="BS41" s="594"/>
      <c r="BT41" s="594"/>
      <c r="BU41" s="594"/>
      <c r="BV41" s="594"/>
      <c r="BW41" s="594"/>
      <c r="BX41" s="594"/>
      <c r="BY41" s="594"/>
      <c r="BZ41" s="594"/>
    </row>
    <row r="42" spans="2:78" ht="15" customHeight="1">
      <c r="B42" s="735" t="str">
        <f t="shared" si="2"/>
        <v>Atipica</v>
      </c>
      <c r="C42" s="734"/>
      <c r="D42" s="541"/>
      <c r="E42" s="542"/>
      <c r="F42" s="543"/>
      <c r="G42" s="732">
        <f t="shared" si="1"/>
        <v>0</v>
      </c>
      <c r="H42" s="733"/>
      <c r="I42" s="734"/>
      <c r="J42" s="544"/>
      <c r="K42" s="667"/>
      <c r="L42" s="739">
        <v>7</v>
      </c>
      <c r="M42" s="740"/>
      <c r="N42" s="541"/>
      <c r="O42" s="542"/>
      <c r="P42" s="543"/>
      <c r="Q42" s="544"/>
      <c r="R42" s="666"/>
      <c r="S42" s="545"/>
      <c r="T42" s="544"/>
      <c r="U42" s="667"/>
      <c r="V42" s="181"/>
      <c r="W42" s="182"/>
      <c r="X42" s="182"/>
      <c r="Y42" s="182"/>
      <c r="Z42" s="182"/>
      <c r="AA42" s="182"/>
      <c r="AB42" s="182"/>
      <c r="AC42" s="182"/>
      <c r="AD42" s="182"/>
      <c r="AE42" s="182"/>
      <c r="AF42" s="883" t="str">
        <f>Info!A219</f>
        <v>Vopsea retus+pensula 20 ml</v>
      </c>
      <c r="AG42" s="883"/>
      <c r="AH42" s="883"/>
      <c r="AI42" s="883"/>
      <c r="AJ42" s="883"/>
      <c r="AK42" s="424" t="str">
        <f>B65</f>
        <v>Tip:</v>
      </c>
      <c r="AL42" s="839"/>
      <c r="AM42" s="839"/>
      <c r="AN42" s="839"/>
      <c r="AO42" s="839" t="s">
        <v>549</v>
      </c>
      <c r="AP42" s="839"/>
      <c r="AQ42" s="839"/>
      <c r="AR42" s="839"/>
      <c r="AS42" s="531"/>
      <c r="AT42" s="531"/>
      <c r="AU42" s="421"/>
      <c r="AV42" s="524" t="str">
        <f>Lang!A495</f>
        <v>Coamă rotundă mare PANORAMA</v>
      </c>
      <c r="AW42" s="525"/>
      <c r="AX42" s="525"/>
      <c r="AY42" s="525"/>
      <c r="AZ42" s="525"/>
      <c r="BA42" s="525"/>
      <c r="BB42" s="525"/>
      <c r="BC42" s="525"/>
      <c r="BD42" s="525"/>
      <c r="BE42" s="525"/>
      <c r="BF42" s="526"/>
      <c r="BG42" s="254"/>
      <c r="BH42" s="870" t="str">
        <f>Lang!A412</f>
        <v>SCULE</v>
      </c>
      <c r="BI42" s="871"/>
      <c r="BJ42" s="871"/>
      <c r="BK42" s="871"/>
      <c r="BL42" s="871"/>
      <c r="BM42" s="872"/>
      <c r="BN42" s="274"/>
      <c r="BO42" s="690"/>
      <c r="BP42" s="691"/>
      <c r="BQ42" s="275"/>
      <c r="BR42" s="594"/>
      <c r="BS42" s="594"/>
      <c r="BT42" s="594"/>
      <c r="BU42" s="594"/>
      <c r="BV42" s="594"/>
      <c r="BW42" s="594"/>
      <c r="BX42" s="594"/>
      <c r="BY42" s="594"/>
      <c r="BZ42" s="594"/>
    </row>
    <row r="43" spans="2:78" ht="15" customHeight="1">
      <c r="B43" s="735" t="str">
        <f t="shared" si="2"/>
        <v>Atipica</v>
      </c>
      <c r="C43" s="734"/>
      <c r="D43" s="541"/>
      <c r="E43" s="542"/>
      <c r="F43" s="543"/>
      <c r="G43" s="732">
        <f t="shared" si="1"/>
        <v>0</v>
      </c>
      <c r="H43" s="733"/>
      <c r="I43" s="734"/>
      <c r="J43" s="544"/>
      <c r="K43" s="667"/>
      <c r="L43" s="739">
        <v>8</v>
      </c>
      <c r="M43" s="740"/>
      <c r="N43" s="541"/>
      <c r="O43" s="542"/>
      <c r="P43" s="543"/>
      <c r="Q43" s="544"/>
      <c r="R43" s="666"/>
      <c r="S43" s="545"/>
      <c r="T43" s="544"/>
      <c r="U43" s="667"/>
      <c r="V43" s="181"/>
      <c r="W43" s="182"/>
      <c r="X43" s="182"/>
      <c r="Y43" s="182"/>
      <c r="Z43" s="182"/>
      <c r="AA43" s="182"/>
      <c r="AB43" s="182"/>
      <c r="AC43" s="182"/>
      <c r="AD43" s="182"/>
      <c r="AE43" s="182"/>
      <c r="AF43" s="598" t="str">
        <f>Info!A220</f>
        <v>**Ventilatie Acoperis CLASIC RAL 7024, 8017 si 9005 ( alte RAL-uri comanda )</v>
      </c>
      <c r="AG43" s="598"/>
      <c r="AH43" s="598"/>
      <c r="AI43" s="598"/>
      <c r="AJ43" s="598"/>
      <c r="AK43" s="598"/>
      <c r="AL43" s="598"/>
      <c r="AM43" s="598"/>
      <c r="AN43" s="598"/>
      <c r="AO43" s="598"/>
      <c r="AP43" s="598"/>
      <c r="AQ43" s="598"/>
      <c r="AR43" s="598"/>
      <c r="AS43" s="531"/>
      <c r="AT43" s="531"/>
      <c r="AU43" s="420"/>
      <c r="AV43" s="524" t="str">
        <f>Lang!A496</f>
        <v>Capac coamă PANORAMA</v>
      </c>
      <c r="AW43" s="525"/>
      <c r="AX43" s="525"/>
      <c r="AY43" s="525"/>
      <c r="AZ43" s="525"/>
      <c r="BA43" s="525"/>
      <c r="BB43" s="525"/>
      <c r="BC43" s="525"/>
      <c r="BD43" s="525"/>
      <c r="BE43" s="525"/>
      <c r="BF43" s="526"/>
      <c r="BG43" s="254"/>
      <c r="BH43" s="532" t="str">
        <f>Lang!A354</f>
        <v>Foarfeca pelican</v>
      </c>
      <c r="BI43" s="533"/>
      <c r="BJ43" s="533"/>
      <c r="BK43" s="533"/>
      <c r="BL43" s="534"/>
      <c r="BM43" s="287"/>
      <c r="BN43" s="274"/>
      <c r="BO43" s="690"/>
      <c r="BP43" s="691"/>
      <c r="BQ43" s="275"/>
      <c r="BR43" s="594"/>
      <c r="BS43" s="594"/>
      <c r="BT43" s="594"/>
      <c r="BU43" s="594"/>
      <c r="BV43" s="594"/>
      <c r="BW43" s="594"/>
      <c r="BX43" s="594"/>
      <c r="BY43" s="594"/>
      <c r="BZ43" s="594"/>
    </row>
    <row r="44" spans="2:78" ht="15" customHeight="1">
      <c r="B44" s="735" t="str">
        <f t="shared" si="2"/>
        <v>Atipica</v>
      </c>
      <c r="C44" s="734"/>
      <c r="D44" s="541"/>
      <c r="E44" s="542"/>
      <c r="F44" s="543"/>
      <c r="G44" s="732">
        <f t="shared" si="1"/>
        <v>0</v>
      </c>
      <c r="H44" s="733"/>
      <c r="I44" s="734"/>
      <c r="J44" s="544"/>
      <c r="K44" s="667"/>
      <c r="L44" s="739">
        <v>9</v>
      </c>
      <c r="M44" s="740"/>
      <c r="N44" s="541"/>
      <c r="O44" s="542"/>
      <c r="P44" s="543"/>
      <c r="Q44" s="544"/>
      <c r="R44" s="666"/>
      <c r="S44" s="545"/>
      <c r="T44" s="544"/>
      <c r="U44" s="667"/>
      <c r="V44" s="181"/>
      <c r="W44" s="182"/>
      <c r="X44" s="182"/>
      <c r="Y44" s="182"/>
      <c r="Z44" s="182"/>
      <c r="AA44" s="182"/>
      <c r="AB44" s="182"/>
      <c r="AC44" s="182"/>
      <c r="AD44" s="182"/>
      <c r="AE44" s="182"/>
      <c r="AF44" s="598" t="str">
        <f>Info!A221</f>
        <v>**Ventilatie Invelitori plate RAL 7024 si 9005 ( alte RAL-uri comanda )</v>
      </c>
      <c r="AG44" s="598"/>
      <c r="AH44" s="598"/>
      <c r="AI44" s="598"/>
      <c r="AJ44" s="598"/>
      <c r="AK44" s="598"/>
      <c r="AL44" s="598"/>
      <c r="AM44" s="598"/>
      <c r="AN44" s="598"/>
      <c r="AO44" s="598"/>
      <c r="AP44" s="598"/>
      <c r="AQ44" s="598"/>
      <c r="AR44" s="598"/>
      <c r="AS44" s="531"/>
      <c r="AT44" s="531"/>
      <c r="AU44" s="420"/>
      <c r="AV44" s="524" t="str">
        <f>Lang!A497</f>
        <v>Colector fronton PANORAMA</v>
      </c>
      <c r="AW44" s="525"/>
      <c r="AX44" s="525"/>
      <c r="AY44" s="525"/>
      <c r="AZ44" s="525"/>
      <c r="BA44" s="525"/>
      <c r="BB44" s="525"/>
      <c r="BC44" s="525"/>
      <c r="BD44" s="525"/>
      <c r="BE44" s="525"/>
      <c r="BF44" s="526"/>
      <c r="BG44" s="254"/>
      <c r="BH44" s="532" t="str">
        <f>Lang!A355</f>
        <v xml:space="preserve">Foarfeca combinata </v>
      </c>
      <c r="BI44" s="533"/>
      <c r="BJ44" s="533"/>
      <c r="BK44" s="533"/>
      <c r="BL44" s="534"/>
      <c r="BM44" s="288"/>
      <c r="BN44" s="274"/>
      <c r="BO44" s="690"/>
      <c r="BP44" s="691"/>
      <c r="BQ44" s="275"/>
      <c r="BR44" s="594"/>
      <c r="BS44" s="594"/>
      <c r="BT44" s="594"/>
      <c r="BU44" s="594"/>
      <c r="BV44" s="594"/>
      <c r="BW44" s="594"/>
      <c r="BX44" s="594"/>
      <c r="BY44" s="594"/>
      <c r="BZ44" s="594"/>
    </row>
    <row r="45" spans="2:78" ht="15" customHeight="1">
      <c r="B45" s="735" t="str">
        <f t="shared" si="2"/>
        <v>Atipica</v>
      </c>
      <c r="C45" s="734"/>
      <c r="D45" s="541"/>
      <c r="E45" s="542"/>
      <c r="F45" s="543"/>
      <c r="G45" s="732">
        <f t="shared" si="1"/>
        <v>0</v>
      </c>
      <c r="H45" s="733"/>
      <c r="I45" s="734"/>
      <c r="J45" s="544"/>
      <c r="K45" s="667"/>
      <c r="L45" s="739">
        <v>10</v>
      </c>
      <c r="M45" s="740"/>
      <c r="N45" s="541"/>
      <c r="O45" s="542"/>
      <c r="P45" s="543"/>
      <c r="Q45" s="544"/>
      <c r="R45" s="666"/>
      <c r="S45" s="545"/>
      <c r="T45" s="544"/>
      <c r="U45" s="667"/>
      <c r="V45" s="181"/>
      <c r="W45" s="182"/>
      <c r="X45" s="182"/>
      <c r="Y45" s="182"/>
      <c r="Z45" s="182"/>
      <c r="AA45" s="182"/>
      <c r="AB45" s="182"/>
      <c r="AC45" s="182"/>
      <c r="AD45" s="182"/>
      <c r="AE45" s="182"/>
      <c r="AF45" s="598" t="str">
        <f>Info!A222</f>
        <v>Ventilatie Acoperis COLOSSEUM</v>
      </c>
      <c r="AG45" s="598"/>
      <c r="AH45" s="598"/>
      <c r="AI45" s="598"/>
      <c r="AJ45" s="598"/>
      <c r="AK45" s="598"/>
      <c r="AL45" s="598"/>
      <c r="AM45" s="598"/>
      <c r="AN45" s="598"/>
      <c r="AO45" s="598"/>
      <c r="AP45" s="598"/>
      <c r="AQ45" s="598"/>
      <c r="AR45" s="598"/>
      <c r="AS45" s="531"/>
      <c r="AT45" s="531"/>
      <c r="AU45" s="420"/>
      <c r="AV45" s="524" t="str">
        <f>Lang!A498</f>
        <v>Racord calcan PANORAMA</v>
      </c>
      <c r="AW45" s="525"/>
      <c r="AX45" s="525"/>
      <c r="AY45" s="525"/>
      <c r="AZ45" s="525"/>
      <c r="BA45" s="525"/>
      <c r="BB45" s="525"/>
      <c r="BC45" s="525"/>
      <c r="BD45" s="525"/>
      <c r="BE45" s="525"/>
      <c r="BF45" s="526"/>
      <c r="BG45" s="254"/>
      <c r="BH45" s="532" t="str">
        <f>Lang!A356</f>
        <v xml:space="preserve">Foarfeca circulara </v>
      </c>
      <c r="BI45" s="533"/>
      <c r="BJ45" s="533"/>
      <c r="BK45" s="533"/>
      <c r="BL45" s="534"/>
      <c r="BM45" s="288"/>
      <c r="BN45" s="274"/>
      <c r="BO45" s="690"/>
      <c r="BP45" s="691"/>
      <c r="BQ45" s="275"/>
      <c r="BR45" s="594"/>
      <c r="BS45" s="594"/>
      <c r="BT45" s="594"/>
      <c r="BU45" s="594"/>
      <c r="BV45" s="594"/>
      <c r="BW45" s="594"/>
      <c r="BX45" s="594"/>
      <c r="BY45" s="594"/>
      <c r="BZ45" s="594"/>
    </row>
    <row r="46" spans="2:78" ht="15" customHeight="1">
      <c r="B46" s="735" t="str">
        <f t="shared" si="2"/>
        <v>Atipica</v>
      </c>
      <c r="C46" s="734"/>
      <c r="D46" s="541"/>
      <c r="E46" s="542"/>
      <c r="F46" s="543"/>
      <c r="G46" s="732">
        <f t="shared" si="1"/>
        <v>0</v>
      </c>
      <c r="H46" s="733"/>
      <c r="I46" s="734"/>
      <c r="J46" s="544"/>
      <c r="K46" s="545"/>
      <c r="L46" s="763" t="str">
        <f>Lang!A56</f>
        <v>Bordura SPECIALA ZINCAT</v>
      </c>
      <c r="M46" s="764"/>
      <c r="N46" s="764"/>
      <c r="O46" s="764"/>
      <c r="P46" s="764"/>
      <c r="Q46" s="764"/>
      <c r="R46" s="764"/>
      <c r="S46" s="764"/>
      <c r="T46" s="764"/>
      <c r="U46" s="764"/>
      <c r="V46" s="764" t="s">
        <v>1660</v>
      </c>
      <c r="W46" s="764"/>
      <c r="X46" s="764"/>
      <c r="Y46" s="764"/>
      <c r="Z46" s="764"/>
      <c r="AA46" s="764"/>
      <c r="AB46" s="764"/>
      <c r="AC46" s="764"/>
      <c r="AD46" s="764"/>
      <c r="AE46" s="764"/>
      <c r="AF46" s="598" t="str">
        <f>Info!A223</f>
        <v>Ventilatie Acoperis GLADIATOR</v>
      </c>
      <c r="AG46" s="598"/>
      <c r="AH46" s="598"/>
      <c r="AI46" s="598"/>
      <c r="AJ46" s="598"/>
      <c r="AK46" s="598"/>
      <c r="AL46" s="598"/>
      <c r="AM46" s="598"/>
      <c r="AN46" s="598"/>
      <c r="AO46" s="598"/>
      <c r="AP46" s="598"/>
      <c r="AQ46" s="598"/>
      <c r="AR46" s="598"/>
      <c r="AS46" s="531"/>
      <c r="AT46" s="531"/>
      <c r="AU46" s="420"/>
      <c r="AV46" s="524" t="str">
        <f>Lang!A499</f>
        <v>Dolie PANORAMA</v>
      </c>
      <c r="AW46" s="525"/>
      <c r="AX46" s="525"/>
      <c r="AY46" s="525"/>
      <c r="AZ46" s="525"/>
      <c r="BA46" s="525"/>
      <c r="BB46" s="525"/>
      <c r="BC46" s="525"/>
      <c r="BD46" s="525"/>
      <c r="BE46" s="525"/>
      <c r="BF46" s="526"/>
      <c r="BG46" s="254"/>
      <c r="BH46" s="532" t="str">
        <f>Lang!A357</f>
        <v>Cleste falci rotunde</v>
      </c>
      <c r="BI46" s="533"/>
      <c r="BJ46" s="533"/>
      <c r="BK46" s="533"/>
      <c r="BL46" s="534"/>
      <c r="BM46" s="288"/>
      <c r="BN46" s="274"/>
      <c r="BO46" s="690"/>
      <c r="BP46" s="691"/>
      <c r="BQ46" s="275"/>
      <c r="BR46" s="594"/>
      <c r="BS46" s="594"/>
      <c r="BT46" s="594"/>
      <c r="BU46" s="594"/>
      <c r="BV46" s="594"/>
      <c r="BW46" s="594"/>
      <c r="BX46" s="594"/>
      <c r="BY46" s="594"/>
      <c r="BZ46" s="594"/>
    </row>
    <row r="47" spans="2:78" ht="15" customHeight="1">
      <c r="B47" s="735" t="str">
        <f t="shared" si="2"/>
        <v>Atipica</v>
      </c>
      <c r="C47" s="734"/>
      <c r="D47" s="541"/>
      <c r="E47" s="542"/>
      <c r="F47" s="543"/>
      <c r="G47" s="732">
        <f t="shared" si="1"/>
        <v>0</v>
      </c>
      <c r="H47" s="733"/>
      <c r="I47" s="734"/>
      <c r="J47" s="544"/>
      <c r="K47" s="545"/>
      <c r="L47" s="765"/>
      <c r="M47" s="766"/>
      <c r="N47" s="766"/>
      <c r="O47" s="766"/>
      <c r="P47" s="766"/>
      <c r="Q47" s="766"/>
      <c r="R47" s="766"/>
      <c r="S47" s="766"/>
      <c r="T47" s="766"/>
      <c r="U47" s="766"/>
      <c r="V47" s="766"/>
      <c r="W47" s="766"/>
      <c r="X47" s="766"/>
      <c r="Y47" s="766"/>
      <c r="Z47" s="766"/>
      <c r="AA47" s="766"/>
      <c r="AB47" s="766"/>
      <c r="AC47" s="766"/>
      <c r="AD47" s="766"/>
      <c r="AE47" s="766"/>
      <c r="AF47" s="598" t="str">
        <f>Info!A224</f>
        <v>Ventilatie Acoperis PLUS</v>
      </c>
      <c r="AG47" s="598"/>
      <c r="AH47" s="598"/>
      <c r="AI47" s="598"/>
      <c r="AJ47" s="598"/>
      <c r="AK47" s="598"/>
      <c r="AL47" s="598"/>
      <c r="AM47" s="598"/>
      <c r="AN47" s="598"/>
      <c r="AO47" s="598"/>
      <c r="AP47" s="598"/>
      <c r="AQ47" s="598"/>
      <c r="AR47" s="598"/>
      <c r="AS47" s="531"/>
      <c r="AT47" s="531"/>
      <c r="AU47" s="420"/>
      <c r="AV47" s="524" t="str">
        <f>Lang!A500</f>
        <v>Opritor zăpadă PANORAMA</v>
      </c>
      <c r="AW47" s="525"/>
      <c r="AX47" s="525"/>
      <c r="AY47" s="525"/>
      <c r="AZ47" s="525"/>
      <c r="BA47" s="525"/>
      <c r="BB47" s="525"/>
      <c r="BC47" s="525"/>
      <c r="BD47" s="525"/>
      <c r="BE47" s="525"/>
      <c r="BF47" s="526"/>
      <c r="BG47" s="254"/>
      <c r="BH47" s="532" t="str">
        <f>Lang!A358</f>
        <v>Cleste faltuit drept</v>
      </c>
      <c r="BI47" s="533"/>
      <c r="BJ47" s="533"/>
      <c r="BK47" s="533"/>
      <c r="BL47" s="534"/>
      <c r="BM47" s="288"/>
      <c r="BN47" s="722" t="s">
        <v>2071</v>
      </c>
      <c r="BO47" s="723"/>
      <c r="BP47" s="723"/>
      <c r="BQ47" s="724"/>
      <c r="BR47" s="594"/>
      <c r="BS47" s="594"/>
      <c r="BT47" s="594"/>
      <c r="BU47" s="594"/>
      <c r="BV47" s="594"/>
      <c r="BW47" s="594"/>
      <c r="BX47" s="594"/>
      <c r="BY47" s="594"/>
      <c r="BZ47" s="594"/>
    </row>
    <row r="48" spans="2:78" ht="15" customHeight="1" thickBot="1">
      <c r="B48" s="735" t="str">
        <f t="shared" si="2"/>
        <v>Atipica</v>
      </c>
      <c r="C48" s="734"/>
      <c r="D48" s="541"/>
      <c r="E48" s="542"/>
      <c r="F48" s="543"/>
      <c r="G48" s="732">
        <f t="shared" si="1"/>
        <v>0</v>
      </c>
      <c r="H48" s="733"/>
      <c r="I48" s="734"/>
      <c r="J48" s="544"/>
      <c r="K48" s="545"/>
      <c r="L48" s="183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98" t="str">
        <f>Info!A225</f>
        <v>Ventilatie Acoperis CARDINAL</v>
      </c>
      <c r="AG48" s="598"/>
      <c r="AH48" s="598"/>
      <c r="AI48" s="598"/>
      <c r="AJ48" s="598"/>
      <c r="AK48" s="598"/>
      <c r="AL48" s="598"/>
      <c r="AM48" s="598"/>
      <c r="AN48" s="598"/>
      <c r="AO48" s="598"/>
      <c r="AP48" s="598"/>
      <c r="AQ48" s="598"/>
      <c r="AR48" s="598"/>
      <c r="AS48" s="531"/>
      <c r="AT48" s="531"/>
      <c r="AU48" s="422">
        <f>A52</f>
        <v>2</v>
      </c>
      <c r="AV48" s="524" t="str">
        <f>Lang!A501</f>
        <v>Pazie tip 1 PANORAMA</v>
      </c>
      <c r="AW48" s="525"/>
      <c r="AX48" s="525"/>
      <c r="AY48" s="525"/>
      <c r="AZ48" s="525"/>
      <c r="BA48" s="525"/>
      <c r="BB48" s="525"/>
      <c r="BC48" s="525"/>
      <c r="BD48" s="525"/>
      <c r="BE48" s="525"/>
      <c r="BF48" s="526"/>
      <c r="BG48" s="254"/>
      <c r="BH48" s="532" t="str">
        <f>Lang!A359</f>
        <v>Cleste faltuit 45°</v>
      </c>
      <c r="BI48" s="533"/>
      <c r="BJ48" s="533"/>
      <c r="BK48" s="533"/>
      <c r="BL48" s="534"/>
      <c r="BM48" s="288"/>
      <c r="BN48" s="436" t="s">
        <v>1038</v>
      </c>
      <c r="BO48" s="713" t="s">
        <v>2072</v>
      </c>
      <c r="BP48" s="714"/>
      <c r="BQ48" s="437" t="s">
        <v>1773</v>
      </c>
      <c r="BR48" s="594"/>
      <c r="BS48" s="594"/>
      <c r="BT48" s="594"/>
      <c r="BU48" s="594"/>
      <c r="BV48" s="594"/>
      <c r="BW48" s="594"/>
      <c r="BX48" s="594"/>
      <c r="BY48" s="594"/>
      <c r="BZ48" s="594"/>
    </row>
    <row r="49" spans="1:78" ht="15" customHeight="1">
      <c r="B49" s="735" t="str">
        <f t="shared" si="2"/>
        <v>Atipica</v>
      </c>
      <c r="C49" s="734"/>
      <c r="D49" s="541"/>
      <c r="E49" s="542"/>
      <c r="F49" s="543"/>
      <c r="G49" s="732">
        <f t="shared" si="1"/>
        <v>0</v>
      </c>
      <c r="H49" s="733"/>
      <c r="I49" s="734"/>
      <c r="J49" s="544"/>
      <c r="K49" s="545"/>
      <c r="L49" s="795" t="str">
        <f>L35</f>
        <v>NR.</v>
      </c>
      <c r="M49" s="759"/>
      <c r="N49" s="753" t="str">
        <f>N35</f>
        <v>LATIME</v>
      </c>
      <c r="O49" s="753"/>
      <c r="P49" s="753"/>
      <c r="Q49" s="759" t="str">
        <f>Q35</f>
        <v>LUNGIME</v>
      </c>
      <c r="R49" s="759"/>
      <c r="S49" s="759"/>
      <c r="T49" s="759" t="str">
        <f>T35</f>
        <v>BUC</v>
      </c>
      <c r="U49" s="760"/>
      <c r="V49" s="637" t="str">
        <f>Lang!A474</f>
        <v>Specială bordură calcan BSC</v>
      </c>
      <c r="W49" s="638"/>
      <c r="X49" s="638"/>
      <c r="Y49" s="638"/>
      <c r="Z49" s="638"/>
      <c r="AA49" s="638"/>
      <c r="AB49" s="638"/>
      <c r="AC49" s="639"/>
      <c r="AD49" s="757"/>
      <c r="AE49" s="758"/>
      <c r="AF49" s="598" t="str">
        <f>Info!A226</f>
        <v>Racord flexibil aerisire</v>
      </c>
      <c r="AG49" s="598"/>
      <c r="AH49" s="598"/>
      <c r="AI49" s="598"/>
      <c r="AJ49" s="598"/>
      <c r="AK49" s="598"/>
      <c r="AL49" s="598"/>
      <c r="AM49" s="598"/>
      <c r="AN49" s="598"/>
      <c r="AO49" s="598"/>
      <c r="AP49" s="598"/>
      <c r="AQ49" s="598"/>
      <c r="AR49" s="598"/>
      <c r="AS49" s="531"/>
      <c r="AT49" s="531"/>
      <c r="AU49" s="422"/>
      <c r="AV49" s="524" t="str">
        <f>Lang!A502</f>
        <v>Pazie modulară stânga PANORAMA</v>
      </c>
      <c r="AW49" s="525"/>
      <c r="AX49" s="525"/>
      <c r="AY49" s="525"/>
      <c r="AZ49" s="525"/>
      <c r="BA49" s="525"/>
      <c r="BB49" s="525"/>
      <c r="BC49" s="525"/>
      <c r="BD49" s="525"/>
      <c r="BE49" s="525"/>
      <c r="BF49" s="526"/>
      <c r="BG49" s="254"/>
      <c r="BH49" s="532" t="str">
        <f>Lang!A360</f>
        <v>Cleste deschis falt</v>
      </c>
      <c r="BI49" s="533"/>
      <c r="BJ49" s="533"/>
      <c r="BK49" s="533"/>
      <c r="BL49" s="534"/>
      <c r="BM49" s="288"/>
      <c r="BN49" s="438" t="str">
        <f>Info!A404</f>
        <v xml:space="preserve"> </v>
      </c>
      <c r="BO49" s="570"/>
      <c r="BP49" s="571"/>
      <c r="BQ49" s="441"/>
      <c r="BR49" s="594"/>
      <c r="BS49" s="594"/>
      <c r="BT49" s="594"/>
      <c r="BU49" s="594"/>
      <c r="BV49" s="594"/>
      <c r="BW49" s="594"/>
      <c r="BX49" s="594"/>
      <c r="BY49" s="594"/>
      <c r="BZ49" s="594"/>
    </row>
    <row r="50" spans="1:78" ht="15" customHeight="1" thickBot="1">
      <c r="B50" s="790" t="str">
        <f t="shared" si="2"/>
        <v>Atipica</v>
      </c>
      <c r="C50" s="791"/>
      <c r="D50" s="772"/>
      <c r="E50" s="773"/>
      <c r="F50" s="774"/>
      <c r="G50" s="792">
        <f t="shared" si="1"/>
        <v>0</v>
      </c>
      <c r="H50" s="793"/>
      <c r="I50" s="791"/>
      <c r="J50" s="529"/>
      <c r="K50" s="674"/>
      <c r="L50" s="767" t="str">
        <f>Lang!A58</f>
        <v>Bord 1</v>
      </c>
      <c r="M50" s="767"/>
      <c r="N50" s="768"/>
      <c r="O50" s="768"/>
      <c r="P50" s="768"/>
      <c r="Q50" s="840">
        <v>2000</v>
      </c>
      <c r="R50" s="840"/>
      <c r="S50" s="840"/>
      <c r="T50" s="671"/>
      <c r="U50" s="671"/>
      <c r="V50" s="637" t="str">
        <f>Lang!A475</f>
        <v>Coamă dreaptă mare CDMA</v>
      </c>
      <c r="W50" s="638"/>
      <c r="X50" s="638"/>
      <c r="Y50" s="638"/>
      <c r="Z50" s="638"/>
      <c r="AA50" s="638"/>
      <c r="AB50" s="638"/>
      <c r="AC50" s="639"/>
      <c r="AD50" s="580"/>
      <c r="AE50" s="589"/>
      <c r="AF50" s="598" t="str">
        <f>Info!A227</f>
        <v>Manson etansare MF 1 ( 6-60mm )</v>
      </c>
      <c r="AG50" s="598"/>
      <c r="AH50" s="598"/>
      <c r="AI50" s="598"/>
      <c r="AJ50" s="598"/>
      <c r="AK50" s="598"/>
      <c r="AL50" s="598"/>
      <c r="AM50" s="598"/>
      <c r="AN50" s="598"/>
      <c r="AO50" s="598"/>
      <c r="AP50" s="598"/>
      <c r="AQ50" s="598"/>
      <c r="AR50" s="598"/>
      <c r="AS50" s="531"/>
      <c r="AT50" s="531"/>
      <c r="AU50" s="422"/>
      <c r="AV50" s="524" t="str">
        <f>Lang!A503</f>
        <v>Pazie modulară dreapta PANORAMA</v>
      </c>
      <c r="AW50" s="525"/>
      <c r="AX50" s="525"/>
      <c r="AY50" s="525"/>
      <c r="AZ50" s="525"/>
      <c r="BA50" s="525"/>
      <c r="BB50" s="525"/>
      <c r="BC50" s="525"/>
      <c r="BD50" s="525"/>
      <c r="BE50" s="525"/>
      <c r="BF50" s="526"/>
      <c r="BG50" s="254"/>
      <c r="BH50" s="532" t="str">
        <f>Lang!A361</f>
        <v>Cleste pliere</v>
      </c>
      <c r="BI50" s="533"/>
      <c r="BJ50" s="533"/>
      <c r="BK50" s="533"/>
      <c r="BL50" s="534"/>
      <c r="BM50" s="288"/>
      <c r="BN50" s="439" t="str">
        <f>Info!A405</f>
        <v xml:space="preserve"> </v>
      </c>
      <c r="BO50" s="572"/>
      <c r="BP50" s="573"/>
      <c r="BQ50" s="251"/>
      <c r="BR50" s="594"/>
      <c r="BS50" s="594"/>
      <c r="BT50" s="594"/>
      <c r="BU50" s="594"/>
      <c r="BV50" s="594"/>
      <c r="BW50" s="594"/>
      <c r="BX50" s="594"/>
      <c r="BY50" s="594"/>
      <c r="BZ50" s="594"/>
    </row>
    <row r="51" spans="1:78" ht="15" customHeight="1">
      <c r="B51" s="105">
        <f>Select!F2</f>
        <v>1</v>
      </c>
      <c r="C51" s="105"/>
      <c r="D51" s="105"/>
      <c r="E51" s="105"/>
      <c r="F51" s="105"/>
      <c r="G51" s="105"/>
      <c r="H51" s="105"/>
      <c r="I51" s="105"/>
      <c r="J51" s="105"/>
      <c r="L51" s="767" t="str">
        <f>Lang!A59</f>
        <v>Bord 2</v>
      </c>
      <c r="M51" s="767"/>
      <c r="N51" s="768"/>
      <c r="O51" s="768"/>
      <c r="P51" s="768"/>
      <c r="Q51" s="650"/>
      <c r="R51" s="650"/>
      <c r="S51" s="650"/>
      <c r="T51" s="671"/>
      <c r="U51" s="671"/>
      <c r="V51" s="637" t="str">
        <f>Lang!A476</f>
        <v>Coamă dreaptă mică CDMI</v>
      </c>
      <c r="W51" s="638"/>
      <c r="X51" s="638"/>
      <c r="Y51" s="638"/>
      <c r="Z51" s="638"/>
      <c r="AA51" s="638"/>
      <c r="AB51" s="638"/>
      <c r="AC51" s="639"/>
      <c r="AD51" s="580"/>
      <c r="AE51" s="589"/>
      <c r="AF51" s="598" t="str">
        <f>Info!A228</f>
        <v>Manson etansare MF 2 ( 32-82 mm )</v>
      </c>
      <c r="AG51" s="598"/>
      <c r="AH51" s="598"/>
      <c r="AI51" s="598"/>
      <c r="AJ51" s="598"/>
      <c r="AK51" s="598"/>
      <c r="AL51" s="598"/>
      <c r="AM51" s="598"/>
      <c r="AN51" s="598"/>
      <c r="AO51" s="598"/>
      <c r="AP51" s="598"/>
      <c r="AQ51" s="598"/>
      <c r="AR51" s="598"/>
      <c r="AS51" s="531"/>
      <c r="AT51" s="531"/>
      <c r="AU51" s="423"/>
      <c r="AV51" s="524" t="str">
        <f>Lang!A504</f>
        <v>Pazie streașină PANORAMA</v>
      </c>
      <c r="AW51" s="525"/>
      <c r="AX51" s="525"/>
      <c r="AY51" s="525"/>
      <c r="AZ51" s="525"/>
      <c r="BA51" s="525"/>
      <c r="BB51" s="525"/>
      <c r="BC51" s="525"/>
      <c r="BD51" s="525"/>
      <c r="BE51" s="525"/>
      <c r="BF51" s="526"/>
      <c r="BG51" s="254"/>
      <c r="BH51" s="532" t="str">
        <f>Lang!A362</f>
        <v>Cleste faltuit pe rotund</v>
      </c>
      <c r="BI51" s="533"/>
      <c r="BJ51" s="533"/>
      <c r="BK51" s="533"/>
      <c r="BL51" s="534"/>
      <c r="BM51" s="288"/>
      <c r="BN51" s="439" t="str">
        <f>BN50</f>
        <v xml:space="preserve"> </v>
      </c>
      <c r="BO51" s="565"/>
      <c r="BP51" s="566"/>
      <c r="BQ51" s="442"/>
      <c r="BR51" s="594"/>
      <c r="BS51" s="594"/>
      <c r="BT51" s="594"/>
      <c r="BU51" s="594"/>
      <c r="BV51" s="594"/>
      <c r="BW51" s="594"/>
      <c r="BX51" s="594"/>
      <c r="BY51" s="594"/>
      <c r="BZ51" s="594"/>
    </row>
    <row r="52" spans="1:78" ht="15" customHeight="1" thickBot="1">
      <c r="A52" s="794">
        <v>2</v>
      </c>
      <c r="B52" s="794"/>
      <c r="C52" s="794"/>
      <c r="D52" s="794"/>
      <c r="E52" s="794"/>
      <c r="F52" s="794"/>
      <c r="G52" s="794"/>
      <c r="H52" s="794"/>
      <c r="I52" s="794"/>
      <c r="J52" s="794"/>
      <c r="K52" s="794"/>
      <c r="L52" s="767" t="str">
        <f>Lang!A60</f>
        <v>Bord 3</v>
      </c>
      <c r="M52" s="767"/>
      <c r="N52" s="768"/>
      <c r="O52" s="768"/>
      <c r="P52" s="768"/>
      <c r="Q52" s="650"/>
      <c r="R52" s="650"/>
      <c r="S52" s="650"/>
      <c r="T52" s="671"/>
      <c r="U52" s="671"/>
      <c r="V52" s="637" t="str">
        <f>Lang!A477</f>
        <v>Coamă rotundă mică CR</v>
      </c>
      <c r="W52" s="638"/>
      <c r="X52" s="638"/>
      <c r="Y52" s="638"/>
      <c r="Z52" s="638"/>
      <c r="AA52" s="638"/>
      <c r="AB52" s="638"/>
      <c r="AC52" s="639"/>
      <c r="AD52" s="580"/>
      <c r="AE52" s="589"/>
      <c r="AF52" s="598" t="str">
        <f>Info!A229</f>
        <v>Manson etansare MF 3 ( 6-110 mm)</v>
      </c>
      <c r="AG52" s="598"/>
      <c r="AH52" s="598"/>
      <c r="AI52" s="598"/>
      <c r="AJ52" s="598"/>
      <c r="AK52" s="598"/>
      <c r="AL52" s="598"/>
      <c r="AM52" s="598"/>
      <c r="AN52" s="598"/>
      <c r="AO52" s="598"/>
      <c r="AP52" s="598"/>
      <c r="AQ52" s="598"/>
      <c r="AR52" s="598"/>
      <c r="AS52" s="531"/>
      <c r="AT52" s="531"/>
      <c r="AU52" s="423"/>
      <c r="AV52" s="524" t="str">
        <f>Lang!A505</f>
        <v>Parazăpadă ranforsată PANORAMA</v>
      </c>
      <c r="AW52" s="525"/>
      <c r="AX52" s="525"/>
      <c r="AY52" s="525"/>
      <c r="AZ52" s="525"/>
      <c r="BA52" s="525"/>
      <c r="BB52" s="525"/>
      <c r="BC52" s="525"/>
      <c r="BD52" s="525"/>
      <c r="BE52" s="525"/>
      <c r="BF52" s="526"/>
      <c r="BG52" s="254"/>
      <c r="BH52" s="532" t="str">
        <f>Lang!A363</f>
        <v>Prisma teflon cu praguri</v>
      </c>
      <c r="BI52" s="533"/>
      <c r="BJ52" s="533"/>
      <c r="BK52" s="533"/>
      <c r="BL52" s="534"/>
      <c r="BM52" s="288"/>
      <c r="BN52" s="440" t="str">
        <f>Info!A406</f>
        <v xml:space="preserve"> </v>
      </c>
      <c r="BO52" s="567"/>
      <c r="BP52" s="567"/>
      <c r="BQ52" s="252"/>
      <c r="BR52" s="594"/>
      <c r="BS52" s="594"/>
      <c r="BT52" s="594"/>
      <c r="BU52" s="594"/>
      <c r="BV52" s="594"/>
      <c r="BW52" s="594"/>
      <c r="BX52" s="594"/>
      <c r="BY52" s="594"/>
      <c r="BZ52" s="594"/>
    </row>
    <row r="53" spans="1:78" ht="15" customHeight="1">
      <c r="A53" s="794"/>
      <c r="B53" s="794"/>
      <c r="C53" s="794"/>
      <c r="D53" s="794"/>
      <c r="E53" s="794"/>
      <c r="F53" s="794"/>
      <c r="G53" s="794"/>
      <c r="H53" s="794"/>
      <c r="I53" s="794"/>
      <c r="J53" s="794"/>
      <c r="K53" s="794"/>
      <c r="L53" s="767" t="str">
        <f>Lang!A61</f>
        <v>Bord 4</v>
      </c>
      <c r="M53" s="767"/>
      <c r="N53" s="768"/>
      <c r="O53" s="768"/>
      <c r="P53" s="768"/>
      <c r="Q53" s="650"/>
      <c r="R53" s="650"/>
      <c r="S53" s="650"/>
      <c r="T53" s="671"/>
      <c r="U53" s="671"/>
      <c r="V53" s="637" t="str">
        <f>Lang!A478</f>
        <v>Coamă rotundă mare CRMA</v>
      </c>
      <c r="W53" s="638"/>
      <c r="X53" s="638"/>
      <c r="Y53" s="638"/>
      <c r="Z53" s="638"/>
      <c r="AA53" s="638"/>
      <c r="AB53" s="638"/>
      <c r="AC53" s="639"/>
      <c r="AD53" s="580"/>
      <c r="AE53" s="589"/>
      <c r="AF53" s="598" t="str">
        <f>Info!A230</f>
        <v>Manson etansare MF 4 ( 75-150mm )</v>
      </c>
      <c r="AG53" s="598"/>
      <c r="AH53" s="598"/>
      <c r="AI53" s="598"/>
      <c r="AJ53" s="598"/>
      <c r="AK53" s="598"/>
      <c r="AL53" s="598"/>
      <c r="AM53" s="598"/>
      <c r="AN53" s="598"/>
      <c r="AO53" s="598"/>
      <c r="AP53" s="598"/>
      <c r="AQ53" s="598"/>
      <c r="AR53" s="598"/>
      <c r="AS53" s="531"/>
      <c r="AT53" s="531"/>
      <c r="AU53" s="423"/>
      <c r="AV53" s="524" t="str">
        <f>Lang!A506</f>
        <v>Șort rupere SRA PANORAMA</v>
      </c>
      <c r="AW53" s="525"/>
      <c r="AX53" s="525"/>
      <c r="AY53" s="525"/>
      <c r="AZ53" s="525"/>
      <c r="BA53" s="525"/>
      <c r="BB53" s="525"/>
      <c r="BC53" s="525"/>
      <c r="BD53" s="525"/>
      <c r="BE53" s="525"/>
      <c r="BF53" s="526"/>
      <c r="BG53" s="254"/>
      <c r="BH53" s="532" t="str">
        <f>Lang!A364</f>
        <v>Ciocan teflon tip pana</v>
      </c>
      <c r="BI53" s="533"/>
      <c r="BJ53" s="533"/>
      <c r="BK53" s="533"/>
      <c r="BL53" s="534"/>
      <c r="BM53" s="288"/>
      <c r="BN53" s="491" t="str">
        <f>BN49</f>
        <v xml:space="preserve"> </v>
      </c>
      <c r="BO53" s="720"/>
      <c r="BP53" s="721"/>
      <c r="BQ53" s="492"/>
      <c r="BR53" s="594"/>
      <c r="BS53" s="594"/>
      <c r="BT53" s="594"/>
      <c r="BU53" s="594"/>
      <c r="BV53" s="594"/>
      <c r="BW53" s="594"/>
      <c r="BX53" s="594"/>
      <c r="BY53" s="594"/>
      <c r="BZ53" s="594"/>
    </row>
    <row r="54" spans="1:78" ht="15" customHeight="1">
      <c r="A54" s="794"/>
      <c r="B54" s="794"/>
      <c r="C54" s="794"/>
      <c r="D54" s="794"/>
      <c r="E54" s="794"/>
      <c r="F54" s="794"/>
      <c r="G54" s="794"/>
      <c r="H54" s="794"/>
      <c r="I54" s="794"/>
      <c r="J54" s="794"/>
      <c r="K54" s="794"/>
      <c r="L54" s="767" t="str">
        <f>Lang!A62</f>
        <v>Bord 5</v>
      </c>
      <c r="M54" s="767"/>
      <c r="N54" s="768"/>
      <c r="O54" s="768"/>
      <c r="P54" s="768"/>
      <c r="Q54" s="650"/>
      <c r="R54" s="650"/>
      <c r="S54" s="650"/>
      <c r="T54" s="671"/>
      <c r="U54" s="671"/>
      <c r="V54" s="637" t="str">
        <f>Lang!A479</f>
        <v>Colector fronton CF</v>
      </c>
      <c r="W54" s="638"/>
      <c r="X54" s="638"/>
      <c r="Y54" s="638"/>
      <c r="Z54" s="638"/>
      <c r="AA54" s="638"/>
      <c r="AB54" s="638"/>
      <c r="AC54" s="639"/>
      <c r="AD54" s="580"/>
      <c r="AE54" s="589"/>
      <c r="AF54" s="598" t="str">
        <f>Info!A231</f>
        <v>Manson etansare MF 5 ( 102-175mm )</v>
      </c>
      <c r="AG54" s="598"/>
      <c r="AH54" s="598"/>
      <c r="AI54" s="598"/>
      <c r="AJ54" s="598"/>
      <c r="AK54" s="598"/>
      <c r="AL54" s="598"/>
      <c r="AM54" s="598"/>
      <c r="AN54" s="598"/>
      <c r="AO54" s="598"/>
      <c r="AP54" s="598"/>
      <c r="AQ54" s="598"/>
      <c r="AR54" s="598"/>
      <c r="AS54" s="531"/>
      <c r="AT54" s="531"/>
      <c r="AU54" s="423"/>
      <c r="AV54" s="524" t="str">
        <f>Lang!A507</f>
        <v>Șort rupere vertical SRV PANORAMA</v>
      </c>
      <c r="AW54" s="525"/>
      <c r="AX54" s="525"/>
      <c r="AY54" s="525"/>
      <c r="AZ54" s="525"/>
      <c r="BA54" s="525"/>
      <c r="BB54" s="525"/>
      <c r="BC54" s="525"/>
      <c r="BD54" s="525"/>
      <c r="BE54" s="525"/>
      <c r="BF54" s="526"/>
      <c r="BG54" s="254"/>
      <c r="BH54" s="532" t="str">
        <f>Lang!A365</f>
        <v>Ciocan teflon rectangular</v>
      </c>
      <c r="BI54" s="533"/>
      <c r="BJ54" s="533"/>
      <c r="BK54" s="533"/>
      <c r="BL54" s="534"/>
      <c r="BM54" s="288"/>
      <c r="BN54" s="439" t="str">
        <f>BN50</f>
        <v xml:space="preserve"> </v>
      </c>
      <c r="BO54" s="572"/>
      <c r="BP54" s="573"/>
      <c r="BQ54" s="251"/>
      <c r="BR54" s="594"/>
      <c r="BS54" s="594"/>
      <c r="BT54" s="594"/>
      <c r="BU54" s="594"/>
      <c r="BV54" s="594"/>
      <c r="BW54" s="594"/>
      <c r="BX54" s="594"/>
      <c r="BY54" s="594"/>
      <c r="BZ54" s="594"/>
    </row>
    <row r="55" spans="1:78" ht="15" customHeight="1">
      <c r="A55" s="794"/>
      <c r="B55" s="794"/>
      <c r="C55" s="794"/>
      <c r="D55" s="794"/>
      <c r="E55" s="794"/>
      <c r="F55" s="794"/>
      <c r="G55" s="794"/>
      <c r="H55" s="794"/>
      <c r="I55" s="794"/>
      <c r="J55" s="794"/>
      <c r="K55" s="794"/>
      <c r="L55" s="767" t="str">
        <f>Lang!A63</f>
        <v>Bord 6</v>
      </c>
      <c r="M55" s="767"/>
      <c r="N55" s="768"/>
      <c r="O55" s="768"/>
      <c r="P55" s="768"/>
      <c r="Q55" s="650"/>
      <c r="R55" s="650"/>
      <c r="S55" s="650"/>
      <c r="T55" s="671"/>
      <c r="U55" s="671"/>
      <c r="V55" s="637" t="str">
        <f>Lang!A480</f>
        <v>Racord calcan</v>
      </c>
      <c r="W55" s="638"/>
      <c r="X55" s="638"/>
      <c r="Y55" s="638"/>
      <c r="Z55" s="638"/>
      <c r="AA55" s="638"/>
      <c r="AB55" s="638"/>
      <c r="AC55" s="639"/>
      <c r="AD55" s="580"/>
      <c r="AE55" s="589"/>
      <c r="AF55" s="598" t="str">
        <f>Info!A232</f>
        <v>Manson etansare MF 6 ( 125-230mm )</v>
      </c>
      <c r="AG55" s="598"/>
      <c r="AH55" s="598"/>
      <c r="AI55" s="598"/>
      <c r="AJ55" s="598"/>
      <c r="AK55" s="598"/>
      <c r="AL55" s="598"/>
      <c r="AM55" s="598"/>
      <c r="AN55" s="598"/>
      <c r="AO55" s="598"/>
      <c r="AP55" s="598"/>
      <c r="AQ55" s="598"/>
      <c r="AR55" s="598"/>
      <c r="AS55" s="650"/>
      <c r="AT55" s="650"/>
      <c r="AU55" s="423">
        <f>AU48</f>
        <v>2</v>
      </c>
      <c r="AV55" s="524" t="str">
        <f>Lang!A508</f>
        <v>Șort streașină PANORAMA</v>
      </c>
      <c r="AW55" s="525"/>
      <c r="AX55" s="525"/>
      <c r="AY55" s="525"/>
      <c r="AZ55" s="525"/>
      <c r="BA55" s="525"/>
      <c r="BB55" s="525"/>
      <c r="BC55" s="525"/>
      <c r="BD55" s="525"/>
      <c r="BE55" s="525"/>
      <c r="BF55" s="526"/>
      <c r="BG55" s="254"/>
      <c r="BH55" s="532" t="str">
        <f>Lang!A366</f>
        <v>Ciocan rotund</v>
      </c>
      <c r="BI55" s="533"/>
      <c r="BJ55" s="533"/>
      <c r="BK55" s="533"/>
      <c r="BL55" s="534"/>
      <c r="BM55" s="288"/>
      <c r="BN55" s="439" t="str">
        <f>BN54</f>
        <v xml:space="preserve"> </v>
      </c>
      <c r="BO55" s="565"/>
      <c r="BP55" s="566"/>
      <c r="BQ55" s="442"/>
      <c r="BR55" s="594"/>
      <c r="BS55" s="594"/>
      <c r="BT55" s="594"/>
      <c r="BU55" s="594"/>
      <c r="BV55" s="594"/>
      <c r="BW55" s="594"/>
      <c r="BX55" s="594"/>
      <c r="BY55" s="594"/>
      <c r="BZ55" s="594"/>
    </row>
    <row r="56" spans="1:78" ht="15" customHeight="1" thickBot="1">
      <c r="A56" s="794"/>
      <c r="B56" s="794"/>
      <c r="C56" s="794"/>
      <c r="D56" s="794"/>
      <c r="E56" s="794"/>
      <c r="F56" s="794"/>
      <c r="G56" s="794"/>
      <c r="H56" s="794"/>
      <c r="I56" s="794"/>
      <c r="J56" s="794"/>
      <c r="K56" s="794"/>
      <c r="L56" s="767" t="str">
        <f>Lang!A64</f>
        <v>Bord 7</v>
      </c>
      <c r="M56" s="767"/>
      <c r="N56" s="768"/>
      <c r="O56" s="768"/>
      <c r="P56" s="768"/>
      <c r="Q56" s="650"/>
      <c r="R56" s="650"/>
      <c r="S56" s="650"/>
      <c r="T56" s="671"/>
      <c r="U56" s="671"/>
      <c r="V56" s="637" t="str">
        <f>Lang!A481</f>
        <v>Dolie DO</v>
      </c>
      <c r="W56" s="638"/>
      <c r="X56" s="638"/>
      <c r="Y56" s="638"/>
      <c r="Z56" s="638"/>
      <c r="AA56" s="638"/>
      <c r="AB56" s="638"/>
      <c r="AC56" s="639"/>
      <c r="AD56" s="580"/>
      <c r="AE56" s="589"/>
      <c r="AF56" s="598" t="str">
        <f>Info!A233</f>
        <v>Manson etansare MF 8(175-330)</v>
      </c>
      <c r="AG56" s="598"/>
      <c r="AH56" s="598"/>
      <c r="AI56" s="598"/>
      <c r="AJ56" s="598"/>
      <c r="AK56" s="598"/>
      <c r="AL56" s="598"/>
      <c r="AM56" s="598"/>
      <c r="AN56" s="598"/>
      <c r="AO56" s="598"/>
      <c r="AP56" s="598"/>
      <c r="AQ56" s="598"/>
      <c r="AR56" s="598"/>
      <c r="AS56" s="650"/>
      <c r="AT56" s="650"/>
      <c r="AU56" s="423"/>
      <c r="AV56" s="524" t="str">
        <f>Lang!A509</f>
        <v>Set coș fum PANORAMA</v>
      </c>
      <c r="AW56" s="525"/>
      <c r="AX56" s="525"/>
      <c r="AY56" s="525"/>
      <c r="AZ56" s="525"/>
      <c r="BA56" s="525"/>
      <c r="BB56" s="525"/>
      <c r="BC56" s="525"/>
      <c r="BD56" s="525"/>
      <c r="BE56" s="525"/>
      <c r="BF56" s="526"/>
      <c r="BG56" s="254"/>
      <c r="BH56" s="532" t="str">
        <f>Lang!A367</f>
        <v>Trasator gradat</v>
      </c>
      <c r="BI56" s="533"/>
      <c r="BJ56" s="533"/>
      <c r="BK56" s="533"/>
      <c r="BL56" s="534"/>
      <c r="BM56" s="479"/>
      <c r="BN56" s="440" t="str">
        <f>BN52</f>
        <v xml:space="preserve"> </v>
      </c>
      <c r="BO56" s="567"/>
      <c r="BP56" s="567"/>
      <c r="BQ56" s="252"/>
      <c r="BR56" s="594"/>
      <c r="BS56" s="594"/>
      <c r="BT56" s="594"/>
      <c r="BU56" s="594"/>
      <c r="BV56" s="594"/>
      <c r="BW56" s="594"/>
      <c r="BX56" s="594"/>
      <c r="BY56" s="594"/>
      <c r="BZ56" s="594"/>
    </row>
    <row r="57" spans="1:78" ht="15" customHeight="1">
      <c r="A57" s="794"/>
      <c r="B57" s="794"/>
      <c r="C57" s="794"/>
      <c r="D57" s="794"/>
      <c r="E57" s="794"/>
      <c r="F57" s="794"/>
      <c r="G57" s="794"/>
      <c r="H57" s="794"/>
      <c r="I57" s="794"/>
      <c r="J57" s="794"/>
      <c r="K57" s="794"/>
      <c r="L57" s="767" t="str">
        <f>Lang!A65</f>
        <v>Bord 8</v>
      </c>
      <c r="M57" s="767"/>
      <c r="N57" s="768"/>
      <c r="O57" s="768"/>
      <c r="P57" s="768"/>
      <c r="Q57" s="650"/>
      <c r="R57" s="650"/>
      <c r="S57" s="650"/>
      <c r="T57" s="671"/>
      <c r="U57" s="671"/>
      <c r="V57" s="637" t="str">
        <f>Lang!A482</f>
        <v>Pazie tip 1 PAZ 1</v>
      </c>
      <c r="W57" s="638"/>
      <c r="X57" s="638"/>
      <c r="Y57" s="638"/>
      <c r="Z57" s="638"/>
      <c r="AA57" s="638"/>
      <c r="AB57" s="638"/>
      <c r="AC57" s="639"/>
      <c r="AD57" s="580"/>
      <c r="AE57" s="589"/>
      <c r="AF57" s="598" t="str">
        <f>Info!A234</f>
        <v>Manson etansare MF 9(240-475)</v>
      </c>
      <c r="AG57" s="598"/>
      <c r="AH57" s="598"/>
      <c r="AI57" s="598"/>
      <c r="AJ57" s="598"/>
      <c r="AK57" s="598"/>
      <c r="AL57" s="598"/>
      <c r="AM57" s="598"/>
      <c r="AN57" s="598"/>
      <c r="AO57" s="598"/>
      <c r="AP57" s="598"/>
      <c r="AQ57" s="598"/>
      <c r="AR57" s="598"/>
      <c r="AS57" s="650"/>
      <c r="AT57" s="650"/>
      <c r="AU57" s="423"/>
      <c r="AV57" s="549" t="str">
        <f>Lang!A510</f>
        <v>Șurub cap torx 4,8x20 RAL 250 buc/cutie RAL:</v>
      </c>
      <c r="AW57" s="550"/>
      <c r="AX57" s="550"/>
      <c r="AY57" s="550"/>
      <c r="AZ57" s="550"/>
      <c r="BA57" s="550"/>
      <c r="BB57" s="550"/>
      <c r="BC57" s="550"/>
      <c r="BD57" s="551"/>
      <c r="BE57" s="552"/>
      <c r="BF57" s="552"/>
      <c r="BG57" s="254"/>
      <c r="BH57" s="532" t="str">
        <f>Lang!A368</f>
        <v>Faltuitor streasina</v>
      </c>
      <c r="BI57" s="533"/>
      <c r="BJ57" s="533"/>
      <c r="BK57" s="533"/>
      <c r="BL57" s="534"/>
      <c r="BM57" s="288"/>
      <c r="BN57" s="438" t="str">
        <f>BN53</f>
        <v xml:space="preserve"> </v>
      </c>
      <c r="BO57" s="570"/>
      <c r="BP57" s="571"/>
      <c r="BQ57" s="441"/>
      <c r="BR57" s="594"/>
      <c r="BS57" s="594"/>
      <c r="BT57" s="594"/>
      <c r="BU57" s="594"/>
      <c r="BV57" s="594"/>
      <c r="BW57" s="594"/>
      <c r="BX57" s="594"/>
      <c r="BY57" s="594"/>
      <c r="BZ57" s="594"/>
    </row>
    <row r="58" spans="1:78" ht="15" customHeight="1">
      <c r="A58" s="794"/>
      <c r="B58" s="794"/>
      <c r="C58" s="794"/>
      <c r="D58" s="794"/>
      <c r="E58" s="794"/>
      <c r="F58" s="794"/>
      <c r="G58" s="794"/>
      <c r="H58" s="794"/>
      <c r="I58" s="794"/>
      <c r="J58" s="794"/>
      <c r="K58" s="794"/>
      <c r="L58" s="767" t="str">
        <f>Lang!A66</f>
        <v>Bord 9</v>
      </c>
      <c r="M58" s="767"/>
      <c r="N58" s="768"/>
      <c r="O58" s="768"/>
      <c r="P58" s="768"/>
      <c r="Q58" s="650"/>
      <c r="R58" s="650"/>
      <c r="S58" s="650"/>
      <c r="T58" s="671"/>
      <c r="U58" s="671"/>
      <c r="V58" s="637" t="str">
        <f>Lang!A483</f>
        <v>Pazie streașină PAZS</v>
      </c>
      <c r="W58" s="638"/>
      <c r="X58" s="638"/>
      <c r="Y58" s="638"/>
      <c r="Z58" s="638"/>
      <c r="AA58" s="638"/>
      <c r="AB58" s="638"/>
      <c r="AC58" s="639"/>
      <c r="AD58" s="580"/>
      <c r="AE58" s="581"/>
      <c r="AF58" s="598" t="str">
        <f>Info!A235</f>
        <v>Banda etansare JIS 35 NEGATIV</v>
      </c>
      <c r="AG58" s="598"/>
      <c r="AH58" s="598"/>
      <c r="AI58" s="598"/>
      <c r="AJ58" s="598"/>
      <c r="AK58" s="598"/>
      <c r="AL58" s="598"/>
      <c r="AM58" s="598"/>
      <c r="AN58" s="598"/>
      <c r="AO58" s="598"/>
      <c r="AP58" s="598"/>
      <c r="AQ58" s="598"/>
      <c r="AR58" s="598"/>
      <c r="AS58" s="544"/>
      <c r="AT58" s="667"/>
      <c r="AU58" s="106"/>
      <c r="AV58" s="549" t="str">
        <f>Lang!A511</f>
        <v>Șurub cap torx 4,8x35 RAL 250 buc/cutie RAL:</v>
      </c>
      <c r="AW58" s="550"/>
      <c r="AX58" s="550"/>
      <c r="AY58" s="550"/>
      <c r="AZ58" s="550"/>
      <c r="BA58" s="550"/>
      <c r="BB58" s="550"/>
      <c r="BC58" s="550"/>
      <c r="BD58" s="551"/>
      <c r="BE58" s="552"/>
      <c r="BF58" s="552"/>
      <c r="BG58" s="254"/>
      <c r="BH58" s="532" t="str">
        <f>Lang!A369</f>
        <v>Inchizator falt simplu</v>
      </c>
      <c r="BI58" s="533"/>
      <c r="BJ58" s="533"/>
      <c r="BK58" s="533"/>
      <c r="BL58" s="534"/>
      <c r="BM58" s="288"/>
      <c r="BN58" s="439" t="str">
        <f>BN54</f>
        <v xml:space="preserve"> </v>
      </c>
      <c r="BO58" s="572"/>
      <c r="BP58" s="573"/>
      <c r="BQ58" s="251"/>
      <c r="BR58" s="594"/>
      <c r="BS58" s="594"/>
      <c r="BT58" s="594"/>
      <c r="BU58" s="594"/>
      <c r="BV58" s="594"/>
      <c r="BW58" s="594"/>
      <c r="BX58" s="594"/>
      <c r="BY58" s="594"/>
      <c r="BZ58" s="594"/>
    </row>
    <row r="59" spans="1:78" ht="15" customHeight="1">
      <c r="A59" s="794"/>
      <c r="B59" s="794"/>
      <c r="C59" s="794"/>
      <c r="D59" s="794"/>
      <c r="E59" s="794"/>
      <c r="F59" s="794"/>
      <c r="G59" s="794"/>
      <c r="H59" s="794"/>
      <c r="I59" s="794"/>
      <c r="J59" s="794"/>
      <c r="K59" s="794"/>
      <c r="L59" s="767" t="str">
        <f>Lang!A67</f>
        <v>Bord 10</v>
      </c>
      <c r="M59" s="767"/>
      <c r="N59" s="768"/>
      <c r="O59" s="768"/>
      <c r="P59" s="768"/>
      <c r="Q59" s="650"/>
      <c r="R59" s="650"/>
      <c r="S59" s="650"/>
      <c r="T59" s="671"/>
      <c r="U59" s="671"/>
      <c r="V59" s="637" t="str">
        <f>Lang!A484</f>
        <v>Parazăpadă ranforsată PRZS</v>
      </c>
      <c r="W59" s="638"/>
      <c r="X59" s="638"/>
      <c r="Y59" s="638"/>
      <c r="Z59" s="638"/>
      <c r="AA59" s="638"/>
      <c r="AB59" s="638"/>
      <c r="AC59" s="639"/>
      <c r="AD59" s="580"/>
      <c r="AE59" s="581"/>
      <c r="AF59" s="598" t="str">
        <f>Info!A236</f>
        <v>Banda etansare JIS 45 NEGATIV</v>
      </c>
      <c r="AG59" s="598"/>
      <c r="AH59" s="598"/>
      <c r="AI59" s="598"/>
      <c r="AJ59" s="598"/>
      <c r="AK59" s="598"/>
      <c r="AL59" s="598"/>
      <c r="AM59" s="598"/>
      <c r="AN59" s="598"/>
      <c r="AO59" s="598"/>
      <c r="AP59" s="598"/>
      <c r="AQ59" s="598"/>
      <c r="AR59" s="598"/>
      <c r="AS59" s="544"/>
      <c r="AT59" s="667"/>
      <c r="AU59" s="106"/>
      <c r="AV59" s="535" t="str">
        <f>Lang!A512</f>
        <v>B. Specială Pan. Lățime x 2000</v>
      </c>
      <c r="AW59" s="536"/>
      <c r="AX59" s="536"/>
      <c r="AY59" s="536"/>
      <c r="AZ59" s="537"/>
      <c r="BA59" s="586"/>
      <c r="BB59" s="587"/>
      <c r="BC59" s="587"/>
      <c r="BD59" s="588"/>
      <c r="BE59" s="535">
        <v>2000</v>
      </c>
      <c r="BF59" s="537"/>
      <c r="BG59" s="285"/>
      <c r="BH59" s="532" t="str">
        <f>Lang!A370</f>
        <v>Inchizator falt dublu</v>
      </c>
      <c r="BI59" s="533"/>
      <c r="BJ59" s="533"/>
      <c r="BK59" s="533"/>
      <c r="BL59" s="534"/>
      <c r="BM59" s="288"/>
      <c r="BN59" s="439" t="str">
        <f>BN58</f>
        <v xml:space="preserve"> </v>
      </c>
      <c r="BO59" s="565"/>
      <c r="BP59" s="566"/>
      <c r="BQ59" s="442"/>
      <c r="BR59" s="594"/>
      <c r="BS59" s="594"/>
      <c r="BT59" s="594"/>
      <c r="BU59" s="594"/>
      <c r="BV59" s="594"/>
      <c r="BW59" s="594"/>
      <c r="BX59" s="594"/>
      <c r="BY59" s="594"/>
      <c r="BZ59" s="594"/>
    </row>
    <row r="60" spans="1:78" ht="15" customHeight="1" thickBot="1">
      <c r="A60" s="794"/>
      <c r="B60" s="794"/>
      <c r="C60" s="794"/>
      <c r="D60" s="794"/>
      <c r="E60" s="794"/>
      <c r="F60" s="794"/>
      <c r="G60" s="794"/>
      <c r="H60" s="794"/>
      <c r="I60" s="794"/>
      <c r="J60" s="794"/>
      <c r="K60" s="794"/>
      <c r="L60" s="775"/>
      <c r="M60" s="775"/>
      <c r="N60" s="769"/>
      <c r="O60" s="769"/>
      <c r="P60" s="769"/>
      <c r="Q60" s="769"/>
      <c r="R60" s="769"/>
      <c r="S60" s="769"/>
      <c r="T60" s="769"/>
      <c r="U60" s="769"/>
      <c r="V60" s="637" t="str">
        <f>Lang!A485</f>
        <v>Rupere pantă interior</v>
      </c>
      <c r="W60" s="638"/>
      <c r="X60" s="638"/>
      <c r="Y60" s="638"/>
      <c r="Z60" s="638"/>
      <c r="AA60" s="638"/>
      <c r="AB60" s="638"/>
      <c r="AC60" s="639"/>
      <c r="AD60" s="580"/>
      <c r="AE60" s="581"/>
      <c r="AF60" s="841"/>
      <c r="AG60" s="842"/>
      <c r="AH60" s="842"/>
      <c r="AI60" s="842"/>
      <c r="AJ60" s="842"/>
      <c r="AK60" s="842"/>
      <c r="AL60" s="842"/>
      <c r="AM60" s="842"/>
      <c r="AN60" s="842"/>
      <c r="AO60" s="842"/>
      <c r="AP60" s="842"/>
      <c r="AQ60" s="842"/>
      <c r="AR60" s="843"/>
      <c r="AS60" s="544"/>
      <c r="AT60" s="667"/>
      <c r="AU60" s="106"/>
      <c r="AV60" s="535" t="str">
        <f>AV59</f>
        <v>B. Specială Pan. Lățime x 2000</v>
      </c>
      <c r="AW60" s="536"/>
      <c r="AX60" s="536"/>
      <c r="AY60" s="536"/>
      <c r="AZ60" s="537"/>
      <c r="BA60" s="586"/>
      <c r="BB60" s="587"/>
      <c r="BC60" s="587"/>
      <c r="BD60" s="588"/>
      <c r="BE60" s="535">
        <v>2000</v>
      </c>
      <c r="BF60" s="537"/>
      <c r="BG60" s="285"/>
      <c r="BH60" s="532" t="str">
        <f>Lang!A371</f>
        <v>Prisma curbata</v>
      </c>
      <c r="BI60" s="533"/>
      <c r="BJ60" s="533"/>
      <c r="BK60" s="533"/>
      <c r="BL60" s="534"/>
      <c r="BM60" s="288"/>
      <c r="BN60" s="440" t="str">
        <f>BN56</f>
        <v xml:space="preserve"> </v>
      </c>
      <c r="BO60" s="567"/>
      <c r="BP60" s="567"/>
      <c r="BQ60" s="252"/>
      <c r="BR60" s="594"/>
      <c r="BS60" s="594"/>
      <c r="BT60" s="594"/>
      <c r="BU60" s="594"/>
      <c r="BV60" s="594"/>
      <c r="BW60" s="594"/>
      <c r="BX60" s="594"/>
      <c r="BY60" s="594"/>
      <c r="BZ60" s="594"/>
    </row>
    <row r="61" spans="1:78" ht="15" customHeight="1">
      <c r="A61" s="794"/>
      <c r="B61" s="794"/>
      <c r="C61" s="794"/>
      <c r="D61" s="794"/>
      <c r="E61" s="794"/>
      <c r="F61" s="794"/>
      <c r="G61" s="794"/>
      <c r="H61" s="794"/>
      <c r="I61" s="794"/>
      <c r="J61" s="794"/>
      <c r="K61" s="794"/>
      <c r="L61" s="105"/>
      <c r="M61" s="105"/>
      <c r="N61" s="769"/>
      <c r="O61" s="769"/>
      <c r="P61" s="769"/>
      <c r="Q61" s="769"/>
      <c r="R61" s="769"/>
      <c r="S61" s="769"/>
      <c r="T61" s="769"/>
      <c r="U61" s="769"/>
      <c r="V61" s="637" t="str">
        <f>Lang!A486</f>
        <v>Șort rupere perete vertical SRV</v>
      </c>
      <c r="W61" s="638"/>
      <c r="X61" s="638"/>
      <c r="Y61" s="638"/>
      <c r="Z61" s="638"/>
      <c r="AA61" s="638"/>
      <c r="AB61" s="638"/>
      <c r="AC61" s="639"/>
      <c r="AD61" s="580"/>
      <c r="AE61" s="581"/>
      <c r="AF61" s="841"/>
      <c r="AG61" s="842"/>
      <c r="AH61" s="842"/>
      <c r="AI61" s="842"/>
      <c r="AJ61" s="842"/>
      <c r="AK61" s="842"/>
      <c r="AL61" s="842"/>
      <c r="AM61" s="842"/>
      <c r="AN61" s="842"/>
      <c r="AO61" s="842"/>
      <c r="AP61" s="842"/>
      <c r="AQ61" s="842"/>
      <c r="AR61" s="843"/>
      <c r="AS61" s="544"/>
      <c r="AT61" s="667"/>
      <c r="AU61" s="106"/>
      <c r="AV61" s="535" t="str">
        <f>AV60</f>
        <v>B. Specială Pan. Lățime x 2000</v>
      </c>
      <c r="AW61" s="536"/>
      <c r="AX61" s="536"/>
      <c r="AY61" s="536"/>
      <c r="AZ61" s="537"/>
      <c r="BA61" s="586"/>
      <c r="BB61" s="587"/>
      <c r="BC61" s="587"/>
      <c r="BD61" s="588"/>
      <c r="BE61" s="535">
        <v>2000</v>
      </c>
      <c r="BF61" s="537"/>
      <c r="BG61" s="285"/>
      <c r="BH61" s="532" t="str">
        <f>Lang!A372</f>
        <v>Ham munca</v>
      </c>
      <c r="BI61" s="533"/>
      <c r="BJ61" s="533"/>
      <c r="BK61" s="533"/>
      <c r="BL61" s="534"/>
      <c r="BM61" s="288"/>
      <c r="BN61" s="438" t="str">
        <f>BN57</f>
        <v xml:space="preserve"> </v>
      </c>
      <c r="BO61" s="570"/>
      <c r="BP61" s="571"/>
      <c r="BQ61" s="441"/>
      <c r="BR61" s="594"/>
      <c r="BS61" s="594"/>
      <c r="BT61" s="594"/>
      <c r="BU61" s="594"/>
      <c r="BV61" s="594"/>
      <c r="BW61" s="594"/>
      <c r="BX61" s="594"/>
      <c r="BY61" s="594"/>
      <c r="BZ61" s="594"/>
    </row>
    <row r="62" spans="1:78" ht="15" customHeight="1" thickBot="1">
      <c r="A62" s="794"/>
      <c r="B62" s="794"/>
      <c r="C62" s="794"/>
      <c r="D62" s="794"/>
      <c r="E62" s="794"/>
      <c r="F62" s="794"/>
      <c r="G62" s="794"/>
      <c r="H62" s="794"/>
      <c r="I62" s="794"/>
      <c r="J62" s="794"/>
      <c r="K62" s="794"/>
      <c r="L62" s="105"/>
      <c r="M62" s="105"/>
      <c r="N62" s="769"/>
      <c r="O62" s="769"/>
      <c r="P62" s="769"/>
      <c r="Q62" s="769"/>
      <c r="R62" s="769"/>
      <c r="S62" s="769"/>
      <c r="T62" s="769"/>
      <c r="U62" s="769"/>
      <c r="V62" s="637" t="str">
        <f>Lang!A487</f>
        <v>Șort streașină SO</v>
      </c>
      <c r="W62" s="638"/>
      <c r="X62" s="638"/>
      <c r="Y62" s="638"/>
      <c r="Z62" s="638"/>
      <c r="AA62" s="638"/>
      <c r="AB62" s="638"/>
      <c r="AC62" s="639"/>
      <c r="AD62" s="584"/>
      <c r="AE62" s="585"/>
      <c r="AF62" s="590"/>
      <c r="AG62" s="591"/>
      <c r="AH62" s="591"/>
      <c r="AI62" s="591"/>
      <c r="AJ62" s="591"/>
      <c r="AK62" s="591"/>
      <c r="AL62" s="591"/>
      <c r="AM62" s="592"/>
      <c r="AN62" s="592"/>
      <c r="AO62" s="592"/>
      <c r="AP62" s="592"/>
      <c r="AQ62" s="592"/>
      <c r="AR62" s="593"/>
      <c r="AS62" s="529"/>
      <c r="AT62" s="530"/>
      <c r="AU62" s="106"/>
      <c r="AV62" s="563" t="str">
        <f>AV61</f>
        <v>B. Specială Pan. Lățime x 2000</v>
      </c>
      <c r="AW62" s="599"/>
      <c r="AX62" s="599"/>
      <c r="AY62" s="599"/>
      <c r="AZ62" s="564"/>
      <c r="BA62" s="600"/>
      <c r="BB62" s="601"/>
      <c r="BC62" s="601"/>
      <c r="BD62" s="602"/>
      <c r="BE62" s="563">
        <v>2000</v>
      </c>
      <c r="BF62" s="564"/>
      <c r="BG62" s="358"/>
      <c r="BH62" s="863" t="str">
        <f>Lang!A373</f>
        <v>Dispozitiv indoit carlige</v>
      </c>
      <c r="BI62" s="864"/>
      <c r="BJ62" s="864"/>
      <c r="BK62" s="864"/>
      <c r="BL62" s="865"/>
      <c r="BM62" s="359"/>
      <c r="BN62" s="439" t="str">
        <f>BN58</f>
        <v xml:space="preserve"> </v>
      </c>
      <c r="BO62" s="572"/>
      <c r="BP62" s="573"/>
      <c r="BQ62" s="251"/>
      <c r="BR62" s="594"/>
      <c r="BS62" s="594"/>
      <c r="BT62" s="594"/>
      <c r="BU62" s="594"/>
      <c r="BV62" s="594"/>
      <c r="BW62" s="594"/>
      <c r="BX62" s="594"/>
      <c r="BY62" s="594"/>
      <c r="BZ62" s="594"/>
    </row>
    <row r="63" spans="1:78" ht="22.5" customHeight="1" thickBot="1">
      <c r="A63" s="346"/>
      <c r="B63" s="553" t="s">
        <v>487</v>
      </c>
      <c r="C63" s="554"/>
      <c r="D63" s="554"/>
      <c r="E63" s="554"/>
      <c r="F63" s="554"/>
      <c r="G63" s="554"/>
      <c r="H63" s="554"/>
      <c r="I63" s="554"/>
      <c r="J63" s="554"/>
      <c r="K63" s="554"/>
      <c r="L63" s="554"/>
      <c r="M63" s="554"/>
      <c r="N63" s="554"/>
      <c r="O63" s="554"/>
      <c r="P63" s="554"/>
      <c r="Q63" s="554"/>
      <c r="R63" s="554"/>
      <c r="S63" s="554"/>
      <c r="T63" s="554"/>
      <c r="U63" s="554"/>
      <c r="V63" s="554"/>
      <c r="W63" s="554"/>
      <c r="X63" s="554"/>
      <c r="Y63" s="554"/>
      <c r="Z63" s="554"/>
      <c r="AA63" s="554"/>
      <c r="AB63" s="555"/>
      <c r="AC63" s="778" t="s">
        <v>1630</v>
      </c>
      <c r="AD63" s="779"/>
      <c r="AE63" s="779"/>
      <c r="AF63" s="779"/>
      <c r="AG63" s="779"/>
      <c r="AH63" s="779"/>
      <c r="AI63" s="779"/>
      <c r="AJ63" s="779"/>
      <c r="AK63" s="779"/>
      <c r="AL63" s="780"/>
      <c r="AM63" s="553" t="str">
        <f>Lang!A16</f>
        <v>TABLA CUTATA</v>
      </c>
      <c r="AN63" s="554"/>
      <c r="AO63" s="554"/>
      <c r="AP63" s="554"/>
      <c r="AQ63" s="554"/>
      <c r="AR63" s="554"/>
      <c r="AS63" s="554"/>
      <c r="AT63" s="555"/>
      <c r="AU63" s="553" t="str">
        <f>Lang!A18</f>
        <v>MINIRULOU</v>
      </c>
      <c r="AV63" s="554"/>
      <c r="AW63" s="554"/>
      <c r="AX63" s="554"/>
      <c r="AY63" s="554"/>
      <c r="AZ63" s="554"/>
      <c r="BA63" s="554"/>
      <c r="BB63" s="555"/>
      <c r="BC63" s="553" t="str">
        <f>Lang!A17</f>
        <v>SIPCA DE GARD</v>
      </c>
      <c r="BD63" s="554"/>
      <c r="BE63" s="554"/>
      <c r="BF63" s="554"/>
      <c r="BG63" s="555"/>
      <c r="BH63" s="688" t="s">
        <v>1866</v>
      </c>
      <c r="BI63" s="689"/>
      <c r="BJ63" s="689"/>
      <c r="BK63" s="689"/>
      <c r="BL63" s="689"/>
      <c r="BM63" s="689"/>
      <c r="BN63" s="439" t="str">
        <f>BN62</f>
        <v xml:space="preserve"> </v>
      </c>
      <c r="BO63" s="565"/>
      <c r="BP63" s="566"/>
      <c r="BQ63" s="442"/>
      <c r="BR63" s="594"/>
      <c r="BS63" s="594"/>
      <c r="BT63" s="594"/>
      <c r="BU63" s="594"/>
      <c r="BV63" s="594"/>
      <c r="BW63" s="594"/>
      <c r="BX63" s="594"/>
      <c r="BY63" s="594"/>
      <c r="BZ63" s="594"/>
    </row>
    <row r="64" spans="1:78" ht="16.5" customHeight="1" thickBot="1">
      <c r="B64" s="797" t="str">
        <f>Lang!A418</f>
        <v>Dimenisuni admise minim 800mm Click , 400mm Click Elegant</v>
      </c>
      <c r="C64" s="798"/>
      <c r="D64" s="798"/>
      <c r="E64" s="798"/>
      <c r="F64" s="798"/>
      <c r="G64" s="798"/>
      <c r="H64" s="798"/>
      <c r="I64" s="798"/>
      <c r="J64" s="798"/>
      <c r="K64" s="798"/>
      <c r="L64" s="798"/>
      <c r="M64" s="798"/>
      <c r="N64" s="798"/>
      <c r="O64" s="798"/>
      <c r="P64" s="798"/>
      <c r="Q64" s="798"/>
      <c r="R64" s="798"/>
      <c r="S64" s="798"/>
      <c r="T64" s="798"/>
      <c r="U64" s="798"/>
      <c r="V64" s="798"/>
      <c r="W64" s="798"/>
      <c r="X64" s="798"/>
      <c r="Y64" s="798"/>
      <c r="Z64" s="798"/>
      <c r="AA64" s="798"/>
      <c r="AB64" s="799"/>
      <c r="AC64" s="781"/>
      <c r="AD64" s="782"/>
      <c r="AE64" s="782"/>
      <c r="AF64" s="782"/>
      <c r="AG64" s="782"/>
      <c r="AH64" s="782"/>
      <c r="AI64" s="782"/>
      <c r="AJ64" s="782"/>
      <c r="AK64" s="782"/>
      <c r="AL64" s="783"/>
      <c r="AM64" s="797" t="str">
        <f>Lang!A419</f>
        <v xml:space="preserve">Dimenisuni admise minim 400mm  </v>
      </c>
      <c r="AN64" s="798"/>
      <c r="AO64" s="798"/>
      <c r="AP64" s="798"/>
      <c r="AQ64" s="798"/>
      <c r="AR64" s="798"/>
      <c r="AS64" s="798"/>
      <c r="AT64" s="799"/>
      <c r="AU64" s="556"/>
      <c r="AV64" s="557"/>
      <c r="AW64" s="557"/>
      <c r="AX64" s="557"/>
      <c r="AY64" s="557"/>
      <c r="AZ64" s="557"/>
      <c r="BA64" s="557"/>
      <c r="BB64" s="558"/>
      <c r="BC64" s="556"/>
      <c r="BD64" s="557"/>
      <c r="BE64" s="557"/>
      <c r="BF64" s="557"/>
      <c r="BG64" s="558"/>
      <c r="BH64" s="685" t="s">
        <v>1865</v>
      </c>
      <c r="BI64" s="686"/>
      <c r="BJ64" s="686"/>
      <c r="BK64" s="686"/>
      <c r="BL64" s="686"/>
      <c r="BM64" s="687"/>
      <c r="BN64" s="440" t="str">
        <f>BN60</f>
        <v xml:space="preserve"> </v>
      </c>
      <c r="BO64" s="567"/>
      <c r="BP64" s="567"/>
      <c r="BQ64" s="252"/>
      <c r="BR64" s="594"/>
      <c r="BS64" s="594"/>
      <c r="BT64" s="594"/>
      <c r="BU64" s="594"/>
      <c r="BV64" s="594"/>
      <c r="BW64" s="594"/>
      <c r="BX64" s="594"/>
      <c r="BY64" s="594"/>
      <c r="BZ64" s="594"/>
    </row>
    <row r="65" spans="2:78" ht="37.5" customHeight="1">
      <c r="B65" s="770" t="str">
        <f>Lang!A352</f>
        <v>Tip:</v>
      </c>
      <c r="C65" s="771"/>
      <c r="D65" s="771"/>
      <c r="E65" s="89"/>
      <c r="F65" s="89"/>
      <c r="G65" s="89"/>
      <c r="H65" s="89"/>
      <c r="I65" s="497" t="str">
        <f>B9</f>
        <v>Grosime</v>
      </c>
      <c r="J65" s="498"/>
      <c r="K65" s="497"/>
      <c r="L65" s="497"/>
      <c r="M65" s="498"/>
      <c r="N65" s="498"/>
      <c r="O65" s="497"/>
      <c r="P65" s="497" t="str">
        <f>B11</f>
        <v>Culoare Ral</v>
      </c>
      <c r="Q65" s="498"/>
      <c r="R65" s="498"/>
      <c r="S65" s="88"/>
      <c r="T65" s="90"/>
      <c r="U65" s="88"/>
      <c r="V65" s="91"/>
      <c r="W65" s="643" t="str">
        <f>Lang!A206</f>
        <v>euro/mp:</v>
      </c>
      <c r="X65" s="643"/>
      <c r="Y65" s="642">
        <f>Print!Z254</f>
        <v>0</v>
      </c>
      <c r="Z65" s="642"/>
      <c r="AA65" s="642"/>
      <c r="AB65" s="642"/>
      <c r="AC65" s="781"/>
      <c r="AD65" s="782"/>
      <c r="AE65" s="782"/>
      <c r="AF65" s="782"/>
      <c r="AG65" s="782"/>
      <c r="AH65" s="782"/>
      <c r="AI65" s="782"/>
      <c r="AJ65" s="782"/>
      <c r="AK65" s="782"/>
      <c r="AL65" s="783"/>
      <c r="AM65" s="357" t="str">
        <f>B65</f>
        <v>Tip:</v>
      </c>
      <c r="AN65" s="98"/>
      <c r="AO65" s="98"/>
      <c r="AP65" s="292"/>
      <c r="AQ65" s="292"/>
      <c r="AR65" s="292"/>
      <c r="AS65" s="292"/>
      <c r="AT65" s="99"/>
      <c r="AU65" s="291"/>
      <c r="AV65" s="316" t="str">
        <f>AM66</f>
        <v>Grosime</v>
      </c>
      <c r="AW65" s="108"/>
      <c r="AX65" s="108"/>
      <c r="AY65" s="108"/>
      <c r="AZ65" s="108"/>
      <c r="BA65" s="108"/>
      <c r="BB65" s="108"/>
      <c r="BC65" s="879" t="s">
        <v>78</v>
      </c>
      <c r="BD65" s="880"/>
      <c r="BE65" s="880"/>
      <c r="BF65" s="283"/>
      <c r="BG65" s="283"/>
      <c r="BH65" s="360" t="str">
        <f>BH71</f>
        <v>MP:</v>
      </c>
      <c r="BI65" s="862">
        <f>Print!W505</f>
        <v>0</v>
      </c>
      <c r="BJ65" s="862"/>
      <c r="BK65" s="361" t="str">
        <f>BK71</f>
        <v>euro/mp:</v>
      </c>
      <c r="BL65" s="862">
        <f>Print!R505</f>
        <v>0</v>
      </c>
      <c r="BM65" s="873"/>
      <c r="BN65" s="574"/>
      <c r="BO65" s="575"/>
      <c r="BP65" s="575"/>
      <c r="BQ65" s="575"/>
      <c r="BR65" s="594"/>
      <c r="BS65" s="594"/>
      <c r="BT65" s="594"/>
      <c r="BU65" s="594"/>
      <c r="BV65" s="594"/>
      <c r="BW65" s="594"/>
      <c r="BX65" s="594"/>
      <c r="BY65" s="594"/>
      <c r="BZ65" s="594"/>
    </row>
    <row r="66" spans="2:78" ht="20.25" customHeight="1" thickBot="1">
      <c r="B66" s="92"/>
      <c r="C66" s="93"/>
      <c r="D66" s="93"/>
      <c r="E66" s="496" t="str">
        <f>I65</f>
        <v>Grosime</v>
      </c>
      <c r="F66" s="93"/>
      <c r="G66" s="93"/>
      <c r="H66" s="93"/>
      <c r="I66" s="93"/>
      <c r="J66" s="94"/>
      <c r="K66" s="94"/>
      <c r="L66" s="94"/>
      <c r="M66" s="94"/>
      <c r="N66" s="94" t="str">
        <f>P65</f>
        <v>Culoare Ral</v>
      </c>
      <c r="O66" s="94"/>
      <c r="P66" s="94"/>
      <c r="Q66" s="94"/>
      <c r="R66" s="94"/>
      <c r="S66" s="94"/>
      <c r="T66" s="95"/>
      <c r="U66" s="96"/>
      <c r="V66" s="97"/>
      <c r="W66" s="617" t="str">
        <f>Lang!A205</f>
        <v>MP:</v>
      </c>
      <c r="X66" s="617"/>
      <c r="Y66" s="788">
        <f>Print!W254</f>
        <v>0</v>
      </c>
      <c r="Z66" s="788"/>
      <c r="AA66" s="788"/>
      <c r="AB66" s="789"/>
      <c r="AC66" s="784"/>
      <c r="AD66" s="785"/>
      <c r="AE66" s="785"/>
      <c r="AF66" s="785"/>
      <c r="AG66" s="785"/>
      <c r="AH66" s="785"/>
      <c r="AI66" s="785"/>
      <c r="AJ66" s="785"/>
      <c r="AK66" s="786"/>
      <c r="AL66" s="787"/>
      <c r="AM66" s="347" t="str">
        <f>I65</f>
        <v>Grosime</v>
      </c>
      <c r="AN66" s="289"/>
      <c r="AO66" s="289"/>
      <c r="AP66" s="100"/>
      <c r="AQ66" s="100"/>
      <c r="AR66" s="100"/>
      <c r="AS66" s="101"/>
      <c r="AT66" s="102"/>
      <c r="AU66" s="109" t="s">
        <v>423</v>
      </c>
      <c r="AV66" s="317" t="str">
        <f>AM68</f>
        <v>Culoare</v>
      </c>
      <c r="AW66" s="110"/>
      <c r="AX66" s="110"/>
      <c r="AY66" s="110"/>
      <c r="AZ66" s="110"/>
      <c r="BA66" s="110"/>
      <c r="BB66" s="110"/>
      <c r="BC66" s="680" t="s">
        <v>1669</v>
      </c>
      <c r="BD66" s="681"/>
      <c r="BE66" s="681"/>
      <c r="BF66" s="104"/>
      <c r="BG66" s="104"/>
      <c r="BH66" s="259" t="s">
        <v>135</v>
      </c>
      <c r="BI66" s="244"/>
      <c r="BJ66" s="244"/>
      <c r="BK66" s="244"/>
      <c r="BL66" s="244"/>
      <c r="BM66" s="246" t="s">
        <v>1761</v>
      </c>
      <c r="BN66" s="576"/>
      <c r="BO66" s="577"/>
      <c r="BP66" s="577"/>
      <c r="BQ66" s="577"/>
      <c r="BR66" s="594"/>
      <c r="BS66" s="594"/>
      <c r="BT66" s="594"/>
      <c r="BU66" s="594"/>
      <c r="BV66" s="594"/>
      <c r="BW66" s="594"/>
      <c r="BX66" s="594"/>
      <c r="BY66" s="594"/>
      <c r="BZ66" s="594"/>
    </row>
    <row r="67" spans="2:78" ht="15" customHeight="1">
      <c r="B67" s="614"/>
      <c r="C67" s="615"/>
      <c r="D67" s="616"/>
      <c r="E67" s="560">
        <f>Select!D331</f>
        <v>0</v>
      </c>
      <c r="F67" s="561"/>
      <c r="G67" s="562"/>
      <c r="H67" s="776"/>
      <c r="I67" s="777"/>
      <c r="J67" s="796"/>
      <c r="K67" s="614"/>
      <c r="L67" s="615"/>
      <c r="M67" s="616"/>
      <c r="N67" s="560">
        <f>E67</f>
        <v>0</v>
      </c>
      <c r="O67" s="561"/>
      <c r="P67" s="562"/>
      <c r="Q67" s="776"/>
      <c r="R67" s="777"/>
      <c r="S67" s="796"/>
      <c r="T67" s="614"/>
      <c r="U67" s="615"/>
      <c r="V67" s="616"/>
      <c r="W67" s="560">
        <f>N67</f>
        <v>0</v>
      </c>
      <c r="X67" s="561"/>
      <c r="Y67" s="562"/>
      <c r="Z67" s="776"/>
      <c r="AA67" s="777"/>
      <c r="AB67" s="619"/>
      <c r="AC67" s="546" t="str">
        <f>IF(OR(Select!$B$331=13,Select!$B$331=14),"",IF(AND(Select!$B$331=4,OR(Select!$B$349=8,Select!$B$349=9)),"",Info!A288))</f>
        <v>Coama dreapta mare</v>
      </c>
      <c r="AD67" s="547"/>
      <c r="AE67" s="547"/>
      <c r="AF67" s="547"/>
      <c r="AG67" s="547"/>
      <c r="AH67" s="547"/>
      <c r="AI67" s="547"/>
      <c r="AJ67" s="548"/>
      <c r="AK67" s="776"/>
      <c r="AL67" s="838"/>
      <c r="AM67" s="289"/>
      <c r="AN67" s="289"/>
      <c r="AO67" s="289"/>
      <c r="AP67" s="293"/>
      <c r="AQ67" s="293"/>
      <c r="AR67" s="293"/>
      <c r="AS67" s="101"/>
      <c r="AT67" s="102"/>
      <c r="AU67" s="109"/>
      <c r="AV67" s="110"/>
      <c r="AW67" s="110"/>
      <c r="AX67" s="110"/>
      <c r="AY67" s="110"/>
      <c r="AZ67" s="110"/>
      <c r="BA67" s="110"/>
      <c r="BB67" s="110"/>
      <c r="BC67" s="858" t="s">
        <v>136</v>
      </c>
      <c r="BD67" s="681"/>
      <c r="BE67" s="681"/>
      <c r="BF67" s="284"/>
      <c r="BG67" s="284"/>
      <c r="BH67" s="578" t="s">
        <v>1723</v>
      </c>
      <c r="BI67" s="579"/>
      <c r="BJ67" s="579"/>
      <c r="BK67" s="579" t="s">
        <v>1724</v>
      </c>
      <c r="BL67" s="579"/>
      <c r="BM67" s="295" t="s">
        <v>1762</v>
      </c>
      <c r="BN67" s="576"/>
      <c r="BO67" s="577"/>
      <c r="BP67" s="577"/>
      <c r="BQ67" s="577"/>
      <c r="BR67" s="594"/>
      <c r="BS67" s="594"/>
      <c r="BT67" s="594"/>
      <c r="BU67" s="594"/>
      <c r="BV67" s="594"/>
      <c r="BW67" s="594"/>
      <c r="BX67" s="594"/>
      <c r="BY67" s="594"/>
      <c r="BZ67" s="594"/>
    </row>
    <row r="68" spans="2:78" ht="15" customHeight="1">
      <c r="B68" s="541"/>
      <c r="C68" s="542"/>
      <c r="D68" s="543"/>
      <c r="E68" s="546">
        <f>E67</f>
        <v>0</v>
      </c>
      <c r="F68" s="547"/>
      <c r="G68" s="548"/>
      <c r="H68" s="544"/>
      <c r="I68" s="545"/>
      <c r="J68" s="620"/>
      <c r="K68" s="541"/>
      <c r="L68" s="542"/>
      <c r="M68" s="543"/>
      <c r="N68" s="546">
        <f t="shared" ref="N68:N94" si="3">E68</f>
        <v>0</v>
      </c>
      <c r="O68" s="547"/>
      <c r="P68" s="548"/>
      <c r="Q68" s="544"/>
      <c r="R68" s="545"/>
      <c r="S68" s="620"/>
      <c r="T68" s="541"/>
      <c r="U68" s="542"/>
      <c r="V68" s="543"/>
      <c r="W68" s="546">
        <f t="shared" ref="W68:W94" si="4">N68</f>
        <v>0</v>
      </c>
      <c r="X68" s="547"/>
      <c r="Y68" s="548"/>
      <c r="Z68" s="544"/>
      <c r="AA68" s="545"/>
      <c r="AB68" s="620"/>
      <c r="AC68" s="546" t="str">
        <f>IF(OR(Select!$B$331=13,Select!$B$331=14),"",IF(AND(Select!$B$331=4,OR(Select!$B$349=8,Select!$B$349=9)),"",Info!A289))</f>
        <v xml:space="preserve">Racord calcan Click </v>
      </c>
      <c r="AD68" s="547"/>
      <c r="AE68" s="547"/>
      <c r="AF68" s="547"/>
      <c r="AG68" s="547"/>
      <c r="AH68" s="547"/>
      <c r="AI68" s="547"/>
      <c r="AJ68" s="548"/>
      <c r="AK68" s="582"/>
      <c r="AL68" s="583"/>
      <c r="AM68" s="884" t="s">
        <v>136</v>
      </c>
      <c r="AN68" s="884"/>
      <c r="AO68" s="884"/>
      <c r="AP68" s="293"/>
      <c r="AQ68" s="293"/>
      <c r="AR68" s="293"/>
      <c r="AS68" s="101"/>
      <c r="AT68" s="102"/>
      <c r="AU68" s="109" t="s">
        <v>136</v>
      </c>
      <c r="AV68" s="317" t="str">
        <f>AM70</f>
        <v>MP:</v>
      </c>
      <c r="AW68" s="854">
        <f>Print!W403</f>
        <v>0</v>
      </c>
      <c r="AX68" s="854"/>
      <c r="AY68" s="854"/>
      <c r="AZ68" s="854"/>
      <c r="BA68" s="854"/>
      <c r="BB68" s="110"/>
      <c r="BC68" s="603"/>
      <c r="BD68" s="604"/>
      <c r="BE68" s="604"/>
      <c r="BF68" s="284"/>
      <c r="BG68" s="284"/>
      <c r="BH68" s="606">
        <v>2800</v>
      </c>
      <c r="BI68" s="607"/>
      <c r="BJ68" s="523"/>
      <c r="BK68" s="522">
        <v>365</v>
      </c>
      <c r="BL68" s="523"/>
      <c r="BM68" s="251"/>
      <c r="BN68" s="576"/>
      <c r="BO68" s="577"/>
      <c r="BP68" s="577"/>
      <c r="BQ68" s="577"/>
      <c r="BR68" s="594"/>
      <c r="BS68" s="594"/>
      <c r="BT68" s="594"/>
      <c r="BU68" s="594"/>
      <c r="BV68" s="594"/>
      <c r="BW68" s="594"/>
      <c r="BX68" s="594"/>
      <c r="BY68" s="594"/>
      <c r="BZ68" s="594"/>
    </row>
    <row r="69" spans="2:78" ht="15" customHeight="1" thickBot="1">
      <c r="B69" s="541"/>
      <c r="C69" s="542"/>
      <c r="D69" s="543"/>
      <c r="E69" s="546">
        <f t="shared" ref="E69:E96" si="5">E68</f>
        <v>0</v>
      </c>
      <c r="F69" s="547"/>
      <c r="G69" s="548"/>
      <c r="H69" s="544"/>
      <c r="I69" s="545"/>
      <c r="J69" s="620"/>
      <c r="K69" s="541"/>
      <c r="L69" s="542"/>
      <c r="M69" s="543"/>
      <c r="N69" s="546">
        <f t="shared" si="3"/>
        <v>0</v>
      </c>
      <c r="O69" s="547"/>
      <c r="P69" s="548"/>
      <c r="Q69" s="544"/>
      <c r="R69" s="545"/>
      <c r="S69" s="620"/>
      <c r="T69" s="541"/>
      <c r="U69" s="542"/>
      <c r="V69" s="543"/>
      <c r="W69" s="546">
        <f t="shared" si="4"/>
        <v>0</v>
      </c>
      <c r="X69" s="547"/>
      <c r="Y69" s="548"/>
      <c r="Z69" s="544"/>
      <c r="AA69" s="545"/>
      <c r="AB69" s="620"/>
      <c r="AC69" s="546" t="str">
        <f>IF(OR(Select!$B$331=13,Select!$B$331=14),"",IF(AND(Select!$B$331=4,OR(Select!$B$349=8,Select!$B$349=9)),"",Info!A290))</f>
        <v>Dolie</v>
      </c>
      <c r="AD69" s="547"/>
      <c r="AE69" s="547"/>
      <c r="AF69" s="547"/>
      <c r="AG69" s="547"/>
      <c r="AH69" s="547"/>
      <c r="AI69" s="547"/>
      <c r="AJ69" s="548"/>
      <c r="AK69" s="582"/>
      <c r="AL69" s="583"/>
      <c r="AM69" s="844"/>
      <c r="AN69" s="844"/>
      <c r="AO69" s="844"/>
      <c r="AP69" s="844"/>
      <c r="AQ69" s="844"/>
      <c r="AR69" s="844"/>
      <c r="AS69" s="101"/>
      <c r="AT69" s="102"/>
      <c r="AU69" s="109"/>
      <c r="AV69" s="318" t="str">
        <f>W65</f>
        <v>euro/mp:</v>
      </c>
      <c r="AW69" s="854">
        <f>Print!Z403</f>
        <v>0</v>
      </c>
      <c r="AX69" s="854"/>
      <c r="AY69" s="854"/>
      <c r="AZ69" s="854"/>
      <c r="BA69" s="854"/>
      <c r="BB69" s="293"/>
      <c r="BC69" s="866" t="s">
        <v>2579</v>
      </c>
      <c r="BD69" s="867"/>
      <c r="BE69" s="867"/>
      <c r="BF69" s="500">
        <f>Print!R427</f>
        <v>0</v>
      </c>
      <c r="BG69" s="111"/>
      <c r="BH69" s="606">
        <v>3600</v>
      </c>
      <c r="BI69" s="607"/>
      <c r="BJ69" s="523"/>
      <c r="BK69" s="522">
        <v>365</v>
      </c>
      <c r="BL69" s="523"/>
      <c r="BM69" s="251"/>
      <c r="BN69" s="576"/>
      <c r="BO69" s="577"/>
      <c r="BP69" s="577"/>
      <c r="BQ69" s="577"/>
      <c r="BR69" s="594"/>
      <c r="BS69" s="594"/>
      <c r="BT69" s="594"/>
      <c r="BU69" s="594"/>
      <c r="BV69" s="594"/>
      <c r="BW69" s="594"/>
      <c r="BX69" s="594"/>
      <c r="BY69" s="594"/>
      <c r="BZ69" s="594"/>
    </row>
    <row r="70" spans="2:78" ht="15" customHeight="1" thickBot="1">
      <c r="B70" s="541"/>
      <c r="C70" s="542"/>
      <c r="D70" s="543"/>
      <c r="E70" s="546">
        <f t="shared" si="5"/>
        <v>0</v>
      </c>
      <c r="F70" s="547"/>
      <c r="G70" s="548"/>
      <c r="H70" s="544"/>
      <c r="I70" s="545"/>
      <c r="J70" s="620"/>
      <c r="K70" s="541"/>
      <c r="L70" s="542"/>
      <c r="M70" s="543"/>
      <c r="N70" s="546">
        <f t="shared" si="3"/>
        <v>0</v>
      </c>
      <c r="O70" s="547"/>
      <c r="P70" s="548"/>
      <c r="Q70" s="544"/>
      <c r="R70" s="545"/>
      <c r="S70" s="620"/>
      <c r="T70" s="541"/>
      <c r="U70" s="542"/>
      <c r="V70" s="543"/>
      <c r="W70" s="546">
        <f t="shared" si="4"/>
        <v>0</v>
      </c>
      <c r="X70" s="547"/>
      <c r="Y70" s="548"/>
      <c r="Z70" s="544"/>
      <c r="AA70" s="545"/>
      <c r="AB70" s="620"/>
      <c r="AC70" s="546" t="str">
        <f>IF(OR(Select!$B$331=13,Select!$B$331=14),"",IF(AND(Select!$B$331=4,OR(Select!$B$349=8,Select!$B$349=9)),"",Info!A291))</f>
        <v>Pazie  Click</v>
      </c>
      <c r="AD70" s="547"/>
      <c r="AE70" s="547"/>
      <c r="AF70" s="547"/>
      <c r="AG70" s="547"/>
      <c r="AH70" s="547"/>
      <c r="AI70" s="547"/>
      <c r="AJ70" s="548"/>
      <c r="AK70" s="582"/>
      <c r="AL70" s="583"/>
      <c r="AM70" s="413" t="str">
        <f>W66</f>
        <v>MP:</v>
      </c>
      <c r="AN70" s="559">
        <f>Print!W369</f>
        <v>0</v>
      </c>
      <c r="AO70" s="559"/>
      <c r="AP70" s="559"/>
      <c r="AQ70" s="855" t="s">
        <v>168</v>
      </c>
      <c r="AR70" s="855"/>
      <c r="AS70" s="559">
        <f>Print!Z369</f>
        <v>0</v>
      </c>
      <c r="AT70" s="853"/>
      <c r="AU70" s="103"/>
      <c r="AV70" s="618" t="str">
        <f>Lang!A351</f>
        <v>Latime rulou:</v>
      </c>
      <c r="AW70" s="618"/>
      <c r="AX70" s="618"/>
      <c r="AY70" s="618"/>
      <c r="AZ70" s="845" t="str">
        <f>IF(Select!B489=14,"1490",IF(Select!B489=1,"","1250"))</f>
        <v/>
      </c>
      <c r="BA70" s="845"/>
      <c r="BB70" s="846"/>
      <c r="BC70" s="56"/>
      <c r="BD70" s="868" t="str">
        <f>SELNEW!B132</f>
        <v xml:space="preserve"> </v>
      </c>
      <c r="BE70" s="869"/>
      <c r="BF70" s="286">
        <v>1000</v>
      </c>
      <c r="BG70" s="290"/>
      <c r="BH70" s="859" t="s">
        <v>2592</v>
      </c>
      <c r="BI70" s="860"/>
      <c r="BJ70" s="860"/>
      <c r="BK70" s="860"/>
      <c r="BL70" s="860"/>
      <c r="BM70" s="861"/>
      <c r="BN70" s="576"/>
      <c r="BO70" s="577"/>
      <c r="BP70" s="577"/>
      <c r="BQ70" s="577"/>
      <c r="BR70" s="594"/>
      <c r="BS70" s="594"/>
      <c r="BT70" s="594"/>
      <c r="BU70" s="594"/>
      <c r="BV70" s="594"/>
      <c r="BW70" s="594"/>
      <c r="BX70" s="594"/>
      <c r="BY70" s="594"/>
      <c r="BZ70" s="594"/>
    </row>
    <row r="71" spans="2:78" ht="20.25" customHeight="1" thickBot="1">
      <c r="B71" s="541"/>
      <c r="C71" s="542"/>
      <c r="D71" s="543"/>
      <c r="E71" s="546">
        <f t="shared" si="5"/>
        <v>0</v>
      </c>
      <c r="F71" s="547"/>
      <c r="G71" s="548"/>
      <c r="H71" s="544"/>
      <c r="I71" s="545"/>
      <c r="J71" s="620"/>
      <c r="K71" s="541"/>
      <c r="L71" s="542"/>
      <c r="M71" s="543"/>
      <c r="N71" s="546">
        <f t="shared" si="3"/>
        <v>0</v>
      </c>
      <c r="O71" s="547"/>
      <c r="P71" s="548"/>
      <c r="Q71" s="544"/>
      <c r="R71" s="545"/>
      <c r="S71" s="620"/>
      <c r="T71" s="541"/>
      <c r="U71" s="542"/>
      <c r="V71" s="543"/>
      <c r="W71" s="546">
        <f t="shared" si="4"/>
        <v>0</v>
      </c>
      <c r="X71" s="547"/>
      <c r="Y71" s="548"/>
      <c r="Z71" s="544"/>
      <c r="AA71" s="545"/>
      <c r="AB71" s="620"/>
      <c r="AC71" s="546" t="str">
        <f>IF(OR(Select!$B$331=13,Select!$B$331=14),"",IF(AND(Select!$B$331=4,OR(Select!$B$349=8,Select!$B$349=9)),"",Info!A292))</f>
        <v>Racord Perete Click</v>
      </c>
      <c r="AD71" s="547"/>
      <c r="AE71" s="547"/>
      <c r="AF71" s="547"/>
      <c r="AG71" s="547"/>
      <c r="AH71" s="547"/>
      <c r="AI71" s="547"/>
      <c r="AJ71" s="548"/>
      <c r="AK71" s="582"/>
      <c r="AL71" s="583"/>
      <c r="AM71" s="615"/>
      <c r="AN71" s="615"/>
      <c r="AO71" s="616"/>
      <c r="AP71" s="560">
        <f>Select!F416</f>
        <v>0</v>
      </c>
      <c r="AQ71" s="561"/>
      <c r="AR71" s="562"/>
      <c r="AS71" s="776"/>
      <c r="AT71" s="777"/>
      <c r="AU71" s="614"/>
      <c r="AV71" s="615"/>
      <c r="AW71" s="616"/>
      <c r="AX71" s="614"/>
      <c r="AY71" s="615"/>
      <c r="AZ71" s="616"/>
      <c r="BA71" s="776"/>
      <c r="BB71" s="777"/>
      <c r="BC71" s="57"/>
      <c r="BD71" s="527" t="str">
        <f>BD70</f>
        <v xml:space="preserve"> </v>
      </c>
      <c r="BE71" s="528"/>
      <c r="BF71" s="278"/>
      <c r="BG71" s="287"/>
      <c r="BH71" s="362" t="str">
        <f>AV68</f>
        <v>MP:</v>
      </c>
      <c r="BI71" s="568">
        <f>Print!W507</f>
        <v>0</v>
      </c>
      <c r="BJ71" s="568"/>
      <c r="BK71" s="363" t="str">
        <f>AV69</f>
        <v>euro/mp:</v>
      </c>
      <c r="BL71" s="568">
        <f>Print!R507</f>
        <v>0</v>
      </c>
      <c r="BM71" s="569"/>
      <c r="BN71" s="576"/>
      <c r="BO71" s="577"/>
      <c r="BP71" s="577"/>
      <c r="BQ71" s="577"/>
      <c r="BR71" s="594"/>
      <c r="BS71" s="594"/>
      <c r="BT71" s="594"/>
      <c r="BU71" s="594"/>
      <c r="BV71" s="594"/>
      <c r="BW71" s="594"/>
      <c r="BX71" s="594"/>
      <c r="BY71" s="594"/>
      <c r="BZ71" s="594"/>
    </row>
    <row r="72" spans="2:78" ht="19.5" customHeight="1">
      <c r="B72" s="541"/>
      <c r="C72" s="542"/>
      <c r="D72" s="543"/>
      <c r="E72" s="546">
        <f t="shared" si="5"/>
        <v>0</v>
      </c>
      <c r="F72" s="547"/>
      <c r="G72" s="548"/>
      <c r="H72" s="544"/>
      <c r="I72" s="545"/>
      <c r="J72" s="620"/>
      <c r="K72" s="541"/>
      <c r="L72" s="542"/>
      <c r="M72" s="543"/>
      <c r="N72" s="546">
        <f t="shared" si="3"/>
        <v>0</v>
      </c>
      <c r="O72" s="547"/>
      <c r="P72" s="548"/>
      <c r="Q72" s="544"/>
      <c r="R72" s="545"/>
      <c r="S72" s="620"/>
      <c r="T72" s="541"/>
      <c r="U72" s="542"/>
      <c r="V72" s="543"/>
      <c r="W72" s="546">
        <f t="shared" si="4"/>
        <v>0</v>
      </c>
      <c r="X72" s="547"/>
      <c r="Y72" s="548"/>
      <c r="Z72" s="544"/>
      <c r="AA72" s="545"/>
      <c r="AB72" s="620"/>
      <c r="AC72" s="546" t="str">
        <f>IF(OR(Select!$B$331=13,Select!$B$331=14),"",IF(AND(Select!$B$331=4,OR(Select!$B$349=8,Select!$B$349=9)),"",Info!A293))</f>
        <v xml:space="preserve">Semicoama </v>
      </c>
      <c r="AD72" s="547"/>
      <c r="AE72" s="547"/>
      <c r="AF72" s="547"/>
      <c r="AG72" s="547"/>
      <c r="AH72" s="547"/>
      <c r="AI72" s="547"/>
      <c r="AJ72" s="548"/>
      <c r="AK72" s="582"/>
      <c r="AL72" s="583"/>
      <c r="AM72" s="542"/>
      <c r="AN72" s="542"/>
      <c r="AO72" s="543"/>
      <c r="AP72" s="546">
        <f>AP71</f>
        <v>0</v>
      </c>
      <c r="AQ72" s="547"/>
      <c r="AR72" s="548"/>
      <c r="AS72" s="544"/>
      <c r="AT72" s="545"/>
      <c r="AU72" s="541"/>
      <c r="AV72" s="542"/>
      <c r="AW72" s="543"/>
      <c r="AX72" s="541"/>
      <c r="AY72" s="542"/>
      <c r="AZ72" s="543"/>
      <c r="BA72" s="544"/>
      <c r="BB72" s="545"/>
      <c r="BC72" s="57"/>
      <c r="BD72" s="527" t="str">
        <f t="shared" ref="BD72:BD93" si="6">BD71</f>
        <v xml:space="preserve"> </v>
      </c>
      <c r="BE72" s="528"/>
      <c r="BF72" s="278"/>
      <c r="BG72" s="287"/>
      <c r="BH72" s="260" t="str">
        <f>BH66</f>
        <v>Tip:</v>
      </c>
      <c r="BI72" s="258"/>
      <c r="BJ72" s="258"/>
      <c r="BK72" s="605" t="s">
        <v>423</v>
      </c>
      <c r="BL72" s="605"/>
      <c r="BM72" s="246"/>
      <c r="BN72" s="576"/>
      <c r="BO72" s="577"/>
      <c r="BP72" s="577"/>
      <c r="BQ72" s="577"/>
      <c r="BR72" s="594"/>
      <c r="BS72" s="594"/>
      <c r="BT72" s="594"/>
      <c r="BU72" s="594"/>
      <c r="BV72" s="594"/>
      <c r="BW72" s="594"/>
      <c r="BX72" s="594"/>
      <c r="BY72" s="594"/>
      <c r="BZ72" s="594"/>
    </row>
    <row r="73" spans="2:78" ht="15" customHeight="1">
      <c r="B73" s="541"/>
      <c r="C73" s="542"/>
      <c r="D73" s="543"/>
      <c r="E73" s="546">
        <f t="shared" si="5"/>
        <v>0</v>
      </c>
      <c r="F73" s="547"/>
      <c r="G73" s="548"/>
      <c r="H73" s="544"/>
      <c r="I73" s="545"/>
      <c r="J73" s="620"/>
      <c r="K73" s="541"/>
      <c r="L73" s="542"/>
      <c r="M73" s="543"/>
      <c r="N73" s="546">
        <f t="shared" si="3"/>
        <v>0</v>
      </c>
      <c r="O73" s="547"/>
      <c r="P73" s="548"/>
      <c r="Q73" s="544"/>
      <c r="R73" s="545"/>
      <c r="S73" s="620"/>
      <c r="T73" s="541"/>
      <c r="U73" s="542"/>
      <c r="V73" s="543"/>
      <c r="W73" s="546">
        <f t="shared" si="4"/>
        <v>0</v>
      </c>
      <c r="X73" s="547"/>
      <c r="Y73" s="548"/>
      <c r="Z73" s="544"/>
      <c r="AA73" s="545"/>
      <c r="AB73" s="620"/>
      <c r="AC73" s="546" t="str">
        <f>IF(OR(Select!$B$331=13,Select!$B$331=14),"",IF(AND(Select!$B$331=4,OR(Select!$B$349=8,Select!$B$349=9)),"",Info!A294))</f>
        <v>Sort  Click streasina</v>
      </c>
      <c r="AD73" s="547"/>
      <c r="AE73" s="547"/>
      <c r="AF73" s="547"/>
      <c r="AG73" s="547"/>
      <c r="AH73" s="547"/>
      <c r="AI73" s="547"/>
      <c r="AJ73" s="548"/>
      <c r="AK73" s="582"/>
      <c r="AL73" s="583"/>
      <c r="AM73" s="542"/>
      <c r="AN73" s="542"/>
      <c r="AO73" s="543"/>
      <c r="AP73" s="546">
        <f t="shared" ref="AP73:AP100" si="7">AP72</f>
        <v>0</v>
      </c>
      <c r="AQ73" s="547"/>
      <c r="AR73" s="548"/>
      <c r="AS73" s="544"/>
      <c r="AT73" s="545"/>
      <c r="AU73" s="541"/>
      <c r="AV73" s="542"/>
      <c r="AW73" s="543"/>
      <c r="AX73" s="541"/>
      <c r="AY73" s="542"/>
      <c r="AZ73" s="543"/>
      <c r="BA73" s="544"/>
      <c r="BB73" s="545"/>
      <c r="BC73" s="57"/>
      <c r="BD73" s="527" t="str">
        <f t="shared" si="6"/>
        <v xml:space="preserve"> </v>
      </c>
      <c r="BE73" s="528"/>
      <c r="BF73" s="278"/>
      <c r="BG73" s="287"/>
      <c r="BH73" s="538"/>
      <c r="BI73" s="539"/>
      <c r="BJ73" s="540"/>
      <c r="BK73" s="522">
        <v>365</v>
      </c>
      <c r="BL73" s="523"/>
      <c r="BM73" s="251"/>
      <c r="BN73" s="576"/>
      <c r="BO73" s="577"/>
      <c r="BP73" s="577"/>
      <c r="BQ73" s="577"/>
      <c r="BR73" s="594"/>
      <c r="BS73" s="594"/>
      <c r="BT73" s="594"/>
      <c r="BU73" s="594"/>
      <c r="BV73" s="594"/>
      <c r="BW73" s="594"/>
      <c r="BX73" s="594"/>
      <c r="BY73" s="594"/>
      <c r="BZ73" s="594"/>
    </row>
    <row r="74" spans="2:78" ht="15" customHeight="1">
      <c r="B74" s="541"/>
      <c r="C74" s="542"/>
      <c r="D74" s="543"/>
      <c r="E74" s="546">
        <f t="shared" si="5"/>
        <v>0</v>
      </c>
      <c r="F74" s="547"/>
      <c r="G74" s="548"/>
      <c r="H74" s="544"/>
      <c r="I74" s="545"/>
      <c r="J74" s="620"/>
      <c r="K74" s="541"/>
      <c r="L74" s="542"/>
      <c r="M74" s="543"/>
      <c r="N74" s="546">
        <f t="shared" si="3"/>
        <v>0</v>
      </c>
      <c r="O74" s="547"/>
      <c r="P74" s="548"/>
      <c r="Q74" s="544"/>
      <c r="R74" s="545"/>
      <c r="S74" s="620"/>
      <c r="T74" s="541"/>
      <c r="U74" s="542"/>
      <c r="V74" s="543"/>
      <c r="W74" s="546">
        <f t="shared" si="4"/>
        <v>0</v>
      </c>
      <c r="X74" s="547"/>
      <c r="Y74" s="548"/>
      <c r="Z74" s="544"/>
      <c r="AA74" s="545"/>
      <c r="AB74" s="620"/>
      <c r="AC74" s="546" t="str">
        <f>IF(OR(Select!$B$331=13,Select!$B$331=14),"",IF(AND(Select!$B$331=4,OR(Select!$B$349=8,Select!$B$349=9)),"",Info!A295))</f>
        <v>Sort imbinare Click</v>
      </c>
      <c r="AD74" s="547"/>
      <c r="AE74" s="547"/>
      <c r="AF74" s="547"/>
      <c r="AG74" s="547"/>
      <c r="AH74" s="547"/>
      <c r="AI74" s="547"/>
      <c r="AJ74" s="548"/>
      <c r="AK74" s="582"/>
      <c r="AL74" s="583"/>
      <c r="AM74" s="542"/>
      <c r="AN74" s="542"/>
      <c r="AO74" s="543"/>
      <c r="AP74" s="546">
        <f t="shared" si="7"/>
        <v>0</v>
      </c>
      <c r="AQ74" s="547"/>
      <c r="AR74" s="548"/>
      <c r="AS74" s="544"/>
      <c r="AT74" s="545"/>
      <c r="AU74" s="541"/>
      <c r="AV74" s="542"/>
      <c r="AW74" s="543"/>
      <c r="AX74" s="541"/>
      <c r="AY74" s="542"/>
      <c r="AZ74" s="543"/>
      <c r="BA74" s="544"/>
      <c r="BB74" s="545"/>
      <c r="BC74" s="57"/>
      <c r="BD74" s="527" t="str">
        <f t="shared" si="6"/>
        <v xml:space="preserve"> </v>
      </c>
      <c r="BE74" s="528"/>
      <c r="BF74" s="278"/>
      <c r="BG74" s="287"/>
      <c r="BH74" s="538"/>
      <c r="BI74" s="539"/>
      <c r="BJ74" s="540"/>
      <c r="BK74" s="522">
        <v>365</v>
      </c>
      <c r="BL74" s="523"/>
      <c r="BM74" s="251"/>
      <c r="BN74" s="576"/>
      <c r="BO74" s="577"/>
      <c r="BP74" s="577"/>
      <c r="BQ74" s="577"/>
      <c r="BR74" s="594"/>
      <c r="BS74" s="594"/>
      <c r="BT74" s="594"/>
      <c r="BU74" s="594"/>
      <c r="BV74" s="594"/>
      <c r="BW74" s="594"/>
      <c r="BX74" s="594"/>
      <c r="BY74" s="594"/>
      <c r="BZ74" s="594"/>
    </row>
    <row r="75" spans="2:78" ht="15" customHeight="1">
      <c r="B75" s="541"/>
      <c r="C75" s="542"/>
      <c r="D75" s="543"/>
      <c r="E75" s="546">
        <f t="shared" si="5"/>
        <v>0</v>
      </c>
      <c r="F75" s="547"/>
      <c r="G75" s="548"/>
      <c r="H75" s="544"/>
      <c r="I75" s="545"/>
      <c r="J75" s="620"/>
      <c r="K75" s="541"/>
      <c r="L75" s="542"/>
      <c r="M75" s="543"/>
      <c r="N75" s="546">
        <f t="shared" si="3"/>
        <v>0</v>
      </c>
      <c r="O75" s="547"/>
      <c r="P75" s="548"/>
      <c r="Q75" s="544"/>
      <c r="R75" s="545"/>
      <c r="S75" s="620"/>
      <c r="T75" s="541"/>
      <c r="U75" s="542"/>
      <c r="V75" s="543"/>
      <c r="W75" s="546">
        <f t="shared" si="4"/>
        <v>0</v>
      </c>
      <c r="X75" s="547"/>
      <c r="Y75" s="548"/>
      <c r="Z75" s="544"/>
      <c r="AA75" s="545"/>
      <c r="AB75" s="620"/>
      <c r="AC75" s="546" t="str">
        <f>IF(OR(Select!$B$331=13,Select!$B$331=14),"",IF(AND(Select!$B$331=4,OR(Select!$B$349=8,Select!$B$349=9)),"",Info!A296))</f>
        <v>Piesa imbinare Click</v>
      </c>
      <c r="AD75" s="547"/>
      <c r="AE75" s="547"/>
      <c r="AF75" s="547"/>
      <c r="AG75" s="547"/>
      <c r="AH75" s="547"/>
      <c r="AI75" s="547"/>
      <c r="AJ75" s="548"/>
      <c r="AK75" s="582"/>
      <c r="AL75" s="583"/>
      <c r="AM75" s="542"/>
      <c r="AN75" s="542"/>
      <c r="AO75" s="543"/>
      <c r="AP75" s="546">
        <f t="shared" si="7"/>
        <v>0</v>
      </c>
      <c r="AQ75" s="547"/>
      <c r="AR75" s="548"/>
      <c r="AS75" s="544"/>
      <c r="AT75" s="545"/>
      <c r="AU75" s="541"/>
      <c r="AV75" s="542"/>
      <c r="AW75" s="543"/>
      <c r="AX75" s="541"/>
      <c r="AY75" s="542"/>
      <c r="AZ75" s="543"/>
      <c r="BA75" s="544"/>
      <c r="BB75" s="545"/>
      <c r="BC75" s="57"/>
      <c r="BD75" s="527" t="str">
        <f t="shared" si="6"/>
        <v xml:space="preserve"> </v>
      </c>
      <c r="BE75" s="528"/>
      <c r="BF75" s="278"/>
      <c r="BG75" s="287"/>
      <c r="BH75" s="538"/>
      <c r="BI75" s="539"/>
      <c r="BJ75" s="540"/>
      <c r="BK75" s="522">
        <v>365</v>
      </c>
      <c r="BL75" s="523"/>
      <c r="BM75" s="251"/>
      <c r="BN75" s="576"/>
      <c r="BO75" s="577"/>
      <c r="BP75" s="577"/>
      <c r="BQ75" s="577"/>
      <c r="BR75" s="594"/>
      <c r="BS75" s="594"/>
      <c r="BT75" s="594"/>
      <c r="BU75" s="594"/>
      <c r="BV75" s="594"/>
      <c r="BW75" s="594"/>
      <c r="BX75" s="594"/>
      <c r="BY75" s="594"/>
      <c r="BZ75" s="594"/>
    </row>
    <row r="76" spans="2:78" ht="15" customHeight="1">
      <c r="B76" s="541"/>
      <c r="C76" s="542"/>
      <c r="D76" s="543"/>
      <c r="E76" s="546">
        <f t="shared" si="5"/>
        <v>0</v>
      </c>
      <c r="F76" s="547"/>
      <c r="G76" s="548"/>
      <c r="H76" s="544"/>
      <c r="I76" s="545"/>
      <c r="J76" s="620"/>
      <c r="K76" s="541"/>
      <c r="L76" s="542"/>
      <c r="M76" s="543"/>
      <c r="N76" s="546">
        <f t="shared" si="3"/>
        <v>0</v>
      </c>
      <c r="O76" s="547"/>
      <c r="P76" s="548"/>
      <c r="Q76" s="544"/>
      <c r="R76" s="545"/>
      <c r="S76" s="620"/>
      <c r="T76" s="541"/>
      <c r="U76" s="542"/>
      <c r="V76" s="543"/>
      <c r="W76" s="546">
        <f t="shared" si="4"/>
        <v>0</v>
      </c>
      <c r="X76" s="547"/>
      <c r="Y76" s="548"/>
      <c r="Z76" s="544"/>
      <c r="AA76" s="545"/>
      <c r="AB76" s="620"/>
      <c r="AC76" s="546" t="str">
        <f>IF(OR(Select!$B$331=13,Select!$B$331=14),"",IF(AND(Select!$B$331=4,OR(Select!$B$349=8,Select!$B$349=9)),"",Info!A297))</f>
        <v>Rupere panta interior</v>
      </c>
      <c r="AD76" s="547"/>
      <c r="AE76" s="547"/>
      <c r="AF76" s="547"/>
      <c r="AG76" s="547"/>
      <c r="AH76" s="547"/>
      <c r="AI76" s="547"/>
      <c r="AJ76" s="548"/>
      <c r="AK76" s="582"/>
      <c r="AL76" s="583"/>
      <c r="AM76" s="542"/>
      <c r="AN76" s="542"/>
      <c r="AO76" s="543"/>
      <c r="AP76" s="546">
        <f t="shared" si="7"/>
        <v>0</v>
      </c>
      <c r="AQ76" s="547"/>
      <c r="AR76" s="548"/>
      <c r="AS76" s="544"/>
      <c r="AT76" s="545"/>
      <c r="AU76" s="541"/>
      <c r="AV76" s="542"/>
      <c r="AW76" s="543"/>
      <c r="AX76" s="541"/>
      <c r="AY76" s="542"/>
      <c r="AZ76" s="543"/>
      <c r="BA76" s="544"/>
      <c r="BB76" s="545"/>
      <c r="BC76" s="57"/>
      <c r="BD76" s="527" t="str">
        <f t="shared" si="6"/>
        <v xml:space="preserve"> </v>
      </c>
      <c r="BE76" s="528"/>
      <c r="BF76" s="278"/>
      <c r="BG76" s="287"/>
      <c r="BH76" s="538"/>
      <c r="BI76" s="539"/>
      <c r="BJ76" s="540"/>
      <c r="BK76" s="522">
        <v>365</v>
      </c>
      <c r="BL76" s="523"/>
      <c r="BM76" s="251"/>
      <c r="BN76" s="576"/>
      <c r="BO76" s="577"/>
      <c r="BP76" s="577"/>
      <c r="BQ76" s="577"/>
      <c r="BR76" s="594"/>
      <c r="BS76" s="594"/>
      <c r="BT76" s="594"/>
      <c r="BU76" s="594"/>
      <c r="BV76" s="594"/>
      <c r="BW76" s="594"/>
      <c r="BX76" s="594"/>
      <c r="BY76" s="594"/>
      <c r="BZ76" s="594"/>
    </row>
    <row r="77" spans="2:78" ht="15" customHeight="1">
      <c r="B77" s="541"/>
      <c r="C77" s="542"/>
      <c r="D77" s="543"/>
      <c r="E77" s="546">
        <f t="shared" si="5"/>
        <v>0</v>
      </c>
      <c r="F77" s="547"/>
      <c r="G77" s="548"/>
      <c r="H77" s="544"/>
      <c r="I77" s="545"/>
      <c r="J77" s="620"/>
      <c r="K77" s="541"/>
      <c r="L77" s="542"/>
      <c r="M77" s="543"/>
      <c r="N77" s="546">
        <f t="shared" si="3"/>
        <v>0</v>
      </c>
      <c r="O77" s="547"/>
      <c r="P77" s="548"/>
      <c r="Q77" s="544"/>
      <c r="R77" s="545"/>
      <c r="S77" s="620"/>
      <c r="T77" s="541"/>
      <c r="U77" s="542"/>
      <c r="V77" s="543"/>
      <c r="W77" s="546">
        <f t="shared" si="4"/>
        <v>0</v>
      </c>
      <c r="X77" s="547"/>
      <c r="Y77" s="548"/>
      <c r="Z77" s="544"/>
      <c r="AA77" s="545"/>
      <c r="AB77" s="620"/>
      <c r="AC77" s="546" t="str">
        <f>IF(OR(Select!$B$331=13,Select!$B$331=14),"",IF(AND(Select!$B$331=4,OR(Select!$B$349=8,Select!$B$349=9)),"",Info!A298))</f>
        <v>Rupere panta exerior Click</v>
      </c>
      <c r="AD77" s="547"/>
      <c r="AE77" s="547"/>
      <c r="AF77" s="547"/>
      <c r="AG77" s="547"/>
      <c r="AH77" s="547"/>
      <c r="AI77" s="547"/>
      <c r="AJ77" s="548"/>
      <c r="AK77" s="582"/>
      <c r="AL77" s="583"/>
      <c r="AM77" s="542"/>
      <c r="AN77" s="542"/>
      <c r="AO77" s="543"/>
      <c r="AP77" s="546">
        <f t="shared" si="7"/>
        <v>0</v>
      </c>
      <c r="AQ77" s="547"/>
      <c r="AR77" s="548"/>
      <c r="AS77" s="544"/>
      <c r="AT77" s="545"/>
      <c r="AU77" s="541"/>
      <c r="AV77" s="542"/>
      <c r="AW77" s="543"/>
      <c r="AX77" s="541"/>
      <c r="AY77" s="542"/>
      <c r="AZ77" s="543"/>
      <c r="BA77" s="544"/>
      <c r="BB77" s="545"/>
      <c r="BC77" s="57"/>
      <c r="BD77" s="527" t="str">
        <f t="shared" si="6"/>
        <v xml:space="preserve"> </v>
      </c>
      <c r="BE77" s="528"/>
      <c r="BF77" s="278"/>
      <c r="BG77" s="287"/>
      <c r="BH77" s="538"/>
      <c r="BI77" s="539"/>
      <c r="BJ77" s="540"/>
      <c r="BK77" s="522">
        <v>365</v>
      </c>
      <c r="BL77" s="523"/>
      <c r="BM77" s="251"/>
      <c r="BN77" s="576"/>
      <c r="BO77" s="577"/>
      <c r="BP77" s="577"/>
      <c r="BQ77" s="577"/>
      <c r="BR77" s="594"/>
      <c r="BS77" s="594"/>
      <c r="BT77" s="594"/>
      <c r="BU77" s="594"/>
      <c r="BV77" s="594"/>
      <c r="BW77" s="594"/>
      <c r="BX77" s="594"/>
      <c r="BY77" s="594"/>
      <c r="BZ77" s="594"/>
    </row>
    <row r="78" spans="2:78" ht="15" customHeight="1">
      <c r="B78" s="541"/>
      <c r="C78" s="542"/>
      <c r="D78" s="543"/>
      <c r="E78" s="546">
        <f t="shared" si="5"/>
        <v>0</v>
      </c>
      <c r="F78" s="547"/>
      <c r="G78" s="548"/>
      <c r="H78" s="544"/>
      <c r="I78" s="545"/>
      <c r="J78" s="620"/>
      <c r="K78" s="541"/>
      <c r="L78" s="542"/>
      <c r="M78" s="543"/>
      <c r="N78" s="546">
        <f t="shared" si="3"/>
        <v>0</v>
      </c>
      <c r="O78" s="547"/>
      <c r="P78" s="548"/>
      <c r="Q78" s="544"/>
      <c r="R78" s="545"/>
      <c r="S78" s="620"/>
      <c r="T78" s="541"/>
      <c r="U78" s="542"/>
      <c r="V78" s="543"/>
      <c r="W78" s="546">
        <f t="shared" si="4"/>
        <v>0</v>
      </c>
      <c r="X78" s="547"/>
      <c r="Y78" s="548"/>
      <c r="Z78" s="544"/>
      <c r="AA78" s="545"/>
      <c r="AB78" s="620"/>
      <c r="AC78" s="546" t="str">
        <f>IF(OR(Select!$B$331=13,Select!$B$331=14),"",IF(AND(Select!$B$331=4,OR(Select!$B$349=8,Select!$B$349=9)),"",Info!A299))</f>
        <v>Suport inchideri Click</v>
      </c>
      <c r="AD78" s="547"/>
      <c r="AE78" s="547"/>
      <c r="AF78" s="547"/>
      <c r="AG78" s="547"/>
      <c r="AH78" s="547"/>
      <c r="AI78" s="547"/>
      <c r="AJ78" s="548"/>
      <c r="AK78" s="582"/>
      <c r="AL78" s="583"/>
      <c r="AM78" s="542"/>
      <c r="AN78" s="542"/>
      <c r="AO78" s="543"/>
      <c r="AP78" s="546">
        <f t="shared" si="7"/>
        <v>0</v>
      </c>
      <c r="AQ78" s="547"/>
      <c r="AR78" s="548"/>
      <c r="AS78" s="544"/>
      <c r="AT78" s="545"/>
      <c r="AU78" s="541"/>
      <c r="AV78" s="542"/>
      <c r="AW78" s="543"/>
      <c r="AX78" s="541"/>
      <c r="AY78" s="542"/>
      <c r="AZ78" s="543"/>
      <c r="BA78" s="544"/>
      <c r="BB78" s="545"/>
      <c r="BC78" s="57"/>
      <c r="BD78" s="527" t="str">
        <f t="shared" si="6"/>
        <v xml:space="preserve"> </v>
      </c>
      <c r="BE78" s="528"/>
      <c r="BF78" s="278"/>
      <c r="BG78" s="287"/>
      <c r="BH78" s="538"/>
      <c r="BI78" s="539"/>
      <c r="BJ78" s="540"/>
      <c r="BK78" s="522">
        <v>365</v>
      </c>
      <c r="BL78" s="523"/>
      <c r="BM78" s="251"/>
      <c r="BN78" s="576"/>
      <c r="BO78" s="577"/>
      <c r="BP78" s="577"/>
      <c r="BQ78" s="577"/>
      <c r="BR78" s="594"/>
      <c r="BS78" s="594"/>
      <c r="BT78" s="594"/>
      <c r="BU78" s="594"/>
      <c r="BV78" s="594"/>
      <c r="BW78" s="594"/>
      <c r="BX78" s="594"/>
      <c r="BY78" s="594"/>
      <c r="BZ78" s="594"/>
    </row>
    <row r="79" spans="2:78" ht="15" customHeight="1">
      <c r="B79" s="541"/>
      <c r="C79" s="542"/>
      <c r="D79" s="543"/>
      <c r="E79" s="546">
        <f t="shared" si="5"/>
        <v>0</v>
      </c>
      <c r="F79" s="547"/>
      <c r="G79" s="548"/>
      <c r="H79" s="544"/>
      <c r="I79" s="545"/>
      <c r="J79" s="620"/>
      <c r="K79" s="541"/>
      <c r="L79" s="542"/>
      <c r="M79" s="543"/>
      <c r="N79" s="546">
        <f t="shared" si="3"/>
        <v>0</v>
      </c>
      <c r="O79" s="547"/>
      <c r="P79" s="548"/>
      <c r="Q79" s="544"/>
      <c r="R79" s="545"/>
      <c r="S79" s="620"/>
      <c r="T79" s="541"/>
      <c r="U79" s="542"/>
      <c r="V79" s="543"/>
      <c r="W79" s="546">
        <f t="shared" si="4"/>
        <v>0</v>
      </c>
      <c r="X79" s="547"/>
      <c r="Y79" s="548"/>
      <c r="Z79" s="544"/>
      <c r="AA79" s="545"/>
      <c r="AB79" s="620"/>
      <c r="AC79" s="546" t="str">
        <f>IF(OR(Select!$B$331=13,Select!$B$331=14),"",IF(AND(Select!$B$331=4,OR(Select!$B$349=8,Select!$B$349=9)),"",Info!A300))</f>
        <v>Profil ventilatie coama Click(Negru/Gri)</v>
      </c>
      <c r="AD79" s="547"/>
      <c r="AE79" s="547"/>
      <c r="AF79" s="547"/>
      <c r="AG79" s="547"/>
      <c r="AH79" s="547"/>
      <c r="AI79" s="547"/>
      <c r="AJ79" s="548"/>
      <c r="AK79" s="582"/>
      <c r="AL79" s="583"/>
      <c r="AM79" s="542"/>
      <c r="AN79" s="542"/>
      <c r="AO79" s="543"/>
      <c r="AP79" s="546">
        <f t="shared" si="7"/>
        <v>0</v>
      </c>
      <c r="AQ79" s="547"/>
      <c r="AR79" s="548"/>
      <c r="AS79" s="544"/>
      <c r="AT79" s="545"/>
      <c r="AU79" s="541"/>
      <c r="AV79" s="542"/>
      <c r="AW79" s="543"/>
      <c r="AX79" s="541"/>
      <c r="AY79" s="542"/>
      <c r="AZ79" s="543"/>
      <c r="BA79" s="544"/>
      <c r="BB79" s="545"/>
      <c r="BC79" s="57"/>
      <c r="BD79" s="527" t="str">
        <f t="shared" si="6"/>
        <v xml:space="preserve"> </v>
      </c>
      <c r="BE79" s="528"/>
      <c r="BF79" s="278"/>
      <c r="BG79" s="287"/>
      <c r="BH79" s="538"/>
      <c r="BI79" s="539"/>
      <c r="BJ79" s="540"/>
      <c r="BK79" s="522">
        <v>365</v>
      </c>
      <c r="BL79" s="523"/>
      <c r="BM79" s="251"/>
      <c r="BN79" s="576"/>
      <c r="BO79" s="577"/>
      <c r="BP79" s="577"/>
      <c r="BQ79" s="577"/>
      <c r="BR79" s="594"/>
      <c r="BS79" s="594"/>
      <c r="BT79" s="594"/>
      <c r="BU79" s="594"/>
      <c r="BV79" s="594"/>
      <c r="BW79" s="594"/>
      <c r="BX79" s="594"/>
      <c r="BY79" s="594"/>
      <c r="BZ79" s="594"/>
    </row>
    <row r="80" spans="2:78" ht="15" customHeight="1">
      <c r="B80" s="541"/>
      <c r="C80" s="542"/>
      <c r="D80" s="543"/>
      <c r="E80" s="546">
        <f t="shared" si="5"/>
        <v>0</v>
      </c>
      <c r="F80" s="547"/>
      <c r="G80" s="548"/>
      <c r="H80" s="544"/>
      <c r="I80" s="545"/>
      <c r="J80" s="620"/>
      <c r="K80" s="541"/>
      <c r="L80" s="542"/>
      <c r="M80" s="543"/>
      <c r="N80" s="546">
        <f t="shared" si="3"/>
        <v>0</v>
      </c>
      <c r="O80" s="547"/>
      <c r="P80" s="548"/>
      <c r="Q80" s="544"/>
      <c r="R80" s="545"/>
      <c r="S80" s="620"/>
      <c r="T80" s="541"/>
      <c r="U80" s="542"/>
      <c r="V80" s="543"/>
      <c r="W80" s="546">
        <f t="shared" si="4"/>
        <v>0</v>
      </c>
      <c r="X80" s="547"/>
      <c r="Y80" s="548"/>
      <c r="Z80" s="544"/>
      <c r="AA80" s="545"/>
      <c r="AB80" s="620"/>
      <c r="AC80" s="546" t="str">
        <f>Info!A301</f>
        <v>Banda fonica Click</v>
      </c>
      <c r="AD80" s="547"/>
      <c r="AE80" s="547"/>
      <c r="AF80" s="547"/>
      <c r="AG80" s="547"/>
      <c r="AH80" s="547"/>
      <c r="AI80" s="547"/>
      <c r="AJ80" s="548"/>
      <c r="AK80" s="582"/>
      <c r="AL80" s="583"/>
      <c r="AM80" s="542"/>
      <c r="AN80" s="542"/>
      <c r="AO80" s="543"/>
      <c r="AP80" s="546">
        <f t="shared" si="7"/>
        <v>0</v>
      </c>
      <c r="AQ80" s="547"/>
      <c r="AR80" s="548"/>
      <c r="AS80" s="544"/>
      <c r="AT80" s="545"/>
      <c r="AU80" s="541"/>
      <c r="AV80" s="542"/>
      <c r="AW80" s="543"/>
      <c r="AX80" s="541"/>
      <c r="AY80" s="542"/>
      <c r="AZ80" s="543"/>
      <c r="BA80" s="544"/>
      <c r="BB80" s="545"/>
      <c r="BC80" s="57"/>
      <c r="BD80" s="527" t="str">
        <f t="shared" si="6"/>
        <v xml:space="preserve"> </v>
      </c>
      <c r="BE80" s="528"/>
      <c r="BF80" s="278"/>
      <c r="BG80" s="287"/>
      <c r="BH80" s="538"/>
      <c r="BI80" s="539"/>
      <c r="BJ80" s="540"/>
      <c r="BK80" s="522">
        <v>365</v>
      </c>
      <c r="BL80" s="523"/>
      <c r="BM80" s="251"/>
      <c r="BN80" s="576"/>
      <c r="BO80" s="577"/>
      <c r="BP80" s="577"/>
      <c r="BQ80" s="577"/>
      <c r="BR80" s="594"/>
      <c r="BS80" s="594"/>
      <c r="BT80" s="594"/>
      <c r="BU80" s="594"/>
      <c r="BV80" s="594"/>
      <c r="BW80" s="594"/>
      <c r="BX80" s="594"/>
      <c r="BY80" s="594"/>
      <c r="BZ80" s="594"/>
    </row>
    <row r="81" spans="2:78" ht="15" customHeight="1">
      <c r="B81" s="541"/>
      <c r="C81" s="542"/>
      <c r="D81" s="543"/>
      <c r="E81" s="546">
        <f t="shared" si="5"/>
        <v>0</v>
      </c>
      <c r="F81" s="547"/>
      <c r="G81" s="548"/>
      <c r="H81" s="544"/>
      <c r="I81" s="545"/>
      <c r="J81" s="620"/>
      <c r="K81" s="541"/>
      <c r="L81" s="542"/>
      <c r="M81" s="543"/>
      <c r="N81" s="546">
        <f t="shared" si="3"/>
        <v>0</v>
      </c>
      <c r="O81" s="547"/>
      <c r="P81" s="548"/>
      <c r="Q81" s="544"/>
      <c r="R81" s="545"/>
      <c r="S81" s="620"/>
      <c r="T81" s="541"/>
      <c r="U81" s="542"/>
      <c r="V81" s="543"/>
      <c r="W81" s="546">
        <f t="shared" si="4"/>
        <v>0</v>
      </c>
      <c r="X81" s="547"/>
      <c r="Y81" s="548"/>
      <c r="Z81" s="544"/>
      <c r="AA81" s="545"/>
      <c r="AB81" s="620"/>
      <c r="AC81" s="546" t="str">
        <f>Info!A302</f>
        <v>Suport Parazapada Click  ( Negru/Gri )</v>
      </c>
      <c r="AD81" s="547"/>
      <c r="AE81" s="547"/>
      <c r="AF81" s="547"/>
      <c r="AG81" s="547"/>
      <c r="AH81" s="547"/>
      <c r="AI81" s="547"/>
      <c r="AJ81" s="548"/>
      <c r="AK81" s="582"/>
      <c r="AL81" s="583"/>
      <c r="AM81" s="542"/>
      <c r="AN81" s="542"/>
      <c r="AO81" s="543"/>
      <c r="AP81" s="546">
        <f t="shared" si="7"/>
        <v>0</v>
      </c>
      <c r="AQ81" s="547"/>
      <c r="AR81" s="548"/>
      <c r="AS81" s="544"/>
      <c r="AT81" s="545"/>
      <c r="AU81" s="541"/>
      <c r="AV81" s="542"/>
      <c r="AW81" s="543"/>
      <c r="AX81" s="541"/>
      <c r="AY81" s="542"/>
      <c r="AZ81" s="543"/>
      <c r="BA81" s="544"/>
      <c r="BB81" s="545"/>
      <c r="BC81" s="57"/>
      <c r="BD81" s="527" t="str">
        <f t="shared" si="6"/>
        <v xml:space="preserve"> </v>
      </c>
      <c r="BE81" s="528"/>
      <c r="BF81" s="278"/>
      <c r="BG81" s="287"/>
      <c r="BH81" s="538"/>
      <c r="BI81" s="539"/>
      <c r="BJ81" s="540"/>
      <c r="BK81" s="522">
        <v>365</v>
      </c>
      <c r="BL81" s="523"/>
      <c r="BM81" s="251"/>
      <c r="BN81" s="576"/>
      <c r="BO81" s="577"/>
      <c r="BP81" s="577"/>
      <c r="BQ81" s="577"/>
      <c r="BR81" s="594"/>
      <c r="BS81" s="594"/>
      <c r="BT81" s="594"/>
      <c r="BU81" s="594"/>
      <c r="BV81" s="594"/>
      <c r="BW81" s="594"/>
      <c r="BX81" s="594"/>
      <c r="BY81" s="594"/>
      <c r="BZ81" s="594"/>
    </row>
    <row r="82" spans="2:78" ht="15" customHeight="1">
      <c r="B82" s="541"/>
      <c r="C82" s="542"/>
      <c r="D82" s="543"/>
      <c r="E82" s="546">
        <f t="shared" si="5"/>
        <v>0</v>
      </c>
      <c r="F82" s="547"/>
      <c r="G82" s="548"/>
      <c r="H82" s="544"/>
      <c r="I82" s="545"/>
      <c r="J82" s="620"/>
      <c r="K82" s="541"/>
      <c r="L82" s="542"/>
      <c r="M82" s="543"/>
      <c r="N82" s="546">
        <f t="shared" si="3"/>
        <v>0</v>
      </c>
      <c r="O82" s="547"/>
      <c r="P82" s="548"/>
      <c r="Q82" s="544"/>
      <c r="R82" s="545"/>
      <c r="S82" s="620"/>
      <c r="T82" s="541"/>
      <c r="U82" s="542"/>
      <c r="V82" s="543"/>
      <c r="W82" s="546">
        <f t="shared" si="4"/>
        <v>0</v>
      </c>
      <c r="X82" s="547"/>
      <c r="Y82" s="548"/>
      <c r="Z82" s="544"/>
      <c r="AA82" s="545"/>
      <c r="AB82" s="620"/>
      <c r="AC82" s="546" t="str">
        <f>Info!A303</f>
        <v>Bara parazapada click 2m ( Negru/Gri )</v>
      </c>
      <c r="AD82" s="547"/>
      <c r="AE82" s="547"/>
      <c r="AF82" s="547"/>
      <c r="AG82" s="547"/>
      <c r="AH82" s="547"/>
      <c r="AI82" s="547"/>
      <c r="AJ82" s="548"/>
      <c r="AK82" s="582"/>
      <c r="AL82" s="583"/>
      <c r="AM82" s="542"/>
      <c r="AN82" s="542"/>
      <c r="AO82" s="543"/>
      <c r="AP82" s="546">
        <f t="shared" si="7"/>
        <v>0</v>
      </c>
      <c r="AQ82" s="547"/>
      <c r="AR82" s="548"/>
      <c r="AS82" s="544"/>
      <c r="AT82" s="545"/>
      <c r="AU82" s="541"/>
      <c r="AV82" s="542"/>
      <c r="AW82" s="543"/>
      <c r="AX82" s="541"/>
      <c r="AY82" s="542"/>
      <c r="AZ82" s="543"/>
      <c r="BA82" s="544"/>
      <c r="BB82" s="545"/>
      <c r="BC82" s="57"/>
      <c r="BD82" s="527" t="str">
        <f t="shared" si="6"/>
        <v xml:space="preserve"> </v>
      </c>
      <c r="BE82" s="528"/>
      <c r="BF82" s="278"/>
      <c r="BG82" s="287"/>
      <c r="BH82" s="538"/>
      <c r="BI82" s="539"/>
      <c r="BJ82" s="540"/>
      <c r="BK82" s="522">
        <v>365</v>
      </c>
      <c r="BL82" s="523"/>
      <c r="BM82" s="251"/>
      <c r="BN82" s="576"/>
      <c r="BO82" s="577"/>
      <c r="BP82" s="577"/>
      <c r="BQ82" s="577"/>
      <c r="BR82" s="594"/>
      <c r="BS82" s="594"/>
      <c r="BT82" s="594"/>
      <c r="BU82" s="594"/>
      <c r="BV82" s="594"/>
      <c r="BW82" s="594"/>
      <c r="BX82" s="594"/>
      <c r="BY82" s="594"/>
      <c r="BZ82" s="594"/>
    </row>
    <row r="83" spans="2:78" ht="15" customHeight="1">
      <c r="B83" s="541"/>
      <c r="C83" s="542"/>
      <c r="D83" s="543"/>
      <c r="E83" s="546">
        <f t="shared" si="5"/>
        <v>0</v>
      </c>
      <c r="F83" s="547"/>
      <c r="G83" s="548"/>
      <c r="H83" s="544"/>
      <c r="I83" s="545"/>
      <c r="J83" s="620"/>
      <c r="K83" s="541"/>
      <c r="L83" s="542"/>
      <c r="M83" s="543"/>
      <c r="N83" s="546">
        <f t="shared" si="3"/>
        <v>0</v>
      </c>
      <c r="O83" s="547"/>
      <c r="P83" s="548"/>
      <c r="Q83" s="544"/>
      <c r="R83" s="545"/>
      <c r="S83" s="620"/>
      <c r="T83" s="541"/>
      <c r="U83" s="542"/>
      <c r="V83" s="543"/>
      <c r="W83" s="546">
        <f t="shared" si="4"/>
        <v>0</v>
      </c>
      <c r="X83" s="547"/>
      <c r="Y83" s="548"/>
      <c r="Z83" s="544"/>
      <c r="AA83" s="545"/>
      <c r="AB83" s="620"/>
      <c r="AC83" s="546" t="str">
        <f>Info!A304</f>
        <v>Conector bara ( Negru/Gri )</v>
      </c>
      <c r="AD83" s="547"/>
      <c r="AE83" s="547"/>
      <c r="AF83" s="547"/>
      <c r="AG83" s="547"/>
      <c r="AH83" s="547"/>
      <c r="AI83" s="547"/>
      <c r="AJ83" s="548"/>
      <c r="AK83" s="582"/>
      <c r="AL83" s="583"/>
      <c r="AM83" s="542"/>
      <c r="AN83" s="542"/>
      <c r="AO83" s="543"/>
      <c r="AP83" s="546">
        <f t="shared" si="7"/>
        <v>0</v>
      </c>
      <c r="AQ83" s="547"/>
      <c r="AR83" s="548"/>
      <c r="AS83" s="544"/>
      <c r="AT83" s="545"/>
      <c r="AU83" s="541"/>
      <c r="AV83" s="542"/>
      <c r="AW83" s="543"/>
      <c r="AX83" s="541"/>
      <c r="AY83" s="542"/>
      <c r="AZ83" s="543"/>
      <c r="BA83" s="544"/>
      <c r="BB83" s="545"/>
      <c r="BC83" s="57"/>
      <c r="BD83" s="527" t="str">
        <f t="shared" si="6"/>
        <v xml:space="preserve"> </v>
      </c>
      <c r="BE83" s="528"/>
      <c r="BF83" s="278"/>
      <c r="BG83" s="287"/>
      <c r="BH83" s="538"/>
      <c r="BI83" s="539"/>
      <c r="BJ83" s="540"/>
      <c r="BK83" s="522">
        <v>365</v>
      </c>
      <c r="BL83" s="523"/>
      <c r="BM83" s="251"/>
      <c r="BN83" s="576"/>
      <c r="BO83" s="577"/>
      <c r="BP83" s="577"/>
      <c r="BQ83" s="577"/>
      <c r="BR83" s="594"/>
      <c r="BS83" s="594"/>
      <c r="BT83" s="594"/>
      <c r="BU83" s="594"/>
      <c r="BV83" s="594"/>
      <c r="BW83" s="594"/>
      <c r="BX83" s="594"/>
      <c r="BY83" s="594"/>
      <c r="BZ83" s="594"/>
    </row>
    <row r="84" spans="2:78" ht="15" customHeight="1">
      <c r="B84" s="541"/>
      <c r="C84" s="542"/>
      <c r="D84" s="543"/>
      <c r="E84" s="546">
        <f t="shared" si="5"/>
        <v>0</v>
      </c>
      <c r="F84" s="547"/>
      <c r="G84" s="548"/>
      <c r="H84" s="544"/>
      <c r="I84" s="545"/>
      <c r="J84" s="620"/>
      <c r="K84" s="541"/>
      <c r="L84" s="542"/>
      <c r="M84" s="543"/>
      <c r="N84" s="546">
        <f t="shared" si="3"/>
        <v>0</v>
      </c>
      <c r="O84" s="547"/>
      <c r="P84" s="548"/>
      <c r="Q84" s="544"/>
      <c r="R84" s="545"/>
      <c r="S84" s="620"/>
      <c r="T84" s="541"/>
      <c r="U84" s="542"/>
      <c r="V84" s="543"/>
      <c r="W84" s="546">
        <f t="shared" si="4"/>
        <v>0</v>
      </c>
      <c r="X84" s="547"/>
      <c r="Y84" s="548"/>
      <c r="Z84" s="544"/>
      <c r="AA84" s="545"/>
      <c r="AB84" s="620"/>
      <c r="AC84" s="546" t="str">
        <f>Info!A305</f>
        <v>Capac bara ( Negru/Gri )</v>
      </c>
      <c r="AD84" s="547"/>
      <c r="AE84" s="547"/>
      <c r="AF84" s="547"/>
      <c r="AG84" s="547"/>
      <c r="AH84" s="547"/>
      <c r="AI84" s="547"/>
      <c r="AJ84" s="548"/>
      <c r="AK84" s="582"/>
      <c r="AL84" s="583"/>
      <c r="AM84" s="542"/>
      <c r="AN84" s="542"/>
      <c r="AO84" s="543"/>
      <c r="AP84" s="546">
        <f t="shared" si="7"/>
        <v>0</v>
      </c>
      <c r="AQ84" s="547"/>
      <c r="AR84" s="548"/>
      <c r="AS84" s="544"/>
      <c r="AT84" s="545"/>
      <c r="AU84" s="541"/>
      <c r="AV84" s="542"/>
      <c r="AW84" s="543"/>
      <c r="AX84" s="541"/>
      <c r="AY84" s="542"/>
      <c r="AZ84" s="543"/>
      <c r="BA84" s="544"/>
      <c r="BB84" s="545"/>
      <c r="BC84" s="57"/>
      <c r="BD84" s="527" t="str">
        <f t="shared" si="6"/>
        <v xml:space="preserve"> </v>
      </c>
      <c r="BE84" s="528"/>
      <c r="BF84" s="278"/>
      <c r="BG84" s="287"/>
      <c r="BH84" s="538"/>
      <c r="BI84" s="539"/>
      <c r="BJ84" s="540"/>
      <c r="BK84" s="522">
        <v>365</v>
      </c>
      <c r="BL84" s="523"/>
      <c r="BM84" s="251"/>
      <c r="BN84" s="576"/>
      <c r="BO84" s="577"/>
      <c r="BP84" s="577"/>
      <c r="BQ84" s="577"/>
      <c r="BR84" s="594"/>
      <c r="BS84" s="594"/>
      <c r="BT84" s="594"/>
      <c r="BU84" s="594"/>
      <c r="BV84" s="594"/>
      <c r="BW84" s="594"/>
      <c r="BX84" s="594"/>
      <c r="BY84" s="594"/>
      <c r="BZ84" s="594"/>
    </row>
    <row r="85" spans="2:78" ht="15" customHeight="1">
      <c r="B85" s="541"/>
      <c r="C85" s="542"/>
      <c r="D85" s="543"/>
      <c r="E85" s="546">
        <f t="shared" si="5"/>
        <v>0</v>
      </c>
      <c r="F85" s="547"/>
      <c r="G85" s="548"/>
      <c r="H85" s="544"/>
      <c r="I85" s="545"/>
      <c r="J85" s="620"/>
      <c r="K85" s="541"/>
      <c r="L85" s="542"/>
      <c r="M85" s="543"/>
      <c r="N85" s="546">
        <f t="shared" si="3"/>
        <v>0</v>
      </c>
      <c r="O85" s="547"/>
      <c r="P85" s="548"/>
      <c r="Q85" s="544"/>
      <c r="R85" s="545"/>
      <c r="S85" s="620"/>
      <c r="T85" s="541"/>
      <c r="U85" s="542"/>
      <c r="V85" s="543"/>
      <c r="W85" s="546">
        <f t="shared" si="4"/>
        <v>0</v>
      </c>
      <c r="X85" s="547"/>
      <c r="Y85" s="548"/>
      <c r="Z85" s="544"/>
      <c r="AA85" s="545"/>
      <c r="AB85" s="620"/>
      <c r="AC85" s="546" t="str">
        <f>Info!A306</f>
        <v>Blocator bara</v>
      </c>
      <c r="AD85" s="547"/>
      <c r="AE85" s="547"/>
      <c r="AF85" s="547"/>
      <c r="AG85" s="547"/>
      <c r="AH85" s="547"/>
      <c r="AI85" s="547"/>
      <c r="AJ85" s="548"/>
      <c r="AK85" s="582"/>
      <c r="AL85" s="583"/>
      <c r="AM85" s="542"/>
      <c r="AN85" s="542"/>
      <c r="AO85" s="543"/>
      <c r="AP85" s="546">
        <f t="shared" si="7"/>
        <v>0</v>
      </c>
      <c r="AQ85" s="547"/>
      <c r="AR85" s="548"/>
      <c r="AS85" s="544"/>
      <c r="AT85" s="545"/>
      <c r="AU85" s="541"/>
      <c r="AV85" s="542"/>
      <c r="AW85" s="543"/>
      <c r="AX85" s="541"/>
      <c r="AY85" s="542"/>
      <c r="AZ85" s="543"/>
      <c r="BA85" s="544"/>
      <c r="BB85" s="545"/>
      <c r="BC85" s="57"/>
      <c r="BD85" s="527" t="str">
        <f t="shared" si="6"/>
        <v xml:space="preserve"> </v>
      </c>
      <c r="BE85" s="528"/>
      <c r="BF85" s="278"/>
      <c r="BG85" s="287"/>
      <c r="BH85" s="538"/>
      <c r="BI85" s="539"/>
      <c r="BJ85" s="540"/>
      <c r="BK85" s="522">
        <v>365</v>
      </c>
      <c r="BL85" s="523"/>
      <c r="BM85" s="251"/>
      <c r="BN85" s="576"/>
      <c r="BO85" s="577"/>
      <c r="BP85" s="577"/>
      <c r="BQ85" s="577"/>
      <c r="BR85" s="594"/>
      <c r="BS85" s="594"/>
      <c r="BT85" s="594"/>
      <c r="BU85" s="594"/>
      <c r="BV85" s="594"/>
      <c r="BW85" s="594"/>
      <c r="BX85" s="594"/>
      <c r="BY85" s="594"/>
      <c r="BZ85" s="594"/>
    </row>
    <row r="86" spans="2:78" ht="15" customHeight="1">
      <c r="B86" s="541"/>
      <c r="C86" s="542"/>
      <c r="D86" s="543"/>
      <c r="E86" s="546">
        <f t="shared" si="5"/>
        <v>0</v>
      </c>
      <c r="F86" s="547"/>
      <c r="G86" s="548"/>
      <c r="H86" s="544"/>
      <c r="I86" s="545"/>
      <c r="J86" s="620"/>
      <c r="K86" s="541"/>
      <c r="L86" s="542"/>
      <c r="M86" s="543"/>
      <c r="N86" s="546">
        <f t="shared" si="3"/>
        <v>0</v>
      </c>
      <c r="O86" s="547"/>
      <c r="P86" s="548"/>
      <c r="Q86" s="544"/>
      <c r="R86" s="545"/>
      <c r="S86" s="620"/>
      <c r="T86" s="541"/>
      <c r="U86" s="542"/>
      <c r="V86" s="543"/>
      <c r="W86" s="546">
        <f t="shared" si="4"/>
        <v>0</v>
      </c>
      <c r="X86" s="547"/>
      <c r="Y86" s="548"/>
      <c r="Z86" s="544"/>
      <c r="AA86" s="545"/>
      <c r="AB86" s="620"/>
      <c r="AC86" s="546" t="str">
        <f>Info!A307</f>
        <v>Clema fixa inox 28 mm</v>
      </c>
      <c r="AD86" s="547"/>
      <c r="AE86" s="547"/>
      <c r="AF86" s="547"/>
      <c r="AG86" s="547"/>
      <c r="AH86" s="547"/>
      <c r="AI86" s="547"/>
      <c r="AJ86" s="548"/>
      <c r="AK86" s="650"/>
      <c r="AL86" s="885"/>
      <c r="AM86" s="542"/>
      <c r="AN86" s="542"/>
      <c r="AO86" s="543"/>
      <c r="AP86" s="546">
        <f t="shared" si="7"/>
        <v>0</v>
      </c>
      <c r="AQ86" s="547"/>
      <c r="AR86" s="548"/>
      <c r="AS86" s="544"/>
      <c r="AT86" s="545"/>
      <c r="AU86" s="541"/>
      <c r="AV86" s="542"/>
      <c r="AW86" s="543"/>
      <c r="AX86" s="541"/>
      <c r="AY86" s="542"/>
      <c r="AZ86" s="543"/>
      <c r="BA86" s="544"/>
      <c r="BB86" s="545"/>
      <c r="BC86" s="57"/>
      <c r="BD86" s="527" t="str">
        <f t="shared" si="6"/>
        <v xml:space="preserve"> </v>
      </c>
      <c r="BE86" s="528"/>
      <c r="BF86" s="278"/>
      <c r="BG86" s="287"/>
      <c r="BH86" s="538"/>
      <c r="BI86" s="539"/>
      <c r="BJ86" s="540"/>
      <c r="BK86" s="522">
        <v>365</v>
      </c>
      <c r="BL86" s="523"/>
      <c r="BM86" s="251"/>
      <c r="BN86" s="576"/>
      <c r="BO86" s="577"/>
      <c r="BP86" s="577"/>
      <c r="BQ86" s="577"/>
      <c r="BR86" s="594"/>
      <c r="BS86" s="594"/>
      <c r="BT86" s="594"/>
      <c r="BU86" s="594"/>
      <c r="BV86" s="594"/>
      <c r="BW86" s="594"/>
      <c r="BX86" s="594"/>
      <c r="BY86" s="594"/>
      <c r="BZ86" s="594"/>
    </row>
    <row r="87" spans="2:78" ht="15" customHeight="1" thickBot="1">
      <c r="B87" s="541"/>
      <c r="C87" s="542"/>
      <c r="D87" s="543"/>
      <c r="E87" s="546">
        <f t="shared" si="5"/>
        <v>0</v>
      </c>
      <c r="F87" s="547"/>
      <c r="G87" s="548"/>
      <c r="H87" s="544"/>
      <c r="I87" s="545"/>
      <c r="J87" s="620"/>
      <c r="K87" s="541"/>
      <c r="L87" s="542"/>
      <c r="M87" s="543"/>
      <c r="N87" s="546">
        <f t="shared" si="3"/>
        <v>0</v>
      </c>
      <c r="O87" s="547"/>
      <c r="P87" s="548"/>
      <c r="Q87" s="544"/>
      <c r="R87" s="545"/>
      <c r="S87" s="620"/>
      <c r="T87" s="541"/>
      <c r="U87" s="542"/>
      <c r="V87" s="543"/>
      <c r="W87" s="546">
        <f t="shared" si="4"/>
        <v>0</v>
      </c>
      <c r="X87" s="547"/>
      <c r="Y87" s="548"/>
      <c r="Z87" s="544"/>
      <c r="AA87" s="545"/>
      <c r="AB87" s="620"/>
      <c r="AC87" s="546" t="str">
        <f>Info!A308</f>
        <v>Clema mobila inox 28 mm</v>
      </c>
      <c r="AD87" s="547"/>
      <c r="AE87" s="547"/>
      <c r="AF87" s="547"/>
      <c r="AG87" s="547"/>
      <c r="AH87" s="547"/>
      <c r="AI87" s="547"/>
      <c r="AJ87" s="548"/>
      <c r="AK87" s="640"/>
      <c r="AL87" s="641"/>
      <c r="AM87" s="542"/>
      <c r="AN87" s="542"/>
      <c r="AO87" s="543"/>
      <c r="AP87" s="546">
        <f t="shared" si="7"/>
        <v>0</v>
      </c>
      <c r="AQ87" s="547"/>
      <c r="AR87" s="548"/>
      <c r="AS87" s="544"/>
      <c r="AT87" s="545"/>
      <c r="AU87" s="541"/>
      <c r="AV87" s="542"/>
      <c r="AW87" s="543"/>
      <c r="AX87" s="541"/>
      <c r="AY87" s="542"/>
      <c r="AZ87" s="543"/>
      <c r="BA87" s="544"/>
      <c r="BB87" s="545"/>
      <c r="BC87" s="57"/>
      <c r="BD87" s="527" t="str">
        <f t="shared" si="6"/>
        <v xml:space="preserve"> </v>
      </c>
      <c r="BE87" s="528"/>
      <c r="BF87" s="278"/>
      <c r="BG87" s="287"/>
      <c r="BH87" s="538"/>
      <c r="BI87" s="539"/>
      <c r="BJ87" s="540"/>
      <c r="BK87" s="522">
        <v>365</v>
      </c>
      <c r="BL87" s="523"/>
      <c r="BM87" s="251"/>
      <c r="BN87" s="576"/>
      <c r="BO87" s="577"/>
      <c r="BP87" s="577"/>
      <c r="BQ87" s="577"/>
      <c r="BR87" s="594"/>
      <c r="BS87" s="594"/>
      <c r="BT87" s="594"/>
      <c r="BU87" s="594"/>
      <c r="BV87" s="594"/>
      <c r="BW87" s="594"/>
      <c r="BX87" s="594"/>
      <c r="BY87" s="594"/>
      <c r="BZ87" s="594"/>
    </row>
    <row r="88" spans="2:78" ht="15" customHeight="1">
      <c r="B88" s="541"/>
      <c r="C88" s="542"/>
      <c r="D88" s="543"/>
      <c r="E88" s="546">
        <f t="shared" si="5"/>
        <v>0</v>
      </c>
      <c r="F88" s="547"/>
      <c r="G88" s="548"/>
      <c r="H88" s="544"/>
      <c r="I88" s="545"/>
      <c r="J88" s="620"/>
      <c r="K88" s="541"/>
      <c r="L88" s="542"/>
      <c r="M88" s="543"/>
      <c r="N88" s="546">
        <f t="shared" si="3"/>
        <v>0</v>
      </c>
      <c r="O88" s="547"/>
      <c r="P88" s="548"/>
      <c r="Q88" s="544"/>
      <c r="R88" s="545"/>
      <c r="S88" s="620"/>
      <c r="T88" s="541"/>
      <c r="U88" s="542"/>
      <c r="V88" s="543"/>
      <c r="W88" s="546">
        <f t="shared" si="4"/>
        <v>0</v>
      </c>
      <c r="X88" s="547"/>
      <c r="Y88" s="548"/>
      <c r="Z88" s="544"/>
      <c r="AA88" s="545"/>
      <c r="AB88" s="620"/>
      <c r="AC88" s="58"/>
      <c r="AD88" s="58"/>
      <c r="AE88" s="58"/>
      <c r="AF88" s="58"/>
      <c r="AG88" s="58"/>
      <c r="AH88" s="58"/>
      <c r="AI88" s="58"/>
      <c r="AJ88" s="58"/>
      <c r="AK88" s="58"/>
      <c r="AL88" s="59"/>
      <c r="AM88" s="541"/>
      <c r="AN88" s="542"/>
      <c r="AO88" s="543"/>
      <c r="AP88" s="546">
        <f t="shared" si="7"/>
        <v>0</v>
      </c>
      <c r="AQ88" s="547"/>
      <c r="AR88" s="548"/>
      <c r="AS88" s="544"/>
      <c r="AT88" s="545"/>
      <c r="AU88" s="541"/>
      <c r="AV88" s="542"/>
      <c r="AW88" s="543"/>
      <c r="AX88" s="541"/>
      <c r="AY88" s="542"/>
      <c r="AZ88" s="543"/>
      <c r="BA88" s="544"/>
      <c r="BB88" s="545"/>
      <c r="BC88" s="57"/>
      <c r="BD88" s="527" t="str">
        <f t="shared" si="6"/>
        <v xml:space="preserve"> </v>
      </c>
      <c r="BE88" s="528"/>
      <c r="BF88" s="278"/>
      <c r="BG88" s="287"/>
      <c r="BH88" s="538"/>
      <c r="BI88" s="539"/>
      <c r="BJ88" s="540"/>
      <c r="BK88" s="522">
        <v>365</v>
      </c>
      <c r="BL88" s="523"/>
      <c r="BM88" s="251"/>
      <c r="BN88" s="576"/>
      <c r="BO88" s="577"/>
      <c r="BP88" s="577"/>
      <c r="BQ88" s="577"/>
      <c r="BR88" s="594"/>
      <c r="BS88" s="594"/>
      <c r="BT88" s="594"/>
      <c r="BU88" s="594"/>
      <c r="BV88" s="594"/>
      <c r="BW88" s="594"/>
      <c r="BX88" s="594"/>
      <c r="BY88" s="594"/>
      <c r="BZ88" s="594"/>
    </row>
    <row r="89" spans="2:78" ht="15" customHeight="1">
      <c r="B89" s="541"/>
      <c r="C89" s="542"/>
      <c r="D89" s="543"/>
      <c r="E89" s="546">
        <f t="shared" si="5"/>
        <v>0</v>
      </c>
      <c r="F89" s="547"/>
      <c r="G89" s="548"/>
      <c r="H89" s="544"/>
      <c r="I89" s="545"/>
      <c r="J89" s="620"/>
      <c r="K89" s="541"/>
      <c r="L89" s="542"/>
      <c r="M89" s="543"/>
      <c r="N89" s="546">
        <f t="shared" si="3"/>
        <v>0</v>
      </c>
      <c r="O89" s="547"/>
      <c r="P89" s="548"/>
      <c r="Q89" s="544"/>
      <c r="R89" s="545"/>
      <c r="S89" s="620"/>
      <c r="T89" s="541"/>
      <c r="U89" s="542"/>
      <c r="V89" s="543"/>
      <c r="W89" s="546">
        <f t="shared" si="4"/>
        <v>0</v>
      </c>
      <c r="X89" s="547"/>
      <c r="Y89" s="548"/>
      <c r="Z89" s="544"/>
      <c r="AA89" s="545"/>
      <c r="AB89" s="620"/>
      <c r="AC89" s="58"/>
      <c r="AD89" s="58"/>
      <c r="AE89" s="58"/>
      <c r="AF89" s="58"/>
      <c r="AG89" s="58"/>
      <c r="AH89" s="58"/>
      <c r="AI89" s="58"/>
      <c r="AJ89" s="58"/>
      <c r="AK89" s="58"/>
      <c r="AL89" s="59"/>
      <c r="AM89" s="541"/>
      <c r="AN89" s="542"/>
      <c r="AO89" s="543"/>
      <c r="AP89" s="546">
        <f t="shared" si="7"/>
        <v>0</v>
      </c>
      <c r="AQ89" s="547"/>
      <c r="AR89" s="548"/>
      <c r="AS89" s="544"/>
      <c r="AT89" s="545"/>
      <c r="AU89" s="541"/>
      <c r="AV89" s="542"/>
      <c r="AW89" s="543"/>
      <c r="AX89" s="541"/>
      <c r="AY89" s="542"/>
      <c r="AZ89" s="543"/>
      <c r="BA89" s="544"/>
      <c r="BB89" s="545"/>
      <c r="BC89" s="57"/>
      <c r="BD89" s="527" t="str">
        <f t="shared" si="6"/>
        <v xml:space="preserve"> </v>
      </c>
      <c r="BE89" s="528"/>
      <c r="BF89" s="278"/>
      <c r="BG89" s="287"/>
      <c r="BH89" s="538"/>
      <c r="BI89" s="539"/>
      <c r="BJ89" s="540"/>
      <c r="BK89" s="522">
        <v>365</v>
      </c>
      <c r="BL89" s="523"/>
      <c r="BM89" s="251"/>
      <c r="BN89" s="576"/>
      <c r="BO89" s="577"/>
      <c r="BP89" s="577"/>
      <c r="BQ89" s="577"/>
      <c r="BR89" s="594"/>
      <c r="BS89" s="594"/>
      <c r="BT89" s="594"/>
      <c r="BU89" s="594"/>
      <c r="BV89" s="594"/>
      <c r="BW89" s="594"/>
      <c r="BX89" s="594"/>
      <c r="BY89" s="594"/>
      <c r="BZ89" s="594"/>
    </row>
    <row r="90" spans="2:78" ht="15" customHeight="1">
      <c r="B90" s="541"/>
      <c r="C90" s="542"/>
      <c r="D90" s="543"/>
      <c r="E90" s="546">
        <f t="shared" si="5"/>
        <v>0</v>
      </c>
      <c r="F90" s="547"/>
      <c r="G90" s="548"/>
      <c r="H90" s="544"/>
      <c r="I90" s="545"/>
      <c r="J90" s="620"/>
      <c r="K90" s="541"/>
      <c r="L90" s="542"/>
      <c r="M90" s="543"/>
      <c r="N90" s="546">
        <f t="shared" si="3"/>
        <v>0</v>
      </c>
      <c r="O90" s="547"/>
      <c r="P90" s="548"/>
      <c r="Q90" s="544"/>
      <c r="R90" s="545"/>
      <c r="S90" s="620"/>
      <c r="T90" s="541"/>
      <c r="U90" s="542"/>
      <c r="V90" s="543"/>
      <c r="W90" s="546">
        <f t="shared" si="4"/>
        <v>0</v>
      </c>
      <c r="X90" s="547"/>
      <c r="Y90" s="548"/>
      <c r="Z90" s="544"/>
      <c r="AA90" s="545"/>
      <c r="AB90" s="620"/>
      <c r="AC90" s="58"/>
      <c r="AD90" s="58"/>
      <c r="AE90" s="58"/>
      <c r="AF90" s="58"/>
      <c r="AG90" s="58"/>
      <c r="AH90" s="58"/>
      <c r="AI90" s="58"/>
      <c r="AJ90" s="58"/>
      <c r="AK90" s="58"/>
      <c r="AL90" s="59"/>
      <c r="AM90" s="541"/>
      <c r="AN90" s="542"/>
      <c r="AO90" s="543"/>
      <c r="AP90" s="546">
        <f t="shared" si="7"/>
        <v>0</v>
      </c>
      <c r="AQ90" s="547"/>
      <c r="AR90" s="548"/>
      <c r="AS90" s="544"/>
      <c r="AT90" s="545"/>
      <c r="AU90" s="541"/>
      <c r="AV90" s="542"/>
      <c r="AW90" s="543"/>
      <c r="AX90" s="541"/>
      <c r="AY90" s="542"/>
      <c r="AZ90" s="543"/>
      <c r="BA90" s="544"/>
      <c r="BB90" s="545"/>
      <c r="BC90" s="57"/>
      <c r="BD90" s="527" t="str">
        <f t="shared" si="6"/>
        <v xml:space="preserve"> </v>
      </c>
      <c r="BE90" s="528"/>
      <c r="BF90" s="278"/>
      <c r="BG90" s="287"/>
      <c r="BH90" s="538"/>
      <c r="BI90" s="539"/>
      <c r="BJ90" s="540"/>
      <c r="BK90" s="522">
        <v>365</v>
      </c>
      <c r="BL90" s="523"/>
      <c r="BM90" s="251"/>
      <c r="BN90" s="576"/>
      <c r="BO90" s="577"/>
      <c r="BP90" s="577"/>
      <c r="BQ90" s="577"/>
      <c r="BR90" s="594"/>
      <c r="BS90" s="594"/>
      <c r="BT90" s="594"/>
      <c r="BU90" s="594"/>
      <c r="BV90" s="594"/>
      <c r="BW90" s="594"/>
      <c r="BX90" s="594"/>
      <c r="BY90" s="594"/>
      <c r="BZ90" s="594"/>
    </row>
    <row r="91" spans="2:78" ht="15" customHeight="1">
      <c r="B91" s="541"/>
      <c r="C91" s="542"/>
      <c r="D91" s="543"/>
      <c r="E91" s="546">
        <f t="shared" si="5"/>
        <v>0</v>
      </c>
      <c r="F91" s="547"/>
      <c r="G91" s="548"/>
      <c r="H91" s="544"/>
      <c r="I91" s="545"/>
      <c r="J91" s="620"/>
      <c r="K91" s="541"/>
      <c r="L91" s="542"/>
      <c r="M91" s="543"/>
      <c r="N91" s="546">
        <f t="shared" si="3"/>
        <v>0</v>
      </c>
      <c r="O91" s="547"/>
      <c r="P91" s="548"/>
      <c r="Q91" s="544"/>
      <c r="R91" s="545"/>
      <c r="S91" s="620"/>
      <c r="T91" s="541"/>
      <c r="U91" s="542"/>
      <c r="V91" s="543"/>
      <c r="W91" s="546">
        <f t="shared" si="4"/>
        <v>0</v>
      </c>
      <c r="X91" s="547"/>
      <c r="Y91" s="548"/>
      <c r="Z91" s="544"/>
      <c r="AA91" s="545"/>
      <c r="AB91" s="620"/>
      <c r="AC91" s="58"/>
      <c r="AD91" s="58"/>
      <c r="AE91" s="58"/>
      <c r="AF91" s="58"/>
      <c r="AG91" s="58"/>
      <c r="AH91" s="58"/>
      <c r="AI91" s="58"/>
      <c r="AJ91" s="58"/>
      <c r="AK91" s="58"/>
      <c r="AL91" s="59"/>
      <c r="AM91" s="541"/>
      <c r="AN91" s="542"/>
      <c r="AO91" s="543"/>
      <c r="AP91" s="546">
        <f t="shared" si="7"/>
        <v>0</v>
      </c>
      <c r="AQ91" s="547"/>
      <c r="AR91" s="548"/>
      <c r="AS91" s="544"/>
      <c r="AT91" s="545"/>
      <c r="AU91" s="541"/>
      <c r="AV91" s="542"/>
      <c r="AW91" s="543"/>
      <c r="AX91" s="541"/>
      <c r="AY91" s="542"/>
      <c r="AZ91" s="543"/>
      <c r="BA91" s="544"/>
      <c r="BB91" s="545"/>
      <c r="BC91" s="57"/>
      <c r="BD91" s="527" t="str">
        <f t="shared" si="6"/>
        <v xml:space="preserve"> </v>
      </c>
      <c r="BE91" s="528"/>
      <c r="BF91" s="278"/>
      <c r="BG91" s="287"/>
      <c r="BH91" s="611" t="s">
        <v>1725</v>
      </c>
      <c r="BI91" s="612"/>
      <c r="BJ91" s="612"/>
      <c r="BK91" s="612"/>
      <c r="BL91" s="612"/>
      <c r="BM91" s="613"/>
      <c r="BN91" s="576"/>
      <c r="BO91" s="577"/>
      <c r="BP91" s="577"/>
      <c r="BQ91" s="577"/>
      <c r="BR91" s="594"/>
      <c r="BS91" s="594"/>
      <c r="BT91" s="594"/>
      <c r="BU91" s="594"/>
      <c r="BV91" s="594"/>
      <c r="BW91" s="594"/>
      <c r="BX91" s="594"/>
      <c r="BY91" s="594"/>
      <c r="BZ91" s="594"/>
    </row>
    <row r="92" spans="2:78" ht="15" customHeight="1">
      <c r="B92" s="541"/>
      <c r="C92" s="542"/>
      <c r="D92" s="543"/>
      <c r="E92" s="546">
        <f t="shared" si="5"/>
        <v>0</v>
      </c>
      <c r="F92" s="547"/>
      <c r="G92" s="548"/>
      <c r="H92" s="544"/>
      <c r="I92" s="545"/>
      <c r="J92" s="620"/>
      <c r="K92" s="541"/>
      <c r="L92" s="542"/>
      <c r="M92" s="543"/>
      <c r="N92" s="546">
        <f t="shared" si="3"/>
        <v>0</v>
      </c>
      <c r="O92" s="547"/>
      <c r="P92" s="548"/>
      <c r="Q92" s="544"/>
      <c r="R92" s="545"/>
      <c r="S92" s="620"/>
      <c r="T92" s="541"/>
      <c r="U92" s="542"/>
      <c r="V92" s="543"/>
      <c r="W92" s="546">
        <f t="shared" si="4"/>
        <v>0</v>
      </c>
      <c r="X92" s="547"/>
      <c r="Y92" s="548"/>
      <c r="Z92" s="544"/>
      <c r="AA92" s="545"/>
      <c r="AB92" s="620"/>
      <c r="AC92" s="58"/>
      <c r="AD92" s="58"/>
      <c r="AE92" s="58"/>
      <c r="AF92" s="58"/>
      <c r="AG92" s="58"/>
      <c r="AH92" s="58"/>
      <c r="AI92" s="58"/>
      <c r="AJ92" s="58"/>
      <c r="AK92" s="58"/>
      <c r="AL92" s="59"/>
      <c r="AM92" s="541"/>
      <c r="AN92" s="542"/>
      <c r="AO92" s="543"/>
      <c r="AP92" s="546">
        <f t="shared" si="7"/>
        <v>0</v>
      </c>
      <c r="AQ92" s="547"/>
      <c r="AR92" s="548"/>
      <c r="AS92" s="544"/>
      <c r="AT92" s="545"/>
      <c r="AU92" s="541"/>
      <c r="AV92" s="542"/>
      <c r="AW92" s="543"/>
      <c r="AX92" s="541"/>
      <c r="AY92" s="542"/>
      <c r="AZ92" s="543"/>
      <c r="BA92" s="544"/>
      <c r="BB92" s="545"/>
      <c r="BC92" s="57"/>
      <c r="BD92" s="527" t="str">
        <f t="shared" si="6"/>
        <v xml:space="preserve"> </v>
      </c>
      <c r="BE92" s="528"/>
      <c r="BF92" s="278"/>
      <c r="BG92" s="287"/>
      <c r="BH92" s="608" t="s">
        <v>1728</v>
      </c>
      <c r="BI92" s="609"/>
      <c r="BJ92" s="609"/>
      <c r="BK92" s="609"/>
      <c r="BL92" s="610"/>
      <c r="BM92" s="251"/>
      <c r="BN92" s="576"/>
      <c r="BO92" s="577"/>
      <c r="BP92" s="577"/>
      <c r="BQ92" s="577"/>
      <c r="BR92" s="594"/>
      <c r="BS92" s="594"/>
      <c r="BT92" s="594"/>
      <c r="BU92" s="594"/>
      <c r="BV92" s="594"/>
      <c r="BW92" s="594"/>
      <c r="BX92" s="594"/>
      <c r="BY92" s="594"/>
      <c r="BZ92" s="594"/>
    </row>
    <row r="93" spans="2:78" ht="15" customHeight="1">
      <c r="B93" s="541"/>
      <c r="C93" s="542"/>
      <c r="D93" s="543"/>
      <c r="E93" s="546">
        <f t="shared" si="5"/>
        <v>0</v>
      </c>
      <c r="F93" s="547"/>
      <c r="G93" s="548"/>
      <c r="H93" s="544"/>
      <c r="I93" s="545"/>
      <c r="J93" s="620"/>
      <c r="K93" s="541"/>
      <c r="L93" s="542"/>
      <c r="M93" s="543"/>
      <c r="N93" s="546">
        <f t="shared" si="3"/>
        <v>0</v>
      </c>
      <c r="O93" s="547"/>
      <c r="P93" s="548"/>
      <c r="Q93" s="544"/>
      <c r="R93" s="545"/>
      <c r="S93" s="620"/>
      <c r="T93" s="541"/>
      <c r="U93" s="542"/>
      <c r="V93" s="543"/>
      <c r="W93" s="546">
        <f t="shared" si="4"/>
        <v>0</v>
      </c>
      <c r="X93" s="547"/>
      <c r="Y93" s="548"/>
      <c r="Z93" s="544"/>
      <c r="AA93" s="545"/>
      <c r="AB93" s="620"/>
      <c r="AC93" s="58"/>
      <c r="AD93" s="58"/>
      <c r="AE93" s="58"/>
      <c r="AF93" s="58"/>
      <c r="AG93" s="58"/>
      <c r="AH93" s="58"/>
      <c r="AI93" s="58"/>
      <c r="AJ93" s="58"/>
      <c r="AK93" s="58"/>
      <c r="AL93" s="59"/>
      <c r="AM93" s="541"/>
      <c r="AN93" s="542"/>
      <c r="AO93" s="543"/>
      <c r="AP93" s="546">
        <f t="shared" si="7"/>
        <v>0</v>
      </c>
      <c r="AQ93" s="547"/>
      <c r="AR93" s="548"/>
      <c r="AS93" s="544"/>
      <c r="AT93" s="545"/>
      <c r="AU93" s="847"/>
      <c r="AV93" s="848"/>
      <c r="AW93" s="848"/>
      <c r="AX93" s="848"/>
      <c r="AY93" s="848"/>
      <c r="AZ93" s="848"/>
      <c r="BA93" s="848"/>
      <c r="BB93" s="849"/>
      <c r="BC93" s="57"/>
      <c r="BD93" s="527" t="str">
        <f t="shared" si="6"/>
        <v xml:space="preserve"> </v>
      </c>
      <c r="BE93" s="528"/>
      <c r="BF93" s="278"/>
      <c r="BG93" s="287"/>
      <c r="BH93" s="608" t="s">
        <v>1726</v>
      </c>
      <c r="BI93" s="609"/>
      <c r="BJ93" s="609"/>
      <c r="BK93" s="609"/>
      <c r="BL93" s="610"/>
      <c r="BM93" s="251"/>
      <c r="BN93" s="576"/>
      <c r="BO93" s="577"/>
      <c r="BP93" s="577"/>
      <c r="BQ93" s="577"/>
      <c r="BR93" s="594"/>
      <c r="BS93" s="594"/>
      <c r="BT93" s="594"/>
      <c r="BU93" s="594"/>
      <c r="BV93" s="594"/>
      <c r="BW93" s="594"/>
      <c r="BX93" s="594"/>
      <c r="BY93" s="594"/>
      <c r="BZ93" s="594"/>
    </row>
    <row r="94" spans="2:78" ht="15" customHeight="1" thickBot="1">
      <c r="B94" s="541"/>
      <c r="C94" s="542"/>
      <c r="D94" s="543"/>
      <c r="E94" s="546">
        <f t="shared" si="5"/>
        <v>0</v>
      </c>
      <c r="F94" s="547"/>
      <c r="G94" s="548"/>
      <c r="H94" s="544"/>
      <c r="I94" s="545"/>
      <c r="J94" s="620"/>
      <c r="K94" s="541"/>
      <c r="L94" s="542"/>
      <c r="M94" s="543"/>
      <c r="N94" s="546">
        <f t="shared" si="3"/>
        <v>0</v>
      </c>
      <c r="O94" s="547"/>
      <c r="P94" s="548"/>
      <c r="Q94" s="544"/>
      <c r="R94" s="545"/>
      <c r="S94" s="620"/>
      <c r="T94" s="541"/>
      <c r="U94" s="542"/>
      <c r="V94" s="543"/>
      <c r="W94" s="546">
        <f t="shared" si="4"/>
        <v>0</v>
      </c>
      <c r="X94" s="547"/>
      <c r="Y94" s="548"/>
      <c r="Z94" s="544"/>
      <c r="AA94" s="545"/>
      <c r="AB94" s="620"/>
      <c r="AC94" s="60"/>
      <c r="AD94" s="60"/>
      <c r="AE94" s="60"/>
      <c r="AF94" s="60"/>
      <c r="AG94" s="60"/>
      <c r="AH94" s="60"/>
      <c r="AI94" s="60"/>
      <c r="AJ94" s="60"/>
      <c r="AK94" s="60"/>
      <c r="AL94" s="61"/>
      <c r="AM94" s="541"/>
      <c r="AN94" s="542"/>
      <c r="AO94" s="543"/>
      <c r="AP94" s="546">
        <f t="shared" si="7"/>
        <v>0</v>
      </c>
      <c r="AQ94" s="547"/>
      <c r="AR94" s="548"/>
      <c r="AS94" s="544"/>
      <c r="AT94" s="545"/>
      <c r="AU94" s="850"/>
      <c r="AV94" s="851"/>
      <c r="AW94" s="851"/>
      <c r="AX94" s="851"/>
      <c r="AY94" s="851"/>
      <c r="AZ94" s="851"/>
      <c r="BA94" s="851"/>
      <c r="BB94" s="852"/>
      <c r="BC94" s="62"/>
      <c r="BD94" s="527" t="str">
        <f>BD93</f>
        <v xml:space="preserve"> </v>
      </c>
      <c r="BE94" s="528"/>
      <c r="BF94" s="278"/>
      <c r="BG94" s="287"/>
      <c r="BH94" s="595" t="s">
        <v>1727</v>
      </c>
      <c r="BI94" s="596"/>
      <c r="BJ94" s="596"/>
      <c r="BK94" s="596"/>
      <c r="BL94" s="597"/>
      <c r="BM94" s="252"/>
      <c r="BN94" s="576"/>
      <c r="BO94" s="577"/>
      <c r="BP94" s="577"/>
      <c r="BQ94" s="577"/>
      <c r="BR94" s="594"/>
      <c r="BS94" s="594"/>
      <c r="BT94" s="594"/>
      <c r="BU94" s="594"/>
      <c r="BV94" s="594"/>
      <c r="BW94" s="594"/>
      <c r="BX94" s="594"/>
      <c r="BY94" s="594"/>
      <c r="BZ94" s="594"/>
    </row>
    <row r="95" spans="2:78" s="478" customFormat="1">
      <c r="B95" s="541"/>
      <c r="C95" s="542"/>
      <c r="D95" s="543"/>
      <c r="E95" s="546">
        <f t="shared" si="5"/>
        <v>0</v>
      </c>
      <c r="F95" s="547"/>
      <c r="G95" s="548"/>
      <c r="H95" s="544"/>
      <c r="I95" s="545"/>
      <c r="J95" s="620"/>
      <c r="K95" s="541"/>
      <c r="L95" s="542"/>
      <c r="M95" s="543"/>
      <c r="N95" s="546">
        <f t="shared" ref="N95:N96" si="8">E95</f>
        <v>0</v>
      </c>
      <c r="O95" s="547"/>
      <c r="P95" s="548"/>
      <c r="Q95" s="544"/>
      <c r="R95" s="545"/>
      <c r="S95" s="620"/>
      <c r="T95" s="541"/>
      <c r="U95" s="542"/>
      <c r="V95" s="543"/>
      <c r="W95" s="546">
        <f t="shared" ref="W95:W96" si="9">N95</f>
        <v>0</v>
      </c>
      <c r="X95" s="547"/>
      <c r="Y95" s="548"/>
      <c r="Z95" s="544"/>
      <c r="AA95" s="545"/>
      <c r="AB95" s="620"/>
      <c r="AC95" s="847"/>
      <c r="AD95" s="848"/>
      <c r="AE95" s="848"/>
      <c r="AF95" s="848"/>
      <c r="AG95" s="848"/>
      <c r="AH95" s="848"/>
      <c r="AI95" s="848"/>
      <c r="AJ95" s="848"/>
      <c r="AK95" s="848"/>
      <c r="AL95" s="849"/>
      <c r="AM95" s="541"/>
      <c r="AN95" s="542"/>
      <c r="AO95" s="543"/>
      <c r="AP95" s="546">
        <f t="shared" si="7"/>
        <v>0</v>
      </c>
      <c r="AQ95" s="547"/>
      <c r="AR95" s="548"/>
      <c r="AS95" s="544"/>
      <c r="AT95" s="545"/>
      <c r="AV95" s="594"/>
      <c r="AW95" s="594"/>
      <c r="AX95" s="594"/>
      <c r="AY95" s="594"/>
      <c r="AZ95" s="594"/>
      <c r="BA95" s="594"/>
      <c r="BB95" s="594"/>
      <c r="BC95" s="594"/>
      <c r="BD95" s="594"/>
      <c r="BE95" s="594"/>
      <c r="BF95" s="594"/>
      <c r="BG95" s="594"/>
      <c r="BH95" s="594"/>
      <c r="BI95" s="594"/>
      <c r="BJ95" s="594"/>
      <c r="BK95" s="594"/>
      <c r="BL95" s="594"/>
      <c r="BM95" s="594"/>
      <c r="BN95" s="594"/>
      <c r="BO95" s="594"/>
      <c r="BP95" s="594"/>
      <c r="BQ95" s="594"/>
    </row>
    <row r="96" spans="2:78" s="478" customFormat="1">
      <c r="B96" s="541"/>
      <c r="C96" s="542"/>
      <c r="D96" s="543"/>
      <c r="E96" s="546">
        <f t="shared" si="5"/>
        <v>0</v>
      </c>
      <c r="F96" s="547"/>
      <c r="G96" s="548"/>
      <c r="H96" s="544"/>
      <c r="I96" s="545"/>
      <c r="J96" s="621"/>
      <c r="K96" s="541"/>
      <c r="L96" s="542"/>
      <c r="M96" s="543"/>
      <c r="N96" s="546">
        <f t="shared" si="8"/>
        <v>0</v>
      </c>
      <c r="O96" s="547"/>
      <c r="P96" s="548"/>
      <c r="Q96" s="544"/>
      <c r="R96" s="545"/>
      <c r="S96" s="621"/>
      <c r="T96" s="541"/>
      <c r="U96" s="542"/>
      <c r="V96" s="543"/>
      <c r="W96" s="546">
        <f t="shared" si="9"/>
        <v>0</v>
      </c>
      <c r="X96" s="547"/>
      <c r="Y96" s="548"/>
      <c r="Z96" s="544"/>
      <c r="AA96" s="545"/>
      <c r="AB96" s="621"/>
      <c r="AC96" s="886"/>
      <c r="AD96" s="594"/>
      <c r="AE96" s="594"/>
      <c r="AF96" s="594"/>
      <c r="AG96" s="594"/>
      <c r="AH96" s="594"/>
      <c r="AI96" s="594"/>
      <c r="AJ96" s="594"/>
      <c r="AK96" s="594"/>
      <c r="AL96" s="887"/>
      <c r="AM96" s="541"/>
      <c r="AN96" s="542"/>
      <c r="AO96" s="543"/>
      <c r="AP96" s="546">
        <f t="shared" si="7"/>
        <v>0</v>
      </c>
      <c r="AQ96" s="547"/>
      <c r="AR96" s="548"/>
      <c r="AS96" s="544"/>
      <c r="AT96" s="545"/>
      <c r="AV96" s="594"/>
      <c r="AW96" s="594"/>
      <c r="AX96" s="594"/>
      <c r="AY96" s="594"/>
      <c r="AZ96" s="594"/>
      <c r="BA96" s="594"/>
      <c r="BB96" s="594"/>
      <c r="BC96" s="594"/>
      <c r="BD96" s="594"/>
      <c r="BE96" s="594"/>
      <c r="BF96" s="594"/>
      <c r="BG96" s="594"/>
      <c r="BH96" s="594"/>
      <c r="BI96" s="594"/>
      <c r="BJ96" s="594"/>
      <c r="BK96" s="594"/>
      <c r="BL96" s="594"/>
      <c r="BM96" s="594"/>
      <c r="BN96" s="594"/>
      <c r="BO96" s="594"/>
      <c r="BP96" s="594"/>
      <c r="BQ96" s="594"/>
    </row>
    <row r="97" spans="2:69" s="478" customFormat="1">
      <c r="B97" s="594"/>
      <c r="C97" s="594"/>
      <c r="D97" s="594"/>
      <c r="E97" s="594"/>
      <c r="F97" s="594"/>
      <c r="G97" s="594"/>
      <c r="H97" s="594"/>
      <c r="I97" s="594"/>
      <c r="J97" s="594"/>
      <c r="K97" s="594"/>
      <c r="L97" s="594"/>
      <c r="M97" s="594"/>
      <c r="N97" s="594"/>
      <c r="O97" s="594"/>
      <c r="P97" s="594"/>
      <c r="Q97" s="594"/>
      <c r="R97" s="594"/>
      <c r="S97" s="594"/>
      <c r="T97" s="594"/>
      <c r="U97" s="594"/>
      <c r="V97" s="594"/>
      <c r="W97" s="594"/>
      <c r="X97" s="594"/>
      <c r="Y97" s="594"/>
      <c r="Z97" s="594"/>
      <c r="AA97" s="594"/>
      <c r="AB97" s="594"/>
      <c r="AC97" s="594"/>
      <c r="AD97" s="594"/>
      <c r="AE97" s="594"/>
      <c r="AF97" s="594"/>
      <c r="AG97" s="594"/>
      <c r="AH97" s="594"/>
      <c r="AI97" s="594"/>
      <c r="AJ97" s="594"/>
      <c r="AK97" s="594"/>
      <c r="AL97" s="887"/>
      <c r="AM97" s="541"/>
      <c r="AN97" s="542"/>
      <c r="AO97" s="543"/>
      <c r="AP97" s="546">
        <f t="shared" si="7"/>
        <v>0</v>
      </c>
      <c r="AQ97" s="547"/>
      <c r="AR97" s="548"/>
      <c r="AS97" s="544"/>
      <c r="AT97" s="545"/>
      <c r="AV97" s="594"/>
      <c r="AW97" s="594"/>
      <c r="AX97" s="594"/>
      <c r="AY97" s="594"/>
      <c r="AZ97" s="594"/>
      <c r="BA97" s="594"/>
      <c r="BB97" s="594"/>
      <c r="BC97" s="594"/>
      <c r="BD97" s="594"/>
      <c r="BE97" s="594"/>
      <c r="BF97" s="594"/>
      <c r="BG97" s="594"/>
      <c r="BH97" s="594"/>
      <c r="BI97" s="594"/>
      <c r="BJ97" s="594"/>
      <c r="BK97" s="594"/>
      <c r="BL97" s="594"/>
      <c r="BM97" s="594"/>
      <c r="BN97" s="594"/>
      <c r="BO97" s="594"/>
      <c r="BP97" s="594"/>
      <c r="BQ97" s="594"/>
    </row>
    <row r="98" spans="2:69" s="478" customFormat="1">
      <c r="B98" s="594"/>
      <c r="C98" s="594"/>
      <c r="D98" s="594"/>
      <c r="E98" s="594"/>
      <c r="F98" s="594"/>
      <c r="G98" s="594"/>
      <c r="H98" s="594"/>
      <c r="I98" s="594"/>
      <c r="J98" s="594"/>
      <c r="K98" s="594"/>
      <c r="L98" s="594"/>
      <c r="M98" s="594"/>
      <c r="N98" s="594"/>
      <c r="O98" s="594"/>
      <c r="P98" s="594"/>
      <c r="Q98" s="594"/>
      <c r="R98" s="594"/>
      <c r="S98" s="594"/>
      <c r="T98" s="594"/>
      <c r="U98" s="594"/>
      <c r="V98" s="594"/>
      <c r="W98" s="594"/>
      <c r="X98" s="594"/>
      <c r="Y98" s="594"/>
      <c r="Z98" s="594"/>
      <c r="AA98" s="594"/>
      <c r="AB98" s="594"/>
      <c r="AC98" s="594"/>
      <c r="AD98" s="594"/>
      <c r="AE98" s="594"/>
      <c r="AF98" s="594"/>
      <c r="AG98" s="594"/>
      <c r="AH98" s="594"/>
      <c r="AI98" s="594"/>
      <c r="AJ98" s="594"/>
      <c r="AK98" s="594"/>
      <c r="AL98" s="887"/>
      <c r="AM98" s="541"/>
      <c r="AN98" s="542"/>
      <c r="AO98" s="543"/>
      <c r="AP98" s="546">
        <f t="shared" si="7"/>
        <v>0</v>
      </c>
      <c r="AQ98" s="547"/>
      <c r="AR98" s="548"/>
      <c r="AS98" s="544"/>
      <c r="AT98" s="545"/>
      <c r="AV98" s="594"/>
      <c r="AW98" s="594"/>
      <c r="AX98" s="594"/>
      <c r="AY98" s="594"/>
      <c r="AZ98" s="594"/>
      <c r="BA98" s="594"/>
      <c r="BB98" s="594"/>
      <c r="BC98" s="594"/>
      <c r="BD98" s="594"/>
      <c r="BE98" s="594"/>
      <c r="BF98" s="594"/>
      <c r="BG98" s="594"/>
      <c r="BH98" s="594"/>
      <c r="BI98" s="594"/>
      <c r="BJ98" s="594"/>
      <c r="BK98" s="594"/>
      <c r="BL98" s="594"/>
      <c r="BM98" s="594"/>
      <c r="BN98" s="594"/>
      <c r="BO98" s="594"/>
      <c r="BP98" s="594"/>
      <c r="BQ98" s="594"/>
    </row>
    <row r="99" spans="2:69" s="478" customFormat="1">
      <c r="B99" s="594"/>
      <c r="C99" s="594"/>
      <c r="D99" s="594"/>
      <c r="E99" s="594"/>
      <c r="F99" s="594"/>
      <c r="G99" s="594"/>
      <c r="H99" s="594"/>
      <c r="I99" s="594"/>
      <c r="J99" s="594"/>
      <c r="K99" s="594"/>
      <c r="L99" s="594"/>
      <c r="M99" s="594"/>
      <c r="N99" s="594"/>
      <c r="O99" s="594"/>
      <c r="P99" s="594"/>
      <c r="Q99" s="594"/>
      <c r="R99" s="594"/>
      <c r="S99" s="594"/>
      <c r="T99" s="594"/>
      <c r="U99" s="594"/>
      <c r="V99" s="594"/>
      <c r="W99" s="594"/>
      <c r="X99" s="594"/>
      <c r="Y99" s="594"/>
      <c r="Z99" s="594"/>
      <c r="AA99" s="594"/>
      <c r="AB99" s="594"/>
      <c r="AC99" s="594"/>
      <c r="AD99" s="594"/>
      <c r="AE99" s="594"/>
      <c r="AF99" s="594"/>
      <c r="AG99" s="594"/>
      <c r="AH99" s="594"/>
      <c r="AI99" s="594"/>
      <c r="AJ99" s="594"/>
      <c r="AK99" s="594"/>
      <c r="AL99" s="887"/>
      <c r="AM99" s="541"/>
      <c r="AN99" s="542"/>
      <c r="AO99" s="543"/>
      <c r="AP99" s="546">
        <f t="shared" si="7"/>
        <v>0</v>
      </c>
      <c r="AQ99" s="547"/>
      <c r="AR99" s="548"/>
      <c r="AS99" s="544"/>
      <c r="AT99" s="545"/>
      <c r="AV99" s="594"/>
      <c r="AW99" s="594"/>
      <c r="AX99" s="594"/>
      <c r="AY99" s="594"/>
      <c r="AZ99" s="594"/>
      <c r="BA99" s="594"/>
      <c r="BB99" s="594"/>
      <c r="BC99" s="594"/>
      <c r="BD99" s="594"/>
      <c r="BE99" s="594"/>
      <c r="BF99" s="594"/>
      <c r="BG99" s="594"/>
      <c r="BH99" s="594"/>
      <c r="BI99" s="594"/>
      <c r="BJ99" s="594"/>
      <c r="BK99" s="594"/>
      <c r="BL99" s="594"/>
      <c r="BM99" s="594"/>
      <c r="BN99" s="594"/>
      <c r="BO99" s="594"/>
      <c r="BP99" s="594"/>
      <c r="BQ99" s="594"/>
    </row>
    <row r="100" spans="2:69" s="478" customFormat="1">
      <c r="B100" s="594"/>
      <c r="C100" s="594"/>
      <c r="D100" s="594"/>
      <c r="E100" s="594"/>
      <c r="F100" s="594"/>
      <c r="G100" s="594"/>
      <c r="H100" s="594"/>
      <c r="I100" s="594"/>
      <c r="J100" s="594"/>
      <c r="K100" s="594"/>
      <c r="L100" s="594"/>
      <c r="M100" s="594"/>
      <c r="N100" s="594"/>
      <c r="O100" s="594"/>
      <c r="P100" s="594"/>
      <c r="Q100" s="594"/>
      <c r="R100" s="594"/>
      <c r="S100" s="594"/>
      <c r="T100" s="594"/>
      <c r="U100" s="594"/>
      <c r="V100" s="594"/>
      <c r="W100" s="594"/>
      <c r="X100" s="594"/>
      <c r="Y100" s="594"/>
      <c r="Z100" s="594"/>
      <c r="AA100" s="594"/>
      <c r="AB100" s="594"/>
      <c r="AC100" s="594"/>
      <c r="AD100" s="594"/>
      <c r="AE100" s="594"/>
      <c r="AF100" s="594"/>
      <c r="AG100" s="594"/>
      <c r="AH100" s="594"/>
      <c r="AI100" s="594"/>
      <c r="AJ100" s="594"/>
      <c r="AK100" s="594"/>
      <c r="AL100" s="887"/>
      <c r="AM100" s="541"/>
      <c r="AN100" s="542"/>
      <c r="AO100" s="543"/>
      <c r="AP100" s="546">
        <f t="shared" si="7"/>
        <v>0</v>
      </c>
      <c r="AQ100" s="547"/>
      <c r="AR100" s="548"/>
      <c r="AS100" s="544"/>
      <c r="AT100" s="545"/>
      <c r="AV100" s="594"/>
      <c r="AW100" s="594"/>
      <c r="AX100" s="594"/>
      <c r="AY100" s="594"/>
      <c r="AZ100" s="594"/>
      <c r="BA100" s="594"/>
      <c r="BB100" s="594"/>
      <c r="BC100" s="594"/>
      <c r="BD100" s="594"/>
      <c r="BE100" s="594"/>
      <c r="BF100" s="594"/>
      <c r="BG100" s="594"/>
      <c r="BH100" s="594"/>
      <c r="BI100" s="594"/>
      <c r="BJ100" s="594"/>
      <c r="BK100" s="594"/>
      <c r="BL100" s="594"/>
      <c r="BM100" s="594"/>
      <c r="BN100" s="594"/>
      <c r="BO100" s="594"/>
      <c r="BP100" s="594"/>
      <c r="BQ100" s="594"/>
    </row>
    <row r="101" spans="2:69" s="478" customFormat="1">
      <c r="B101" s="594"/>
      <c r="C101" s="594"/>
      <c r="D101" s="594"/>
      <c r="E101" s="594"/>
      <c r="F101" s="594"/>
      <c r="G101" s="594"/>
      <c r="H101" s="594"/>
      <c r="I101" s="594"/>
      <c r="J101" s="594"/>
      <c r="K101" s="594"/>
      <c r="L101" s="594"/>
      <c r="M101" s="594"/>
      <c r="N101" s="594"/>
      <c r="O101" s="594"/>
      <c r="P101" s="594"/>
      <c r="Q101" s="594"/>
      <c r="R101" s="594"/>
      <c r="S101" s="594"/>
      <c r="T101" s="594"/>
      <c r="U101" s="594"/>
      <c r="V101" s="594"/>
      <c r="W101" s="594"/>
      <c r="X101" s="594"/>
      <c r="Y101" s="594"/>
      <c r="Z101" s="594"/>
      <c r="AA101" s="594"/>
      <c r="AB101" s="594"/>
      <c r="AC101" s="594"/>
      <c r="AD101" s="594"/>
      <c r="AE101" s="594"/>
      <c r="AF101" s="594"/>
      <c r="AG101" s="594"/>
      <c r="AH101" s="594"/>
      <c r="AI101" s="594"/>
      <c r="AJ101" s="594"/>
      <c r="AK101" s="594"/>
      <c r="AL101" s="887"/>
      <c r="AM101" s="546" t="s">
        <v>2198</v>
      </c>
      <c r="AN101" s="547"/>
      <c r="AO101" s="547"/>
      <c r="AP101" s="547"/>
      <c r="AQ101" s="547"/>
      <c r="AR101" s="548"/>
      <c r="AS101" s="544"/>
      <c r="AT101" s="545"/>
      <c r="AV101" s="594"/>
      <c r="AW101" s="594"/>
      <c r="AX101" s="594"/>
      <c r="AY101" s="594"/>
      <c r="AZ101" s="594"/>
      <c r="BA101" s="594"/>
      <c r="BB101" s="594"/>
      <c r="BC101" s="594"/>
      <c r="BD101" s="594"/>
      <c r="BE101" s="594"/>
      <c r="BF101" s="594"/>
      <c r="BG101" s="594"/>
      <c r="BH101" s="594"/>
      <c r="BI101" s="594"/>
      <c r="BJ101" s="594"/>
      <c r="BK101" s="594"/>
      <c r="BL101" s="594"/>
      <c r="BM101" s="594"/>
      <c r="BN101" s="594"/>
      <c r="BO101" s="594"/>
      <c r="BP101" s="594"/>
      <c r="BQ101" s="594"/>
    </row>
    <row r="102" spans="2:69" s="478" customFormat="1">
      <c r="B102" s="594"/>
      <c r="C102" s="594"/>
      <c r="D102" s="594"/>
      <c r="E102" s="594"/>
      <c r="F102" s="594"/>
      <c r="G102" s="594"/>
      <c r="H102" s="594"/>
      <c r="I102" s="594"/>
      <c r="J102" s="594"/>
      <c r="K102" s="594"/>
      <c r="L102" s="594"/>
      <c r="M102" s="594"/>
      <c r="N102" s="594"/>
      <c r="O102" s="594"/>
      <c r="P102" s="594"/>
      <c r="Q102" s="594"/>
      <c r="R102" s="594"/>
      <c r="S102" s="594"/>
      <c r="T102" s="594"/>
      <c r="U102" s="594"/>
      <c r="V102" s="594"/>
      <c r="W102" s="594"/>
      <c r="X102" s="594"/>
      <c r="Y102" s="594"/>
      <c r="Z102" s="594"/>
      <c r="AA102" s="594"/>
      <c r="AB102" s="594"/>
      <c r="AC102" s="594"/>
      <c r="AD102" s="594"/>
      <c r="AE102" s="594"/>
      <c r="AF102" s="594"/>
      <c r="AG102" s="594"/>
      <c r="AH102" s="594"/>
      <c r="AI102" s="594"/>
      <c r="AJ102" s="594"/>
      <c r="AK102" s="594"/>
      <c r="AL102" s="887"/>
      <c r="AM102" s="546" t="s">
        <v>2199</v>
      </c>
      <c r="AN102" s="547"/>
      <c r="AO102" s="547"/>
      <c r="AP102" s="547"/>
      <c r="AQ102" s="547"/>
      <c r="AR102" s="548"/>
      <c r="AS102" s="544"/>
      <c r="AT102" s="545"/>
      <c r="AV102" s="594"/>
      <c r="AW102" s="594"/>
      <c r="AX102" s="594"/>
      <c r="AY102" s="594"/>
      <c r="AZ102" s="594"/>
      <c r="BA102" s="594"/>
      <c r="BB102" s="594"/>
      <c r="BC102" s="594"/>
      <c r="BD102" s="594"/>
      <c r="BE102" s="594"/>
      <c r="BF102" s="594"/>
      <c r="BG102" s="594"/>
      <c r="BH102" s="594"/>
      <c r="BI102" s="594"/>
      <c r="BJ102" s="594"/>
      <c r="BK102" s="594"/>
      <c r="BL102" s="594"/>
      <c r="BM102" s="594"/>
      <c r="BN102" s="594"/>
      <c r="BO102" s="594"/>
      <c r="BP102" s="594"/>
      <c r="BQ102" s="594"/>
    </row>
    <row r="103" spans="2:69" s="478" customFormat="1"/>
    <row r="104" spans="2:69" s="478" customFormat="1"/>
    <row r="105" spans="2:69" s="478" customFormat="1"/>
    <row r="106" spans="2:69" s="478" customFormat="1"/>
    <row r="107" spans="2:69" s="478" customFormat="1"/>
    <row r="108" spans="2:69" s="478" customFormat="1"/>
    <row r="109" spans="2:69" s="478" customFormat="1"/>
  </sheetData>
  <sheetProtection algorithmName="SHA-512" hashValue="eTyrzekz1NgY5Sf0dluOK5IkuyPZ8+Ar3UyoKqIskwpp5oSXiiX31hZVsddc4RrLjEIWL6SNQb1uZ5dLh/2/Aw==" saltValue="LTfm4/rDuHUAvjTnWrbARw==" spinCount="100000" sheet="1" objects="1" scenarios="1"/>
  <protectedRanges>
    <protectedRange sqref="BE8:BF9" name="Range15"/>
    <protectedRange sqref="BQ9:BQ13 BQ16:BQ20 BQ23:BQ27 BN38:BQ46" name="Range12"/>
    <protectedRange sqref="BM68:BM69 BM73:BM90 BM92:BM94 BQ50:BQ51 BQ9:BQ13 BQ16:BQ20 BQ23:BQ27 BQ54:BQ55 BQ58:BQ59 BQ62:BQ63 BQ38:BQ46" name="Range11"/>
    <protectedRange sqref="BG35:BG63" name="Range9"/>
    <protectedRange sqref="AK86:AL87" name="Range8"/>
    <protectedRange sqref="AD49:AE63" name="Range6"/>
    <protectedRange sqref="BA71:BB92" name="Range4"/>
    <protectedRange sqref="AK67:AL87 BG70:BG94 BF71:BF94 AN101:AO102 B67:D96 H67:I96 K67:M96 Q67:R96 T67:V96 Z67:AA96 AS71:AZ92 AM71:AO100 AS93:AT102" name="Range3"/>
    <protectedRange sqref="H12 J15:K50 D31:F50 N50:P59 Q51:S59 T50:U59 T32 AD49:AE63 AS7:AT63 AD12:AE38 N36:U45 BM64 BM7:BM36 BM38:BM41 B51:B62 A51:A63 C51:K63 BM43:BM62 T12:U31 BG22:BG24 BG8:BG20 AV28:BB57 BC28:BC62 BD28:BG57 AV59:BB63 BD59:BG63 AV58:BG58" name="Range1"/>
    <protectedRange sqref="T32" name="Range5"/>
    <protectedRange sqref="AK86:AL87" name="Range7"/>
    <protectedRange sqref="BH73:BJ90 BN9:BN13 BN16:BN20 BN23:BN27 BN54:BN56 BN58:BN60 BN62:BN64 BN38:BN46" name="Range13"/>
    <protectedRange sqref="BM68:BM69 BM73:BM90 BM92:BM94 BH73:BJ90 BO49:BQ64 BN38:BQ46" name="Range14"/>
  </protectedRanges>
  <mergeCells count="1246">
    <mergeCell ref="H90:I90"/>
    <mergeCell ref="Q89:R89"/>
    <mergeCell ref="N88:P88"/>
    <mergeCell ref="B88:D88"/>
    <mergeCell ref="Q88:R88"/>
    <mergeCell ref="E88:G88"/>
    <mergeCell ref="H88:I88"/>
    <mergeCell ref="N91:P91"/>
    <mergeCell ref="N90:P90"/>
    <mergeCell ref="W88:Y88"/>
    <mergeCell ref="W86:Y86"/>
    <mergeCell ref="W87:Y87"/>
    <mergeCell ref="T87:V87"/>
    <mergeCell ref="H86:I86"/>
    <mergeCell ref="S67:S96"/>
    <mergeCell ref="W70:Y70"/>
    <mergeCell ref="Q72:R72"/>
    <mergeCell ref="N72:P72"/>
    <mergeCell ref="Q81:R81"/>
    <mergeCell ref="E81:G81"/>
    <mergeCell ref="T81:V81"/>
    <mergeCell ref="Q83:R83"/>
    <mergeCell ref="B94:D94"/>
    <mergeCell ref="E94:G94"/>
    <mergeCell ref="H94:I94"/>
    <mergeCell ref="K94:M94"/>
    <mergeCell ref="N94:P94"/>
    <mergeCell ref="Q94:R94"/>
    <mergeCell ref="Z94:AA94"/>
    <mergeCell ref="AS102:AT102"/>
    <mergeCell ref="AM98:AO98"/>
    <mergeCell ref="AP98:AR98"/>
    <mergeCell ref="AS98:AT98"/>
    <mergeCell ref="AM102:AR102"/>
    <mergeCell ref="AP96:AR96"/>
    <mergeCell ref="Z90:AA90"/>
    <mergeCell ref="W89:Y89"/>
    <mergeCell ref="N84:P84"/>
    <mergeCell ref="K86:M86"/>
    <mergeCell ref="B86:D86"/>
    <mergeCell ref="N86:P86"/>
    <mergeCell ref="Z88:AA88"/>
    <mergeCell ref="Z87:AA87"/>
    <mergeCell ref="Z84:AA84"/>
    <mergeCell ref="Z85:AA85"/>
    <mergeCell ref="K96:M96"/>
    <mergeCell ref="N96:P96"/>
    <mergeCell ref="B95:D95"/>
    <mergeCell ref="E95:G95"/>
    <mergeCell ref="H95:I95"/>
    <mergeCell ref="B96:D96"/>
    <mergeCell ref="E96:G96"/>
    <mergeCell ref="AP100:AR100"/>
    <mergeCell ref="Q96:R96"/>
    <mergeCell ref="Q90:R90"/>
    <mergeCell ref="W84:Y84"/>
    <mergeCell ref="Q86:R86"/>
    <mergeCell ref="Q91:R91"/>
    <mergeCell ref="B90:D90"/>
    <mergeCell ref="E90:G90"/>
    <mergeCell ref="AS101:AT101"/>
    <mergeCell ref="AS72:AT72"/>
    <mergeCell ref="Q80:R80"/>
    <mergeCell ref="K91:M91"/>
    <mergeCell ref="K87:M87"/>
    <mergeCell ref="N87:P87"/>
    <mergeCell ref="Q87:R87"/>
    <mergeCell ref="K90:M90"/>
    <mergeCell ref="K89:M89"/>
    <mergeCell ref="N89:P89"/>
    <mergeCell ref="K88:M88"/>
    <mergeCell ref="K82:M82"/>
    <mergeCell ref="AS92:AT92"/>
    <mergeCell ref="AS96:AT96"/>
    <mergeCell ref="AM97:AO97"/>
    <mergeCell ref="AP97:AR97"/>
    <mergeCell ref="AS97:AT97"/>
    <mergeCell ref="AP82:AR82"/>
    <mergeCell ref="AK84:AL84"/>
    <mergeCell ref="Z96:AA96"/>
    <mergeCell ref="AS80:AT80"/>
    <mergeCell ref="AM79:AO79"/>
    <mergeCell ref="AM101:AR101"/>
    <mergeCell ref="AM100:AO100"/>
    <mergeCell ref="AS94:AT94"/>
    <mergeCell ref="AM95:AO95"/>
    <mergeCell ref="AP95:AR95"/>
    <mergeCell ref="AS95:AT95"/>
    <mergeCell ref="K95:M95"/>
    <mergeCell ref="N95:P95"/>
    <mergeCell ref="Q95:R95"/>
    <mergeCell ref="Z83:AA83"/>
    <mergeCell ref="AS100:AT100"/>
    <mergeCell ref="AC95:AL96"/>
    <mergeCell ref="T95:V95"/>
    <mergeCell ref="W95:Y95"/>
    <mergeCell ref="Z95:AA95"/>
    <mergeCell ref="AS85:AT85"/>
    <mergeCell ref="AP83:AR83"/>
    <mergeCell ref="AS83:AT83"/>
    <mergeCell ref="B97:AL102"/>
    <mergeCell ref="AM99:AO99"/>
    <mergeCell ref="AP99:AR99"/>
    <mergeCell ref="AS99:AT99"/>
    <mergeCell ref="AM88:AO88"/>
    <mergeCell ref="AP88:AR88"/>
    <mergeCell ref="AS88:AT88"/>
    <mergeCell ref="AM89:AO89"/>
    <mergeCell ref="AP89:AR89"/>
    <mergeCell ref="H84:I84"/>
    <mergeCell ref="AM96:AO96"/>
    <mergeCell ref="T96:V96"/>
    <mergeCell ref="W93:Y93"/>
    <mergeCell ref="AC86:AJ86"/>
    <mergeCell ref="B91:D91"/>
    <mergeCell ref="E91:G91"/>
    <mergeCell ref="H91:I91"/>
    <mergeCell ref="B89:D89"/>
    <mergeCell ref="E89:G89"/>
    <mergeCell ref="H89:I89"/>
    <mergeCell ref="B87:D87"/>
    <mergeCell ref="E87:G87"/>
    <mergeCell ref="H87:I87"/>
    <mergeCell ref="E86:G86"/>
    <mergeCell ref="T86:V86"/>
    <mergeCell ref="Z79:AA79"/>
    <mergeCell ref="Z73:AA73"/>
    <mergeCell ref="AM68:AO68"/>
    <mergeCell ref="W75:Y75"/>
    <mergeCell ref="Z75:AA75"/>
    <mergeCell ref="AC70:AJ70"/>
    <mergeCell ref="Z69:AA69"/>
    <mergeCell ref="AC78:AJ78"/>
    <mergeCell ref="Z93:AA93"/>
    <mergeCell ref="T92:V92"/>
    <mergeCell ref="W92:Y92"/>
    <mergeCell ref="W85:Y85"/>
    <mergeCell ref="AM86:AO86"/>
    <mergeCell ref="AC87:AJ87"/>
    <mergeCell ref="AM74:AO74"/>
    <mergeCell ref="T71:V71"/>
    <mergeCell ref="T89:V89"/>
    <mergeCell ref="Z89:AA89"/>
    <mergeCell ref="AK86:AL86"/>
    <mergeCell ref="Z77:AA77"/>
    <mergeCell ref="AK78:AL78"/>
    <mergeCell ref="BG26:BG27"/>
    <mergeCell ref="AV35:BF35"/>
    <mergeCell ref="AV47:BF47"/>
    <mergeCell ref="AS41:AT41"/>
    <mergeCell ref="AV30:BE30"/>
    <mergeCell ref="AF50:AR50"/>
    <mergeCell ref="AF49:AR49"/>
    <mergeCell ref="AF34:AR34"/>
    <mergeCell ref="BA71:BB71"/>
    <mergeCell ref="BH55:BL55"/>
    <mergeCell ref="AV38:BF38"/>
    <mergeCell ref="BH59:BL59"/>
    <mergeCell ref="BH60:BL60"/>
    <mergeCell ref="AV52:BF52"/>
    <mergeCell ref="BC65:BE65"/>
    <mergeCell ref="AS71:AT71"/>
    <mergeCell ref="AF59:AR59"/>
    <mergeCell ref="AS56:AT56"/>
    <mergeCell ref="AF58:AR58"/>
    <mergeCell ref="AK67:AL67"/>
    <mergeCell ref="AM63:AT63"/>
    <mergeCell ref="BH35:BJ35"/>
    <mergeCell ref="AZ34:BA34"/>
    <mergeCell ref="AS36:AT36"/>
    <mergeCell ref="BC63:BG64"/>
    <mergeCell ref="AV57:BD57"/>
    <mergeCell ref="BE57:BF57"/>
    <mergeCell ref="AS55:AT55"/>
    <mergeCell ref="AS58:AT58"/>
    <mergeCell ref="AM71:AO71"/>
    <mergeCell ref="AF42:AJ42"/>
    <mergeCell ref="AS32:AT32"/>
    <mergeCell ref="AU22:BF22"/>
    <mergeCell ref="AV28:BE28"/>
    <mergeCell ref="AS59:AT59"/>
    <mergeCell ref="BH37:BL37"/>
    <mergeCell ref="BH47:BL47"/>
    <mergeCell ref="BH48:BL48"/>
    <mergeCell ref="BH49:BL49"/>
    <mergeCell ref="BA60:BD60"/>
    <mergeCell ref="BC67:BE67"/>
    <mergeCell ref="BK67:BL67"/>
    <mergeCell ref="BH70:BM70"/>
    <mergeCell ref="AV41:BF41"/>
    <mergeCell ref="AV42:BF42"/>
    <mergeCell ref="BH46:BL46"/>
    <mergeCell ref="BI65:BJ65"/>
    <mergeCell ref="BH62:BL62"/>
    <mergeCell ref="AV54:BF54"/>
    <mergeCell ref="BC69:BE69"/>
    <mergeCell ref="BD70:BE70"/>
    <mergeCell ref="BH57:BL57"/>
    <mergeCell ref="BH58:BL58"/>
    <mergeCell ref="BH42:BM42"/>
    <mergeCell ref="AS47:AT47"/>
    <mergeCell ref="AS51:AT51"/>
    <mergeCell ref="AS50:AT50"/>
    <mergeCell ref="AS37:AT37"/>
    <mergeCell ref="BL65:BM65"/>
    <mergeCell ref="BH50:BL50"/>
    <mergeCell ref="BH51:BL51"/>
    <mergeCell ref="BH52:BL52"/>
    <mergeCell ref="BH53:BL53"/>
    <mergeCell ref="BH54:BL54"/>
    <mergeCell ref="AF46:AR46"/>
    <mergeCell ref="V57:AC57"/>
    <mergeCell ref="BD71:BE71"/>
    <mergeCell ref="AD60:AE60"/>
    <mergeCell ref="AD61:AE61"/>
    <mergeCell ref="AK68:AL68"/>
    <mergeCell ref="V46:AE47"/>
    <mergeCell ref="AW68:BA68"/>
    <mergeCell ref="AS39:AT39"/>
    <mergeCell ref="V49:AC49"/>
    <mergeCell ref="AV48:BF48"/>
    <mergeCell ref="AV49:BF49"/>
    <mergeCell ref="AW69:BA69"/>
    <mergeCell ref="AS60:AT60"/>
    <mergeCell ref="AS61:AT61"/>
    <mergeCell ref="AV60:AZ60"/>
    <mergeCell ref="AK69:AL69"/>
    <mergeCell ref="AQ70:AR70"/>
    <mergeCell ref="T68:V68"/>
    <mergeCell ref="T67:V67"/>
    <mergeCell ref="T60:U60"/>
    <mergeCell ref="W90:Y90"/>
    <mergeCell ref="AX82:AZ82"/>
    <mergeCell ref="AS82:AT82"/>
    <mergeCell ref="AX85:AZ85"/>
    <mergeCell ref="AX92:AZ92"/>
    <mergeCell ref="AU93:BB94"/>
    <mergeCell ref="AM87:AO87"/>
    <mergeCell ref="AC79:AJ79"/>
    <mergeCell ref="AP79:AR79"/>
    <mergeCell ref="AM94:AO94"/>
    <mergeCell ref="AM64:AT64"/>
    <mergeCell ref="AS75:AT75"/>
    <mergeCell ref="Z68:AA68"/>
    <mergeCell ref="AM84:AO84"/>
    <mergeCell ref="AK85:AL85"/>
    <mergeCell ref="AM78:AO78"/>
    <mergeCell ref="AS70:AT70"/>
    <mergeCell ref="AM72:AO72"/>
    <mergeCell ref="AP74:AR74"/>
    <mergeCell ref="AC85:AJ85"/>
    <mergeCell ref="AP85:AR85"/>
    <mergeCell ref="AP81:AR81"/>
    <mergeCell ref="AU77:AW77"/>
    <mergeCell ref="AU87:AW87"/>
    <mergeCell ref="AX78:AZ78"/>
    <mergeCell ref="AP80:AR80"/>
    <mergeCell ref="AX76:AZ76"/>
    <mergeCell ref="AC76:AJ76"/>
    <mergeCell ref="AK75:AL75"/>
    <mergeCell ref="AK76:AL76"/>
    <mergeCell ref="AS76:AT76"/>
    <mergeCell ref="AS77:AT77"/>
    <mergeCell ref="AM92:AO92"/>
    <mergeCell ref="AP92:AR92"/>
    <mergeCell ref="AM82:AO82"/>
    <mergeCell ref="AS90:AT90"/>
    <mergeCell ref="AK82:AL82"/>
    <mergeCell ref="AK73:AL73"/>
    <mergeCell ref="AC84:AJ84"/>
    <mergeCell ref="Z92:AA92"/>
    <mergeCell ref="AK83:AL83"/>
    <mergeCell ref="AK80:AL80"/>
    <mergeCell ref="AP94:AR94"/>
    <mergeCell ref="Z78:AA78"/>
    <mergeCell ref="AF48:AR48"/>
    <mergeCell ref="AD50:AE50"/>
    <mergeCell ref="AF53:AR53"/>
    <mergeCell ref="AK72:AL72"/>
    <mergeCell ref="Z86:AA86"/>
    <mergeCell ref="AK81:AL81"/>
    <mergeCell ref="AS89:AT89"/>
    <mergeCell ref="AP84:AR84"/>
    <mergeCell ref="AM90:AO90"/>
    <mergeCell ref="AF54:AR54"/>
    <mergeCell ref="V55:AC55"/>
    <mergeCell ref="AD55:AE55"/>
    <mergeCell ref="AS57:AT57"/>
    <mergeCell ref="AF57:AR57"/>
    <mergeCell ref="T93:V93"/>
    <mergeCell ref="T91:V91"/>
    <mergeCell ref="W91:Y91"/>
    <mergeCell ref="Z91:AA91"/>
    <mergeCell ref="T90:V90"/>
    <mergeCell ref="T94:V94"/>
    <mergeCell ref="AC77:AJ77"/>
    <mergeCell ref="AK71:AL71"/>
    <mergeCell ref="Z70:AA70"/>
    <mergeCell ref="AC67:AJ67"/>
    <mergeCell ref="AC68:AJ68"/>
    <mergeCell ref="AC69:AJ69"/>
    <mergeCell ref="AX77:AZ77"/>
    <mergeCell ref="AM69:AR69"/>
    <mergeCell ref="AF61:AR61"/>
    <mergeCell ref="AF51:AR51"/>
    <mergeCell ref="AZ70:BB70"/>
    <mergeCell ref="Q59:S59"/>
    <mergeCell ref="V60:AC60"/>
    <mergeCell ref="V61:AC61"/>
    <mergeCell ref="V62:AC62"/>
    <mergeCell ref="AP78:AR78"/>
    <mergeCell ref="AU75:AW75"/>
    <mergeCell ref="AS73:AT73"/>
    <mergeCell ref="BA73:BB73"/>
    <mergeCell ref="AU76:AW76"/>
    <mergeCell ref="AP73:AR73"/>
    <mergeCell ref="AP75:AR75"/>
    <mergeCell ref="AK74:AL74"/>
    <mergeCell ref="W73:Y73"/>
    <mergeCell ref="T73:V73"/>
    <mergeCell ref="T45:U45"/>
    <mergeCell ref="L50:M50"/>
    <mergeCell ref="L56:M56"/>
    <mergeCell ref="AO42:AP42"/>
    <mergeCell ref="AQ42:AR42"/>
    <mergeCell ref="AD37:AE37"/>
    <mergeCell ref="W39:AD39"/>
    <mergeCell ref="Q50:S50"/>
    <mergeCell ref="T72:V72"/>
    <mergeCell ref="N60:P60"/>
    <mergeCell ref="Q53:S53"/>
    <mergeCell ref="N43:P43"/>
    <mergeCell ref="W79:Y79"/>
    <mergeCell ref="T78:V78"/>
    <mergeCell ref="T79:V79"/>
    <mergeCell ref="Q56:S56"/>
    <mergeCell ref="Q71:R71"/>
    <mergeCell ref="T59:U59"/>
    <mergeCell ref="W71:Y71"/>
    <mergeCell ref="W69:Y69"/>
    <mergeCell ref="V54:AC54"/>
    <mergeCell ref="T75:V75"/>
    <mergeCell ref="Q45:S45"/>
    <mergeCell ref="Q60:S60"/>
    <mergeCell ref="Q75:R75"/>
    <mergeCell ref="T44:U44"/>
    <mergeCell ref="V53:AC53"/>
    <mergeCell ref="T77:V77"/>
    <mergeCell ref="W77:Y77"/>
    <mergeCell ref="T57:U57"/>
    <mergeCell ref="N57:P57"/>
    <mergeCell ref="AF60:AR60"/>
    <mergeCell ref="AF20:AR20"/>
    <mergeCell ref="L31:S31"/>
    <mergeCell ref="L25:S25"/>
    <mergeCell ref="V26:AC26"/>
    <mergeCell ref="V32:AC32"/>
    <mergeCell ref="AD25:AE25"/>
    <mergeCell ref="L30:S30"/>
    <mergeCell ref="AD32:AE32"/>
    <mergeCell ref="V24:AC24"/>
    <mergeCell ref="L27:S27"/>
    <mergeCell ref="T32:U32"/>
    <mergeCell ref="T31:U31"/>
    <mergeCell ref="T26:U26"/>
    <mergeCell ref="AD26:AE26"/>
    <mergeCell ref="V27:AC27"/>
    <mergeCell ref="N42:P42"/>
    <mergeCell ref="T39:U39"/>
    <mergeCell ref="T36:U36"/>
    <mergeCell ref="AL42:AN42"/>
    <mergeCell ref="AD33:AE33"/>
    <mergeCell ref="V35:AC35"/>
    <mergeCell ref="AF36:AR36"/>
    <mergeCell ref="AD16:AE16"/>
    <mergeCell ref="V18:AC18"/>
    <mergeCell ref="D15:F15"/>
    <mergeCell ref="D16:F16"/>
    <mergeCell ref="G15:I15"/>
    <mergeCell ref="G18:I18"/>
    <mergeCell ref="J17:K17"/>
    <mergeCell ref="AS17:AT17"/>
    <mergeCell ref="V25:AC25"/>
    <mergeCell ref="AD28:AE28"/>
    <mergeCell ref="V29:AC29"/>
    <mergeCell ref="AD29:AE29"/>
    <mergeCell ref="V31:AC31"/>
    <mergeCell ref="J18:K18"/>
    <mergeCell ref="AF18:AR18"/>
    <mergeCell ref="AF19:AR19"/>
    <mergeCell ref="AF22:AR22"/>
    <mergeCell ref="AS16:AT16"/>
    <mergeCell ref="AS20:AT20"/>
    <mergeCell ref="L26:S26"/>
    <mergeCell ref="AS18:AT18"/>
    <mergeCell ref="L28:S28"/>
    <mergeCell ref="L29:S29"/>
    <mergeCell ref="AF31:AR31"/>
    <mergeCell ref="AF23:AR23"/>
    <mergeCell ref="AD23:AE23"/>
    <mergeCell ref="V23:AC23"/>
    <mergeCell ref="T22:U22"/>
    <mergeCell ref="AD22:AE22"/>
    <mergeCell ref="T30:U30"/>
    <mergeCell ref="AF24:AR24"/>
    <mergeCell ref="V22:AC22"/>
    <mergeCell ref="AF9:AR9"/>
    <mergeCell ref="V17:AC17"/>
    <mergeCell ref="D18:F18"/>
    <mergeCell ref="J24:K24"/>
    <mergeCell ref="G22:I22"/>
    <mergeCell ref="L20:S20"/>
    <mergeCell ref="L33:U34"/>
    <mergeCell ref="V34:AC34"/>
    <mergeCell ref="V33:AC33"/>
    <mergeCell ref="G25:I25"/>
    <mergeCell ref="J25:K25"/>
    <mergeCell ref="J26:K26"/>
    <mergeCell ref="G27:I27"/>
    <mergeCell ref="G28:I28"/>
    <mergeCell ref="G30:I30"/>
    <mergeCell ref="G31:I31"/>
    <mergeCell ref="D27:F27"/>
    <mergeCell ref="D28:F28"/>
    <mergeCell ref="G24:I24"/>
    <mergeCell ref="L24:S24"/>
    <mergeCell ref="L21:S21"/>
    <mergeCell ref="L22:S22"/>
    <mergeCell ref="L23:S23"/>
    <mergeCell ref="D19:F19"/>
    <mergeCell ref="G19:I19"/>
    <mergeCell ref="J19:K19"/>
    <mergeCell ref="G21:I21"/>
    <mergeCell ref="D21:F21"/>
    <mergeCell ref="D24:F24"/>
    <mergeCell ref="V15:AC15"/>
    <mergeCell ref="D17:F17"/>
    <mergeCell ref="V13:AC13"/>
    <mergeCell ref="AD13:AE13"/>
    <mergeCell ref="E14:H14"/>
    <mergeCell ref="D23:F23"/>
    <mergeCell ref="J22:K22"/>
    <mergeCell ref="B14:D14"/>
    <mergeCell ref="B13:D13"/>
    <mergeCell ref="B9:E9"/>
    <mergeCell ref="E13:K13"/>
    <mergeCell ref="B10:H10"/>
    <mergeCell ref="AD19:AE19"/>
    <mergeCell ref="V19:AC19"/>
    <mergeCell ref="AD17:AE17"/>
    <mergeCell ref="V21:AC21"/>
    <mergeCell ref="AD15:AE15"/>
    <mergeCell ref="G20:I20"/>
    <mergeCell ref="J20:K20"/>
    <mergeCell ref="T19:U19"/>
    <mergeCell ref="T20:U20"/>
    <mergeCell ref="V12:AC12"/>
    <mergeCell ref="G17:I17"/>
    <mergeCell ref="V16:AC16"/>
    <mergeCell ref="V11:X11"/>
    <mergeCell ref="B15:C15"/>
    <mergeCell ref="B16:C16"/>
    <mergeCell ref="B17:C17"/>
    <mergeCell ref="B18:C18"/>
    <mergeCell ref="T16:U16"/>
    <mergeCell ref="T17:U17"/>
    <mergeCell ref="T18:U18"/>
    <mergeCell ref="D22:F22"/>
    <mergeCell ref="V20:AC20"/>
    <mergeCell ref="G16:I16"/>
    <mergeCell ref="AS9:AT9"/>
    <mergeCell ref="AF10:AR10"/>
    <mergeCell ref="AF11:AR11"/>
    <mergeCell ref="AF12:AR12"/>
    <mergeCell ref="AF13:AR13"/>
    <mergeCell ref="AF14:AR14"/>
    <mergeCell ref="AF15:AR15"/>
    <mergeCell ref="AF16:AR16"/>
    <mergeCell ref="AS10:AT10"/>
    <mergeCell ref="AS11:AT11"/>
    <mergeCell ref="AS12:AT12"/>
    <mergeCell ref="AS13:AT13"/>
    <mergeCell ref="AS14:AT14"/>
    <mergeCell ref="AS15:AT15"/>
    <mergeCell ref="G23:I23"/>
    <mergeCell ref="D20:F20"/>
    <mergeCell ref="H12:K12"/>
    <mergeCell ref="L12:S12"/>
    <mergeCell ref="L13:S13"/>
    <mergeCell ref="L14:S14"/>
    <mergeCell ref="L15:S15"/>
    <mergeCell ref="L16:S16"/>
    <mergeCell ref="L17:S17"/>
    <mergeCell ref="L18:S18"/>
    <mergeCell ref="L19:S19"/>
    <mergeCell ref="J21:K21"/>
    <mergeCell ref="J15:K15"/>
    <mergeCell ref="J16:K16"/>
    <mergeCell ref="I14:K14"/>
    <mergeCell ref="T23:U23"/>
    <mergeCell ref="AD21:AE21"/>
    <mergeCell ref="T21:U21"/>
    <mergeCell ref="AS21:AT21"/>
    <mergeCell ref="AS22:AT22"/>
    <mergeCell ref="AS23:AT23"/>
    <mergeCell ref="AS29:AT29"/>
    <mergeCell ref="T25:U25"/>
    <mergeCell ref="AS25:AT25"/>
    <mergeCell ref="AS31:AT31"/>
    <mergeCell ref="AS30:AT30"/>
    <mergeCell ref="AF29:AR29"/>
    <mergeCell ref="AF30:AR30"/>
    <mergeCell ref="AS26:AT26"/>
    <mergeCell ref="AS27:AT27"/>
    <mergeCell ref="AF26:AR26"/>
    <mergeCell ref="AF28:AR28"/>
    <mergeCell ref="T28:U28"/>
    <mergeCell ref="AD27:AE27"/>
    <mergeCell ref="AD31:AE31"/>
    <mergeCell ref="AD24:AE24"/>
    <mergeCell ref="V30:AC30"/>
    <mergeCell ref="T29:U29"/>
    <mergeCell ref="V28:AC28"/>
    <mergeCell ref="AD30:AE30"/>
    <mergeCell ref="Q49:S49"/>
    <mergeCell ref="N81:P81"/>
    <mergeCell ref="T83:V83"/>
    <mergeCell ref="D30:F30"/>
    <mergeCell ref="D29:F29"/>
    <mergeCell ref="L32:S32"/>
    <mergeCell ref="L42:M42"/>
    <mergeCell ref="J31:K31"/>
    <mergeCell ref="J30:K30"/>
    <mergeCell ref="J29:K29"/>
    <mergeCell ref="G29:I29"/>
    <mergeCell ref="N41:P41"/>
    <mergeCell ref="D35:F35"/>
    <mergeCell ref="Q43:S43"/>
    <mergeCell ref="T41:U41"/>
    <mergeCell ref="T42:U42"/>
    <mergeCell ref="L38:M38"/>
    <mergeCell ref="T40:U40"/>
    <mergeCell ref="T38:U38"/>
    <mergeCell ref="Q40:S40"/>
    <mergeCell ref="J35:K35"/>
    <mergeCell ref="J34:K34"/>
    <mergeCell ref="T35:U35"/>
    <mergeCell ref="Q39:S39"/>
    <mergeCell ref="Q36:S36"/>
    <mergeCell ref="Q37:S37"/>
    <mergeCell ref="Q38:S38"/>
    <mergeCell ref="T37:U37"/>
    <mergeCell ref="V37:AC37"/>
    <mergeCell ref="W68:Y68"/>
    <mergeCell ref="J36:K36"/>
    <mergeCell ref="L45:M45"/>
    <mergeCell ref="E71:G71"/>
    <mergeCell ref="H71:I71"/>
    <mergeCell ref="B68:D68"/>
    <mergeCell ref="H83:I83"/>
    <mergeCell ref="E84:G84"/>
    <mergeCell ref="B85:D85"/>
    <mergeCell ref="E83:G83"/>
    <mergeCell ref="K83:M83"/>
    <mergeCell ref="B84:D84"/>
    <mergeCell ref="K85:M85"/>
    <mergeCell ref="H85:I85"/>
    <mergeCell ref="T85:V85"/>
    <mergeCell ref="B64:AB64"/>
    <mergeCell ref="Q76:R76"/>
    <mergeCell ref="T70:V70"/>
    <mergeCell ref="B69:D69"/>
    <mergeCell ref="N83:P83"/>
    <mergeCell ref="H78:I78"/>
    <mergeCell ref="W83:Y83"/>
    <mergeCell ref="T84:V84"/>
    <mergeCell ref="K84:M84"/>
    <mergeCell ref="Q84:R84"/>
    <mergeCell ref="N85:P85"/>
    <mergeCell ref="Q85:R85"/>
    <mergeCell ref="K81:M81"/>
    <mergeCell ref="K70:M70"/>
    <mergeCell ref="K71:M71"/>
    <mergeCell ref="K72:M72"/>
    <mergeCell ref="K92:M92"/>
    <mergeCell ref="N92:P92"/>
    <mergeCell ref="Q92:R92"/>
    <mergeCell ref="B93:D93"/>
    <mergeCell ref="E93:G93"/>
    <mergeCell ref="H93:I93"/>
    <mergeCell ref="K93:M93"/>
    <mergeCell ref="N93:P93"/>
    <mergeCell ref="Q93:R93"/>
    <mergeCell ref="B75:D75"/>
    <mergeCell ref="G41:I41"/>
    <mergeCell ref="G42:I42"/>
    <mergeCell ref="J44:K44"/>
    <mergeCell ref="J45:K45"/>
    <mergeCell ref="B83:D83"/>
    <mergeCell ref="N80:P80"/>
    <mergeCell ref="Q77:R77"/>
    <mergeCell ref="B81:D81"/>
    <mergeCell ref="E78:G78"/>
    <mergeCell ref="E76:G76"/>
    <mergeCell ref="N76:P76"/>
    <mergeCell ref="B73:D73"/>
    <mergeCell ref="K73:M73"/>
    <mergeCell ref="K74:M74"/>
    <mergeCell ref="K75:M75"/>
    <mergeCell ref="H81:I81"/>
    <mergeCell ref="E82:G82"/>
    <mergeCell ref="K79:M79"/>
    <mergeCell ref="H80:I80"/>
    <mergeCell ref="J48:K48"/>
    <mergeCell ref="H77:I77"/>
    <mergeCell ref="E72:G72"/>
    <mergeCell ref="E80:G80"/>
    <mergeCell ref="W80:Y80"/>
    <mergeCell ref="J67:J96"/>
    <mergeCell ref="E85:G85"/>
    <mergeCell ref="E79:G79"/>
    <mergeCell ref="H96:I96"/>
    <mergeCell ref="W94:Y94"/>
    <mergeCell ref="T88:V88"/>
    <mergeCell ref="W96:Y96"/>
    <mergeCell ref="N79:P79"/>
    <mergeCell ref="B82:D82"/>
    <mergeCell ref="Q78:R78"/>
    <mergeCell ref="K78:M78"/>
    <mergeCell ref="B78:D78"/>
    <mergeCell ref="W81:Y81"/>
    <mergeCell ref="H82:I82"/>
    <mergeCell ref="Q79:R79"/>
    <mergeCell ref="T80:V80"/>
    <mergeCell ref="B71:D71"/>
    <mergeCell ref="H68:I68"/>
    <mergeCell ref="E74:G74"/>
    <mergeCell ref="B70:D70"/>
    <mergeCell ref="N71:P71"/>
    <mergeCell ref="N67:P67"/>
    <mergeCell ref="T76:V76"/>
    <mergeCell ref="W76:Y76"/>
    <mergeCell ref="H76:I76"/>
    <mergeCell ref="H73:I73"/>
    <mergeCell ref="N69:P69"/>
    <mergeCell ref="B92:D92"/>
    <mergeCell ref="E92:G92"/>
    <mergeCell ref="H92:I92"/>
    <mergeCell ref="D49:F49"/>
    <mergeCell ref="Q67:R67"/>
    <mergeCell ref="Q61:S61"/>
    <mergeCell ref="Q51:S51"/>
    <mergeCell ref="Q52:S52"/>
    <mergeCell ref="B77:D77"/>
    <mergeCell ref="E77:G77"/>
    <mergeCell ref="T82:V82"/>
    <mergeCell ref="W82:Y82"/>
    <mergeCell ref="N82:P82"/>
    <mergeCell ref="Q82:R82"/>
    <mergeCell ref="W78:Y78"/>
    <mergeCell ref="N78:P78"/>
    <mergeCell ref="B80:D80"/>
    <mergeCell ref="H72:I72"/>
    <mergeCell ref="E73:G73"/>
    <mergeCell ref="N68:P68"/>
    <mergeCell ref="N75:P75"/>
    <mergeCell ref="K68:M68"/>
    <mergeCell ref="N73:P73"/>
    <mergeCell ref="E69:G69"/>
    <mergeCell ref="N53:P53"/>
    <mergeCell ref="N59:P59"/>
    <mergeCell ref="L59:M59"/>
    <mergeCell ref="N77:P77"/>
    <mergeCell ref="B79:D79"/>
    <mergeCell ref="B76:D76"/>
    <mergeCell ref="K76:M76"/>
    <mergeCell ref="K77:M77"/>
    <mergeCell ref="H79:I79"/>
    <mergeCell ref="K80:M80"/>
    <mergeCell ref="B49:C49"/>
    <mergeCell ref="B50:C50"/>
    <mergeCell ref="G50:I50"/>
    <mergeCell ref="J49:K49"/>
    <mergeCell ref="N50:P50"/>
    <mergeCell ref="N51:P51"/>
    <mergeCell ref="H67:I67"/>
    <mergeCell ref="K67:M67"/>
    <mergeCell ref="J50:K50"/>
    <mergeCell ref="E75:G75"/>
    <mergeCell ref="E70:G70"/>
    <mergeCell ref="L51:M51"/>
    <mergeCell ref="A52:K62"/>
    <mergeCell ref="L58:M58"/>
    <mergeCell ref="L54:M54"/>
    <mergeCell ref="N55:P55"/>
    <mergeCell ref="N52:P52"/>
    <mergeCell ref="N70:P70"/>
    <mergeCell ref="N74:P74"/>
    <mergeCell ref="B63:AB63"/>
    <mergeCell ref="T55:U55"/>
    <mergeCell ref="T56:U56"/>
    <mergeCell ref="L49:M49"/>
    <mergeCell ref="E67:G67"/>
    <mergeCell ref="Q73:R73"/>
    <mergeCell ref="E68:G68"/>
    <mergeCell ref="L53:M53"/>
    <mergeCell ref="N62:P62"/>
    <mergeCell ref="H75:I75"/>
    <mergeCell ref="B72:D72"/>
    <mergeCell ref="B74:D74"/>
    <mergeCell ref="B67:D67"/>
    <mergeCell ref="L55:M55"/>
    <mergeCell ref="L60:M60"/>
    <mergeCell ref="Q68:R68"/>
    <mergeCell ref="L52:M52"/>
    <mergeCell ref="T53:U53"/>
    <mergeCell ref="T69:V69"/>
    <mergeCell ref="T74:V74"/>
    <mergeCell ref="W74:Y74"/>
    <mergeCell ref="V58:AC58"/>
    <mergeCell ref="V59:AC59"/>
    <mergeCell ref="N54:P54"/>
    <mergeCell ref="Z72:AA72"/>
    <mergeCell ref="Z67:AA67"/>
    <mergeCell ref="AC63:AL66"/>
    <mergeCell ref="AD54:AE54"/>
    <mergeCell ref="AF56:AR56"/>
    <mergeCell ref="AF52:AR52"/>
    <mergeCell ref="Q70:R70"/>
    <mergeCell ref="Q74:R74"/>
    <mergeCell ref="T61:U61"/>
    <mergeCell ref="T62:U62"/>
    <mergeCell ref="K69:M69"/>
    <mergeCell ref="Y66:AB66"/>
    <mergeCell ref="Z71:AA71"/>
    <mergeCell ref="N56:P56"/>
    <mergeCell ref="D47:F47"/>
    <mergeCell ref="L46:U47"/>
    <mergeCell ref="G46:I46"/>
    <mergeCell ref="Q41:S41"/>
    <mergeCell ref="Q44:S44"/>
    <mergeCell ref="T43:U43"/>
    <mergeCell ref="G45:I45"/>
    <mergeCell ref="L57:M57"/>
    <mergeCell ref="Q55:S55"/>
    <mergeCell ref="N58:P58"/>
    <mergeCell ref="H74:I74"/>
    <mergeCell ref="H69:I69"/>
    <mergeCell ref="N61:P61"/>
    <mergeCell ref="H70:I70"/>
    <mergeCell ref="Q57:S57"/>
    <mergeCell ref="Q58:S58"/>
    <mergeCell ref="Q69:R69"/>
    <mergeCell ref="T54:U54"/>
    <mergeCell ref="D48:F48"/>
    <mergeCell ref="Q54:S54"/>
    <mergeCell ref="Q62:S62"/>
    <mergeCell ref="B65:D65"/>
    <mergeCell ref="G48:I48"/>
    <mergeCell ref="T58:U58"/>
    <mergeCell ref="T50:U50"/>
    <mergeCell ref="D50:F50"/>
    <mergeCell ref="G49:I49"/>
    <mergeCell ref="N44:P44"/>
    <mergeCell ref="D45:F45"/>
    <mergeCell ref="D41:F41"/>
    <mergeCell ref="J46:K46"/>
    <mergeCell ref="J47:K47"/>
    <mergeCell ref="G47:I47"/>
    <mergeCell ref="D42:F42"/>
    <mergeCell ref="D43:F43"/>
    <mergeCell ref="J42:K42"/>
    <mergeCell ref="J43:K43"/>
    <mergeCell ref="N49:P49"/>
    <mergeCell ref="N45:P45"/>
    <mergeCell ref="L37:M37"/>
    <mergeCell ref="B8:E8"/>
    <mergeCell ref="D46:F46"/>
    <mergeCell ref="AV44:BF44"/>
    <mergeCell ref="BE8:BF8"/>
    <mergeCell ref="AU16:BF16"/>
    <mergeCell ref="B47:C47"/>
    <mergeCell ref="B48:C48"/>
    <mergeCell ref="B35:C35"/>
    <mergeCell ref="D36:F36"/>
    <mergeCell ref="BB34:BC34"/>
    <mergeCell ref="AD49:AE49"/>
    <mergeCell ref="B39:C39"/>
    <mergeCell ref="B40:C40"/>
    <mergeCell ref="B41:C41"/>
    <mergeCell ref="B42:C42"/>
    <mergeCell ref="B43:C43"/>
    <mergeCell ref="B44:C44"/>
    <mergeCell ref="B36:C36"/>
    <mergeCell ref="T49:U49"/>
    <mergeCell ref="V36:AC36"/>
    <mergeCell ref="AD34:AE34"/>
    <mergeCell ref="AF44:AR44"/>
    <mergeCell ref="AF45:AR45"/>
    <mergeCell ref="AD35:AE35"/>
    <mergeCell ref="B45:C45"/>
    <mergeCell ref="L43:M43"/>
    <mergeCell ref="L40:M40"/>
    <mergeCell ref="Q42:S42"/>
    <mergeCell ref="B28:C28"/>
    <mergeCell ref="B29:C29"/>
    <mergeCell ref="J41:K41"/>
    <mergeCell ref="B37:C37"/>
    <mergeCell ref="N38:P38"/>
    <mergeCell ref="N39:P39"/>
    <mergeCell ref="L39:M39"/>
    <mergeCell ref="Q35:S35"/>
    <mergeCell ref="B38:C38"/>
    <mergeCell ref="B20:C20"/>
    <mergeCell ref="B23:C23"/>
    <mergeCell ref="B24:C24"/>
    <mergeCell ref="J40:K40"/>
    <mergeCell ref="D32:F32"/>
    <mergeCell ref="D31:F31"/>
    <mergeCell ref="G26:I26"/>
    <mergeCell ref="D37:F37"/>
    <mergeCell ref="D38:F38"/>
    <mergeCell ref="N36:P36"/>
    <mergeCell ref="L36:M36"/>
    <mergeCell ref="G37:I37"/>
    <mergeCell ref="G38:I38"/>
    <mergeCell ref="D39:F39"/>
    <mergeCell ref="L44:M44"/>
    <mergeCell ref="D40:F40"/>
    <mergeCell ref="G43:I43"/>
    <mergeCell ref="G44:I44"/>
    <mergeCell ref="J23:K23"/>
    <mergeCell ref="AU11:BF11"/>
    <mergeCell ref="B32:C32"/>
    <mergeCell ref="G39:I39"/>
    <mergeCell ref="N37:P37"/>
    <mergeCell ref="N40:P40"/>
    <mergeCell ref="B25:C25"/>
    <mergeCell ref="B26:C26"/>
    <mergeCell ref="B27:C27"/>
    <mergeCell ref="J32:K32"/>
    <mergeCell ref="G33:I33"/>
    <mergeCell ref="G32:I32"/>
    <mergeCell ref="J33:K33"/>
    <mergeCell ref="L41:M41"/>
    <mergeCell ref="D25:F25"/>
    <mergeCell ref="D26:F26"/>
    <mergeCell ref="T27:U27"/>
    <mergeCell ref="J27:K27"/>
    <mergeCell ref="J28:K28"/>
    <mergeCell ref="BD34:BF34"/>
    <mergeCell ref="AX34:AY34"/>
    <mergeCell ref="AF17:AR17"/>
    <mergeCell ref="AD18:AE18"/>
    <mergeCell ref="AD20:AE20"/>
    <mergeCell ref="T24:U24"/>
    <mergeCell ref="AU24:BF24"/>
    <mergeCell ref="AU23:BF23"/>
    <mergeCell ref="AV31:BE31"/>
    <mergeCell ref="AU18:BF18"/>
    <mergeCell ref="AV36:BF36"/>
    <mergeCell ref="BF26:BF27"/>
    <mergeCell ref="AV33:BG33"/>
    <mergeCell ref="AV29:BE29"/>
    <mergeCell ref="L6:U6"/>
    <mergeCell ref="B7:E7"/>
    <mergeCell ref="L7:U7"/>
    <mergeCell ref="T12:U12"/>
    <mergeCell ref="T13:U13"/>
    <mergeCell ref="AS46:AT46"/>
    <mergeCell ref="V6:AE6"/>
    <mergeCell ref="V7:X7"/>
    <mergeCell ref="V9:X9"/>
    <mergeCell ref="G34:I34"/>
    <mergeCell ref="G35:I35"/>
    <mergeCell ref="G36:I36"/>
    <mergeCell ref="AS35:AT35"/>
    <mergeCell ref="B30:C30"/>
    <mergeCell ref="B31:C31"/>
    <mergeCell ref="B33:C33"/>
    <mergeCell ref="B46:C46"/>
    <mergeCell ref="J39:K39"/>
    <mergeCell ref="J38:K38"/>
    <mergeCell ref="G40:I40"/>
    <mergeCell ref="D44:F44"/>
    <mergeCell ref="D33:F33"/>
    <mergeCell ref="J37:K37"/>
    <mergeCell ref="N35:P35"/>
    <mergeCell ref="L35:M35"/>
    <mergeCell ref="D34:F34"/>
    <mergeCell ref="AF37:AR37"/>
    <mergeCell ref="B21:C21"/>
    <mergeCell ref="B22:C22"/>
    <mergeCell ref="B19:C19"/>
    <mergeCell ref="B6:K6"/>
    <mergeCell ref="B34:C34"/>
    <mergeCell ref="AV40:BF40"/>
    <mergeCell ref="BR1:BZ94"/>
    <mergeCell ref="BO42:BP42"/>
    <mergeCell ref="BO43:BP43"/>
    <mergeCell ref="BO44:BP44"/>
    <mergeCell ref="BO45:BP45"/>
    <mergeCell ref="BO46:BP46"/>
    <mergeCell ref="BN7:BQ7"/>
    <mergeCell ref="BN14:BQ14"/>
    <mergeCell ref="BN21:BQ21"/>
    <mergeCell ref="BN37:BQ37"/>
    <mergeCell ref="BN28:BQ29"/>
    <mergeCell ref="BN30:BN31"/>
    <mergeCell ref="BO30:BQ31"/>
    <mergeCell ref="BN32:BN33"/>
    <mergeCell ref="BO32:BQ33"/>
    <mergeCell ref="BN34:BN35"/>
    <mergeCell ref="BO34:BQ35"/>
    <mergeCell ref="BO48:BP48"/>
    <mergeCell ref="BO51:BP51"/>
    <mergeCell ref="BN6:BQ6"/>
    <mergeCell ref="BO36:BP36"/>
    <mergeCell ref="BO38:BP38"/>
    <mergeCell ref="BO49:BP49"/>
    <mergeCell ref="BO50:BP50"/>
    <mergeCell ref="BO52:BP52"/>
    <mergeCell ref="BO53:BP53"/>
    <mergeCell ref="BO54:BP54"/>
    <mergeCell ref="BO39:BP39"/>
    <mergeCell ref="BO40:BP40"/>
    <mergeCell ref="BO41:BP41"/>
    <mergeCell ref="BN47:BQ47"/>
    <mergeCell ref="AV32:BE32"/>
    <mergeCell ref="AS42:AT42"/>
    <mergeCell ref="AS48:AT48"/>
    <mergeCell ref="AS49:AT49"/>
    <mergeCell ref="AV37:BF37"/>
    <mergeCell ref="AF32:AR32"/>
    <mergeCell ref="AF21:AR21"/>
    <mergeCell ref="T52:U52"/>
    <mergeCell ref="AU13:BF13"/>
    <mergeCell ref="AU14:BF14"/>
    <mergeCell ref="AU15:BF15"/>
    <mergeCell ref="AS19:AT19"/>
    <mergeCell ref="AV21:BG21"/>
    <mergeCell ref="BK75:BL75"/>
    <mergeCell ref="AX83:AZ83"/>
    <mergeCell ref="BH61:BL61"/>
    <mergeCell ref="BC66:BE66"/>
    <mergeCell ref="BA81:BB81"/>
    <mergeCell ref="AX74:AZ74"/>
    <mergeCell ref="BH45:BL45"/>
    <mergeCell ref="BH40:BJ41"/>
    <mergeCell ref="AV45:BF45"/>
    <mergeCell ref="BH64:BM64"/>
    <mergeCell ref="BH63:BM63"/>
    <mergeCell ref="BK76:BL76"/>
    <mergeCell ref="BH77:BJ77"/>
    <mergeCell ref="BK77:BL77"/>
    <mergeCell ref="BH78:BJ78"/>
    <mergeCell ref="BK78:BL78"/>
    <mergeCell ref="AV55:BF55"/>
    <mergeCell ref="AV56:BF56"/>
    <mergeCell ref="BD75:BE75"/>
    <mergeCell ref="AV9:BD9"/>
    <mergeCell ref="AD36:AE36"/>
    <mergeCell ref="AS43:AT43"/>
    <mergeCell ref="AF41:AR41"/>
    <mergeCell ref="AD12:AE12"/>
    <mergeCell ref="T14:U14"/>
    <mergeCell ref="T15:U15"/>
    <mergeCell ref="V14:AC14"/>
    <mergeCell ref="AD14:AE14"/>
    <mergeCell ref="AU10:BF10"/>
    <mergeCell ref="V52:AC52"/>
    <mergeCell ref="AU12:BF12"/>
    <mergeCell ref="AU19:BF19"/>
    <mergeCell ref="V51:AC51"/>
    <mergeCell ref="AV46:BF46"/>
    <mergeCell ref="AV43:BF43"/>
    <mergeCell ref="AS28:AT28"/>
    <mergeCell ref="V50:AC50"/>
    <mergeCell ref="T51:U51"/>
    <mergeCell ref="AF47:AR47"/>
    <mergeCell ref="AD51:AE51"/>
    <mergeCell ref="AF43:AR43"/>
    <mergeCell ref="AF38:AR38"/>
    <mergeCell ref="AF25:AR25"/>
    <mergeCell ref="AS24:AT24"/>
    <mergeCell ref="AF27:AR27"/>
    <mergeCell ref="AV34:AW34"/>
    <mergeCell ref="V38:AC38"/>
    <mergeCell ref="AD38:AE38"/>
    <mergeCell ref="AF35:AR35"/>
    <mergeCell ref="AF39:AR39"/>
    <mergeCell ref="AS38:AT38"/>
    <mergeCell ref="BH6:BM6"/>
    <mergeCell ref="AF6:AT6"/>
    <mergeCell ref="AF7:AR7"/>
    <mergeCell ref="AF8:AR8"/>
    <mergeCell ref="AS7:AT7"/>
    <mergeCell ref="AS8:AT8"/>
    <mergeCell ref="BH33:BL33"/>
    <mergeCell ref="BH34:BL34"/>
    <mergeCell ref="AF40:AR40"/>
    <mergeCell ref="AS44:AT44"/>
    <mergeCell ref="BH27:BJ28"/>
    <mergeCell ref="BH43:BL43"/>
    <mergeCell ref="BH44:BL44"/>
    <mergeCell ref="BH11:BJ12"/>
    <mergeCell ref="BH13:BJ14"/>
    <mergeCell ref="BH15:BJ16"/>
    <mergeCell ref="BH17:BJ18"/>
    <mergeCell ref="AU20:BF20"/>
    <mergeCell ref="BE9:BF9"/>
    <mergeCell ref="AV8:BD8"/>
    <mergeCell ref="BH25:BJ26"/>
    <mergeCell ref="AU25:BG25"/>
    <mergeCell ref="AV26:BE27"/>
    <mergeCell ref="BH7:BJ8"/>
    <mergeCell ref="BH19:BJ20"/>
    <mergeCell ref="BH23:BJ24"/>
    <mergeCell ref="BH38:BJ39"/>
    <mergeCell ref="BH9:BJ10"/>
    <mergeCell ref="BH29:BJ30"/>
    <mergeCell ref="AS34:AT34"/>
    <mergeCell ref="AF33:AR33"/>
    <mergeCell ref="AS33:AT33"/>
    <mergeCell ref="AV6:BG6"/>
    <mergeCell ref="AV7:BG7"/>
    <mergeCell ref="AU17:BF17"/>
    <mergeCell ref="AS40:AT40"/>
    <mergeCell ref="BD84:BE84"/>
    <mergeCell ref="BH31:BJ32"/>
    <mergeCell ref="BH36:BJ36"/>
    <mergeCell ref="BH21:BJ22"/>
    <mergeCell ref="AV39:BF39"/>
    <mergeCell ref="AM91:AO91"/>
    <mergeCell ref="V56:AC56"/>
    <mergeCell ref="AP86:AR86"/>
    <mergeCell ref="AM85:AO85"/>
    <mergeCell ref="AP91:AR91"/>
    <mergeCell ref="BD88:BE88"/>
    <mergeCell ref="BD89:BE89"/>
    <mergeCell ref="AX84:AZ84"/>
    <mergeCell ref="AS91:AT91"/>
    <mergeCell ref="AS84:AT84"/>
    <mergeCell ref="BA90:BB90"/>
    <mergeCell ref="AU90:AW90"/>
    <mergeCell ref="AX90:AZ90"/>
    <mergeCell ref="AC80:AJ80"/>
    <mergeCell ref="AC81:AJ81"/>
    <mergeCell ref="AC82:AJ82"/>
    <mergeCell ref="AC83:AJ83"/>
    <mergeCell ref="AK87:AL87"/>
    <mergeCell ref="BA88:BB88"/>
    <mergeCell ref="Y65:AB65"/>
    <mergeCell ref="W72:Y72"/>
    <mergeCell ref="BD81:BE81"/>
    <mergeCell ref="W65:X65"/>
    <mergeCell ref="W67:Y67"/>
    <mergeCell ref="W66:X66"/>
    <mergeCell ref="Z80:AA80"/>
    <mergeCell ref="Z76:AA76"/>
    <mergeCell ref="Z81:AA81"/>
    <mergeCell ref="Z82:AA82"/>
    <mergeCell ref="AU79:AW79"/>
    <mergeCell ref="AK70:AL70"/>
    <mergeCell ref="AM73:AO73"/>
    <mergeCell ref="AX75:AZ75"/>
    <mergeCell ref="AV70:AY70"/>
    <mergeCell ref="Z74:AA74"/>
    <mergeCell ref="AB67:AB96"/>
    <mergeCell ref="BD92:BE92"/>
    <mergeCell ref="BD93:BE93"/>
    <mergeCell ref="AX88:AZ88"/>
    <mergeCell ref="BA82:BB82"/>
    <mergeCell ref="BA83:BB83"/>
    <mergeCell ref="BD72:BE72"/>
    <mergeCell ref="AX87:AZ87"/>
    <mergeCell ref="AU85:AW85"/>
    <mergeCell ref="BA84:BB84"/>
    <mergeCell ref="BA74:BB74"/>
    <mergeCell ref="AX73:AZ73"/>
    <mergeCell ref="AM83:AO83"/>
    <mergeCell ref="AM93:AO93"/>
    <mergeCell ref="AP93:AR93"/>
    <mergeCell ref="AP90:AR90"/>
    <mergeCell ref="AP87:AR87"/>
    <mergeCell ref="AU81:AW81"/>
    <mergeCell ref="BD86:BE86"/>
    <mergeCell ref="AX79:AZ79"/>
    <mergeCell ref="BH84:BJ84"/>
    <mergeCell ref="BK84:BL84"/>
    <mergeCell ref="BH79:BJ79"/>
    <mergeCell ref="BK79:BL79"/>
    <mergeCell ref="BH91:BM91"/>
    <mergeCell ref="BH90:BJ90"/>
    <mergeCell ref="AX91:AZ91"/>
    <mergeCell ref="BA91:BB91"/>
    <mergeCell ref="AS74:AT74"/>
    <mergeCell ref="BA89:BB89"/>
    <mergeCell ref="BA76:BB76"/>
    <mergeCell ref="BK68:BL68"/>
    <mergeCell ref="BH69:BJ69"/>
    <mergeCell ref="BH86:BJ86"/>
    <mergeCell ref="BK86:BL86"/>
    <mergeCell ref="AS86:AT86"/>
    <mergeCell ref="AS93:AT93"/>
    <mergeCell ref="BH89:BJ89"/>
    <mergeCell ref="BA92:BB92"/>
    <mergeCell ref="AS87:AT87"/>
    <mergeCell ref="BA86:BB86"/>
    <mergeCell ref="BK85:BL85"/>
    <mergeCell ref="AX71:AZ71"/>
    <mergeCell ref="AU71:AW71"/>
    <mergeCell ref="BD87:BE87"/>
    <mergeCell ref="AU80:AW80"/>
    <mergeCell ref="AS79:AT79"/>
    <mergeCell ref="AX86:AZ86"/>
    <mergeCell ref="AU92:AW92"/>
    <mergeCell ref="AU88:AW88"/>
    <mergeCell ref="BD94:BE94"/>
    <mergeCell ref="BA87:BB87"/>
    <mergeCell ref="AV95:BQ102"/>
    <mergeCell ref="BO62:BP62"/>
    <mergeCell ref="BH94:BL94"/>
    <mergeCell ref="AV51:BF51"/>
    <mergeCell ref="BA75:BB75"/>
    <mergeCell ref="BA72:BB72"/>
    <mergeCell ref="BD77:BE77"/>
    <mergeCell ref="AF55:AR55"/>
    <mergeCell ref="BO59:BP59"/>
    <mergeCell ref="BO60:BP60"/>
    <mergeCell ref="BO61:BP61"/>
    <mergeCell ref="BO64:BP64"/>
    <mergeCell ref="BA80:BB80"/>
    <mergeCell ref="BD85:BE85"/>
    <mergeCell ref="BA59:BD59"/>
    <mergeCell ref="BE59:BF59"/>
    <mergeCell ref="AV62:AZ62"/>
    <mergeCell ref="BA62:BD62"/>
    <mergeCell ref="BC68:BE68"/>
    <mergeCell ref="BH81:BJ81"/>
    <mergeCell ref="BK72:BL72"/>
    <mergeCell ref="BD73:BE73"/>
    <mergeCell ref="BH68:BJ68"/>
    <mergeCell ref="BH92:BL92"/>
    <mergeCell ref="BH93:BL93"/>
    <mergeCell ref="AU89:AW89"/>
    <mergeCell ref="AX89:AZ89"/>
    <mergeCell ref="BO63:BP63"/>
    <mergeCell ref="AU86:AW86"/>
    <mergeCell ref="BH83:BJ83"/>
    <mergeCell ref="BK90:BL90"/>
    <mergeCell ref="BH73:BJ73"/>
    <mergeCell ref="BH76:BJ76"/>
    <mergeCell ref="AU72:AW72"/>
    <mergeCell ref="BA79:BB79"/>
    <mergeCell ref="AS45:AT45"/>
    <mergeCell ref="AD58:AE58"/>
    <mergeCell ref="AD59:AE59"/>
    <mergeCell ref="AC71:AJ71"/>
    <mergeCell ref="AC72:AJ72"/>
    <mergeCell ref="AC73:AJ73"/>
    <mergeCell ref="AC74:AJ74"/>
    <mergeCell ref="AC75:AJ75"/>
    <mergeCell ref="AK79:AL79"/>
    <mergeCell ref="AD62:AE62"/>
    <mergeCell ref="AU74:AW74"/>
    <mergeCell ref="AM77:AO77"/>
    <mergeCell ref="AM75:AO75"/>
    <mergeCell ref="BA61:BD61"/>
    <mergeCell ref="BE61:BF61"/>
    <mergeCell ref="AS52:AT52"/>
    <mergeCell ref="AD52:AE52"/>
    <mergeCell ref="AK77:AL77"/>
    <mergeCell ref="AP72:AR72"/>
    <mergeCell ref="AF62:AR62"/>
    <mergeCell ref="BA77:BB77"/>
    <mergeCell ref="BA78:BB78"/>
    <mergeCell ref="AD53:AE53"/>
    <mergeCell ref="AD56:AE56"/>
    <mergeCell ref="AD57:AE57"/>
    <mergeCell ref="AX72:AZ72"/>
    <mergeCell ref="BK69:BL69"/>
    <mergeCell ref="AV50:BF50"/>
    <mergeCell ref="AM76:AO76"/>
    <mergeCell ref="AN70:AP70"/>
    <mergeCell ref="AP71:AR71"/>
    <mergeCell ref="BD74:BE74"/>
    <mergeCell ref="BE62:BF62"/>
    <mergeCell ref="BO55:BP55"/>
    <mergeCell ref="BO56:BP56"/>
    <mergeCell ref="BI71:BJ71"/>
    <mergeCell ref="BL71:BM71"/>
    <mergeCell ref="AP77:AR77"/>
    <mergeCell ref="AM81:AO81"/>
    <mergeCell ref="AX80:AZ80"/>
    <mergeCell ref="AM80:AO80"/>
    <mergeCell ref="BK82:BL82"/>
    <mergeCell ref="BK73:BL73"/>
    <mergeCell ref="BH74:BJ74"/>
    <mergeCell ref="BO57:BP57"/>
    <mergeCell ref="BO58:BP58"/>
    <mergeCell ref="BN65:BQ94"/>
    <mergeCell ref="BD91:BE91"/>
    <mergeCell ref="AU91:AW91"/>
    <mergeCell ref="BH82:BJ82"/>
    <mergeCell ref="BH87:BJ87"/>
    <mergeCell ref="BK87:BL87"/>
    <mergeCell ref="BH88:BJ88"/>
    <mergeCell ref="BK88:BL88"/>
    <mergeCell ref="BH67:BJ67"/>
    <mergeCell ref="AV59:AZ59"/>
    <mergeCell ref="AU84:AW84"/>
    <mergeCell ref="AU73:AW73"/>
    <mergeCell ref="BD90:BE90"/>
    <mergeCell ref="BK89:BL89"/>
    <mergeCell ref="AV53:BF53"/>
    <mergeCell ref="BD82:BE82"/>
    <mergeCell ref="BK80:BL80"/>
    <mergeCell ref="AS62:AT62"/>
    <mergeCell ref="AS53:AT53"/>
    <mergeCell ref="AS54:AT54"/>
    <mergeCell ref="BK81:BL81"/>
    <mergeCell ref="BH56:BL56"/>
    <mergeCell ref="AV61:AZ61"/>
    <mergeCell ref="BH80:BJ80"/>
    <mergeCell ref="BK74:BL74"/>
    <mergeCell ref="BH75:BJ75"/>
    <mergeCell ref="AU82:AW82"/>
    <mergeCell ref="AS78:AT78"/>
    <mergeCell ref="AP76:AR76"/>
    <mergeCell ref="BD83:BE83"/>
    <mergeCell ref="BH85:BJ85"/>
    <mergeCell ref="AV58:BD58"/>
    <mergeCell ref="BE58:BF58"/>
    <mergeCell ref="AX81:AZ81"/>
    <mergeCell ref="AS81:AT81"/>
    <mergeCell ref="AU63:BB64"/>
    <mergeCell ref="BA85:BB85"/>
    <mergeCell ref="BD78:BE78"/>
    <mergeCell ref="BD76:BE76"/>
    <mergeCell ref="BE60:BF60"/>
    <mergeCell ref="BD80:BE80"/>
    <mergeCell ref="BD79:BE79"/>
    <mergeCell ref="AU78:AW78"/>
    <mergeCell ref="AU83:AW83"/>
    <mergeCell ref="BK83:BL83"/>
  </mergeCells>
  <conditionalFormatting sqref="F7:H9 B7:B11 I7:K11 C11:H11 BN30 BN32 BN34">
    <cfRule type="expression" dxfId="57" priority="99">
      <formula>$B$51=16</formula>
    </cfRule>
    <cfRule type="expression" dxfId="56" priority="98">
      <formula>$B$51=17</formula>
    </cfRule>
    <cfRule type="expression" dxfId="55" priority="97">
      <formula>$B$51=18</formula>
    </cfRule>
    <cfRule type="expression" dxfId="54" priority="117">
      <formula>$B$51=2</formula>
    </cfRule>
    <cfRule type="expression" dxfId="53" priority="112">
      <formula>$B$51=3</formula>
    </cfRule>
    <cfRule type="expression" dxfId="52" priority="111">
      <formula>$B$51=4</formula>
    </cfRule>
    <cfRule type="expression" dxfId="51" priority="106">
      <formula>$B$51=9</formula>
    </cfRule>
    <cfRule type="expression" dxfId="50" priority="110">
      <formula>$B$51=5</formula>
    </cfRule>
    <cfRule type="expression" dxfId="49" priority="108">
      <formula>$B$51=7</formula>
    </cfRule>
    <cfRule type="expression" dxfId="48" priority="107">
      <formula>$B$51=8</formula>
    </cfRule>
    <cfRule type="expression" dxfId="47" priority="105">
      <formula>$B$51=10</formula>
    </cfRule>
    <cfRule type="expression" dxfId="46" priority="104">
      <formula>$B$51=11</formula>
    </cfRule>
    <cfRule type="expression" dxfId="45" priority="103">
      <formula>$B$51=12</formula>
    </cfRule>
    <cfRule type="expression" dxfId="44" priority="102">
      <formula>$B$51=13</formula>
    </cfRule>
    <cfRule type="expression" dxfId="43" priority="101">
      <formula>$B$51=14</formula>
    </cfRule>
    <cfRule type="expression" dxfId="42" priority="100">
      <formula>$B$51=15</formula>
    </cfRule>
  </conditionalFormatting>
  <conditionalFormatting sqref="L7:L11 M8:U11">
    <cfRule type="expression" dxfId="41" priority="93">
      <formula>$V$39=4</formula>
    </cfRule>
    <cfRule type="expression" dxfId="40" priority="94">
      <formula>$V$39=3</formula>
    </cfRule>
    <cfRule type="expression" dxfId="39" priority="95">
      <formula>$V$39=2</formula>
    </cfRule>
    <cfRule type="expression" dxfId="38" priority="79">
      <formula>$V$39=18</formula>
    </cfRule>
    <cfRule type="expression" dxfId="37" priority="80">
      <formula>$V$39=17</formula>
    </cfRule>
    <cfRule type="expression" dxfId="36" priority="81">
      <formula>$V$39=16</formula>
    </cfRule>
    <cfRule type="expression" dxfId="35" priority="82">
      <formula>$V$39=15</formula>
    </cfRule>
    <cfRule type="expression" dxfId="34" priority="83">
      <formula>$V$39=14</formula>
    </cfRule>
    <cfRule type="expression" dxfId="33" priority="84">
      <formula>$V$39=13</formula>
    </cfRule>
    <cfRule type="expression" dxfId="32" priority="85">
      <formula>$V$39=12</formula>
    </cfRule>
    <cfRule type="expression" dxfId="31" priority="86">
      <formula>$V$39=11</formula>
    </cfRule>
    <cfRule type="expression" dxfId="30" priority="87">
      <formula>$V$39=10</formula>
    </cfRule>
    <cfRule type="expression" dxfId="29" priority="88">
      <formula>$V$39=9</formula>
    </cfRule>
    <cfRule type="expression" dxfId="28" priority="89">
      <formula>$V$39=8</formula>
    </cfRule>
    <cfRule type="expression" dxfId="27" priority="90">
      <formula>$V$39=7</formula>
    </cfRule>
    <cfRule type="expression" dxfId="26" priority="92">
      <formula>$V$39=5</formula>
    </cfRule>
  </conditionalFormatting>
  <conditionalFormatting sqref="V7:V11 Y7:AE11 W8:X8 W10:X10">
    <cfRule type="expression" dxfId="25" priority="58">
      <formula>$AE$39=3</formula>
    </cfRule>
    <cfRule type="expression" dxfId="24" priority="59">
      <formula>$AE$39=4</formula>
    </cfRule>
    <cfRule type="expression" dxfId="23" priority="60">
      <formula>$AE$39=2</formula>
    </cfRule>
    <cfRule type="expression" dxfId="22" priority="78">
      <formula>$AE$39=5</formula>
    </cfRule>
    <cfRule type="expression" dxfId="21" priority="77">
      <formula>$AE$39=6</formula>
    </cfRule>
    <cfRule type="expression" dxfId="20" priority="76">
      <formula>$AE$39=7</formula>
    </cfRule>
    <cfRule type="expression" dxfId="19" priority="75">
      <formula>$AE$39=8</formula>
    </cfRule>
    <cfRule type="expression" dxfId="18" priority="73">
      <formula>$AE$39=10</formula>
    </cfRule>
    <cfRule type="expression" dxfId="17" priority="72">
      <formula>$AE$39=11</formula>
    </cfRule>
    <cfRule type="expression" dxfId="16" priority="71">
      <formula>$AE$39=12</formula>
    </cfRule>
    <cfRule type="expression" dxfId="15" priority="70">
      <formula>$AE$39=13</formula>
    </cfRule>
    <cfRule type="expression" dxfId="14" priority="69">
      <formula>$AE$39=14</formula>
    </cfRule>
    <cfRule type="expression" dxfId="13" priority="65">
      <formula>$AE$39=18</formula>
    </cfRule>
    <cfRule type="expression" dxfId="12" priority="68">
      <formula>$AE$39=15</formula>
    </cfRule>
    <cfRule type="expression" dxfId="11" priority="67">
      <formula>$AE$39=16</formula>
    </cfRule>
    <cfRule type="expression" dxfId="10" priority="66">
      <formula>$AE$39=17</formula>
    </cfRule>
    <cfRule type="expression" dxfId="9" priority="64">
      <formula>$AE$39=19</formula>
    </cfRule>
    <cfRule type="expression" dxfId="8" priority="63">
      <formula>$AE$39=20</formula>
    </cfRule>
    <cfRule type="expression" dxfId="7" priority="62">
      <formula>$AE$39=21</formula>
    </cfRule>
  </conditionalFormatting>
  <conditionalFormatting sqref="BM7:BM17 AS7:AT62 BG8:BG20 BQ9:BQ13 T12:U32 AD12:AE38 J15:K50 BQ16:BQ20 BM19:BM36 BG22:BG24 BQ23:BQ27 BG28:BG32 D31:F50 BG35:BG62 N36:P45 T36:U45 BM38:BM41 BQ38:BQ46 BM43:BM62 AD49:AE62 BQ49:BQ64 N50:P59 T50:U59 AK67:AL86 B67:D96 H67:I96 K67:M96 Q67:R96 T67:V96 Z67:AA96 BM68:BM69 BG70:BG94 AS71:BB92 AM71:AO100 BM73:BM90 AK87 BM92:BM94 AS93:AT102">
    <cfRule type="cellIs" dxfId="6" priority="96" operator="greaterThan">
      <formula>0</formula>
    </cfRule>
  </conditionalFormatting>
  <pageMargins left="0.7" right="0.7" top="0.75" bottom="0.75" header="0.3" footer="0.3"/>
  <pageSetup orientation="portrait" r:id="rId1"/>
  <headerFooter>
    <oddFooter>&amp;L&amp;Z&amp;F&amp;F&amp;CPage &amp;P&amp;R&amp;D</oddFooter>
  </headerFooter>
  <ignoredErrors>
    <ignoredError sqref="BN55:BN6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60960</xdr:colOff>
                    <xdr:row>6</xdr:row>
                    <xdr:rowOff>15240</xdr:rowOff>
                  </from>
                  <to>
                    <xdr:col>10</xdr:col>
                    <xdr:colOff>160020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4</xdr:col>
                    <xdr:colOff>60960</xdr:colOff>
                    <xdr:row>7</xdr:row>
                    <xdr:rowOff>137160</xdr:rowOff>
                  </from>
                  <to>
                    <xdr:col>10</xdr:col>
                    <xdr:colOff>152400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4</xdr:col>
                    <xdr:colOff>60960</xdr:colOff>
                    <xdr:row>9</xdr:row>
                    <xdr:rowOff>45720</xdr:rowOff>
                  </from>
                  <to>
                    <xdr:col>10</xdr:col>
                    <xdr:colOff>160020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Drop Down 11">
              <controlPr defaultSize="0" autoLine="0" autoPict="0">
                <anchor moveWithCells="1">
                  <from>
                    <xdr:col>15</xdr:col>
                    <xdr:colOff>45720</xdr:colOff>
                    <xdr:row>6</xdr:row>
                    <xdr:rowOff>129540</xdr:rowOff>
                  </from>
                  <to>
                    <xdr:col>19</xdr:col>
                    <xdr:colOff>198120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Drop Down 12">
              <controlPr defaultSize="0" autoLine="0" autoPict="0">
                <anchor moveWithCells="1">
                  <from>
                    <xdr:col>15</xdr:col>
                    <xdr:colOff>53340</xdr:colOff>
                    <xdr:row>8</xdr:row>
                    <xdr:rowOff>129540</xdr:rowOff>
                  </from>
                  <to>
                    <xdr:col>19</xdr:col>
                    <xdr:colOff>182880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Drop Down 14">
              <controlPr defaultSize="0" autoLine="0" autoPict="0">
                <anchor moveWithCells="1">
                  <from>
                    <xdr:col>24</xdr:col>
                    <xdr:colOff>160020</xdr:colOff>
                    <xdr:row>6</xdr:row>
                    <xdr:rowOff>91440</xdr:rowOff>
                  </from>
                  <to>
                    <xdr:col>30</xdr:col>
                    <xdr:colOff>38100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Drop Down 16">
              <controlPr defaultSize="0" autoLine="0" autoPict="0">
                <anchor moveWithCells="1">
                  <from>
                    <xdr:col>24</xdr:col>
                    <xdr:colOff>167640</xdr:colOff>
                    <xdr:row>8</xdr:row>
                    <xdr:rowOff>76200</xdr:rowOff>
                  </from>
                  <to>
                    <xdr:col>30</xdr:col>
                    <xdr:colOff>38100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1" name="Drop Down 43">
              <controlPr defaultSize="0" autoLine="0" autoPict="0">
                <anchor moveWithCells="1">
                  <from>
                    <xdr:col>62</xdr:col>
                    <xdr:colOff>7620</xdr:colOff>
                    <xdr:row>6</xdr:row>
                    <xdr:rowOff>0</xdr:rowOff>
                  </from>
                  <to>
                    <xdr:col>63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2" name="Drop Down 65">
              <controlPr defaultSize="0" autoLine="0" autoPict="0">
                <anchor moveWithCells="1">
                  <from>
                    <xdr:col>7</xdr:col>
                    <xdr:colOff>182880</xdr:colOff>
                    <xdr:row>64</xdr:row>
                    <xdr:rowOff>350520</xdr:rowOff>
                  </from>
                  <to>
                    <xdr:col>12</xdr:col>
                    <xdr:colOff>198120</xdr:colOff>
                    <xdr:row>65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3" name="Drop Down 66">
              <controlPr defaultSize="0" autoLine="0" autoPict="0">
                <anchor moveWithCells="1">
                  <from>
                    <xdr:col>17</xdr:col>
                    <xdr:colOff>121920</xdr:colOff>
                    <xdr:row>64</xdr:row>
                    <xdr:rowOff>350520</xdr:rowOff>
                  </from>
                  <to>
                    <xdr:col>21</xdr:col>
                    <xdr:colOff>45720</xdr:colOff>
                    <xdr:row>65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4" name="Drop Down 67">
              <controlPr locked="0" defaultSize="0" autoLine="0" autoPict="0">
                <anchor moveWithCells="1">
                  <from>
                    <xdr:col>40</xdr:col>
                    <xdr:colOff>182880</xdr:colOff>
                    <xdr:row>64</xdr:row>
                    <xdr:rowOff>83820</xdr:rowOff>
                  </from>
                  <to>
                    <xdr:col>43</xdr:col>
                    <xdr:colOff>845820</xdr:colOff>
                    <xdr:row>64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5" name="Drop Down 68">
              <controlPr locked="0" defaultSize="0" autoLine="0" autoPict="0">
                <anchor moveWithCells="1">
                  <from>
                    <xdr:col>40</xdr:col>
                    <xdr:colOff>182880</xdr:colOff>
                    <xdr:row>65</xdr:row>
                    <xdr:rowOff>15240</xdr:rowOff>
                  </from>
                  <to>
                    <xdr:col>43</xdr:col>
                    <xdr:colOff>845820</xdr:colOff>
                    <xdr:row>66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16" name="Drop Down 70">
              <controlPr locked="0" defaultSize="0" autoLine="0" autoPict="0">
                <anchor moveWithCells="1">
                  <from>
                    <xdr:col>40</xdr:col>
                    <xdr:colOff>167640</xdr:colOff>
                    <xdr:row>66</xdr:row>
                    <xdr:rowOff>144780</xdr:rowOff>
                  </from>
                  <to>
                    <xdr:col>43</xdr:col>
                    <xdr:colOff>868680</xdr:colOff>
                    <xdr:row>68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7" name="Drop Down 75">
              <controlPr locked="0" defaultSize="0" autoLine="0" autoPict="0">
                <anchor moveWithCells="1">
                  <from>
                    <xdr:col>48</xdr:col>
                    <xdr:colOff>15240</xdr:colOff>
                    <xdr:row>64</xdr:row>
                    <xdr:rowOff>99060</xdr:rowOff>
                  </from>
                  <to>
                    <xdr:col>53</xdr:col>
                    <xdr:colOff>83820</xdr:colOff>
                    <xdr:row>64</xdr:row>
                    <xdr:rowOff>396240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8" name="Drop Down 77">
              <controlPr locked="0" defaultSize="0" autoLine="0" autoPict="0">
                <anchor moveWithCells="1">
                  <from>
                    <xdr:col>48</xdr:col>
                    <xdr:colOff>15240</xdr:colOff>
                    <xdr:row>64</xdr:row>
                    <xdr:rowOff>472440</xdr:rowOff>
                  </from>
                  <to>
                    <xdr:col>53</xdr:col>
                    <xdr:colOff>83820</xdr:colOff>
                    <xdr:row>66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9" name="Drop Down 106">
              <controlPr locked="0" defaultSize="0" autoLine="0" autoPict="0">
                <anchor moveWithCells="1">
                  <from>
                    <xdr:col>54</xdr:col>
                    <xdr:colOff>0</xdr:colOff>
                    <xdr:row>12</xdr:row>
                    <xdr:rowOff>7620</xdr:rowOff>
                  </from>
                  <to>
                    <xdr:col>57</xdr:col>
                    <xdr:colOff>350520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0" name="Drop Down 108">
              <controlPr locked="0" defaultSize="0" autoLine="0" autoPict="0">
                <anchor moveWithCells="1">
                  <from>
                    <xdr:col>54</xdr:col>
                    <xdr:colOff>0</xdr:colOff>
                    <xdr:row>11</xdr:row>
                    <xdr:rowOff>0</xdr:rowOff>
                  </from>
                  <to>
                    <xdr:col>57</xdr:col>
                    <xdr:colOff>350520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1" name="Drop Down 112">
              <controlPr locked="0" defaultSize="0" autoLine="0" autoPict="0">
                <anchor moveWithCells="1">
                  <from>
                    <xdr:col>56</xdr:col>
                    <xdr:colOff>106680</xdr:colOff>
                    <xdr:row>64</xdr:row>
                    <xdr:rowOff>457200</xdr:rowOff>
                  </from>
                  <to>
                    <xdr:col>58</xdr:col>
                    <xdr:colOff>624840</xdr:colOff>
                    <xdr:row>65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2" name="Drop Down 113">
              <controlPr locked="0" defaultSize="0" autoLine="0" autoPict="0">
                <anchor moveWithCells="1">
                  <from>
                    <xdr:col>56</xdr:col>
                    <xdr:colOff>99060</xdr:colOff>
                    <xdr:row>66</xdr:row>
                    <xdr:rowOff>7620</xdr:rowOff>
                  </from>
                  <to>
                    <xdr:col>58</xdr:col>
                    <xdr:colOff>624840</xdr:colOff>
                    <xdr:row>67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3" name="Drop Down 116">
              <controlPr defaultSize="0" autoLine="0" autoPict="0">
                <anchor moveWithCells="1">
                  <from>
                    <xdr:col>19</xdr:col>
                    <xdr:colOff>0</xdr:colOff>
                    <xdr:row>45</xdr:row>
                    <xdr:rowOff>30480</xdr:rowOff>
                  </from>
                  <to>
                    <xdr:col>24</xdr:col>
                    <xdr:colOff>15240</xdr:colOff>
                    <xdr:row>46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24" name="Drop Down 120">
              <controlPr defaultSize="0" autoLine="0" autoPict="0">
                <anchor moveWithCells="1">
                  <from>
                    <xdr:col>62</xdr:col>
                    <xdr:colOff>7620</xdr:colOff>
                    <xdr:row>7</xdr:row>
                    <xdr:rowOff>0</xdr:rowOff>
                  </from>
                  <to>
                    <xdr:col>63</xdr:col>
                    <xdr:colOff>464820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25" name="Drop Down 121">
              <controlPr defaultSize="0" autoLine="0" autoPict="0">
                <anchor moveWithCells="1">
                  <from>
                    <xdr:col>62</xdr:col>
                    <xdr:colOff>7620</xdr:colOff>
                    <xdr:row>8</xdr:row>
                    <xdr:rowOff>0</xdr:rowOff>
                  </from>
                  <to>
                    <xdr:col>63</xdr:col>
                    <xdr:colOff>464820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6" name="Drop Down 122">
              <controlPr defaultSize="0" autoLine="0" autoPict="0">
                <anchor moveWithCells="1">
                  <from>
                    <xdr:col>62</xdr:col>
                    <xdr:colOff>7620</xdr:colOff>
                    <xdr:row>9</xdr:row>
                    <xdr:rowOff>0</xdr:rowOff>
                  </from>
                  <to>
                    <xdr:col>63</xdr:col>
                    <xdr:colOff>464820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27" name="Drop Down 123">
              <controlPr defaultSize="0" autoLine="0" autoPict="0">
                <anchor moveWithCells="1">
                  <from>
                    <xdr:col>62</xdr:col>
                    <xdr:colOff>7620</xdr:colOff>
                    <xdr:row>10</xdr:row>
                    <xdr:rowOff>0</xdr:rowOff>
                  </from>
                  <to>
                    <xdr:col>63</xdr:col>
                    <xdr:colOff>464820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8" name="Drop Down 124">
              <controlPr defaultSize="0" autoLine="0" autoPict="0">
                <anchor moveWithCells="1">
                  <from>
                    <xdr:col>62</xdr:col>
                    <xdr:colOff>7620</xdr:colOff>
                    <xdr:row>11</xdr:row>
                    <xdr:rowOff>0</xdr:rowOff>
                  </from>
                  <to>
                    <xdr:col>63</xdr:col>
                    <xdr:colOff>464820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9" name="Drop Down 125">
              <controlPr defaultSize="0" autoLine="0" autoPict="0">
                <anchor moveWithCells="1">
                  <from>
                    <xdr:col>62</xdr:col>
                    <xdr:colOff>7620</xdr:colOff>
                    <xdr:row>12</xdr:row>
                    <xdr:rowOff>7620</xdr:rowOff>
                  </from>
                  <to>
                    <xdr:col>63</xdr:col>
                    <xdr:colOff>464820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0" name="Drop Down 126">
              <controlPr defaultSize="0" autoLine="0" autoPict="0">
                <anchor moveWithCells="1">
                  <from>
                    <xdr:col>62</xdr:col>
                    <xdr:colOff>7620</xdr:colOff>
                    <xdr:row>13</xdr:row>
                    <xdr:rowOff>7620</xdr:rowOff>
                  </from>
                  <to>
                    <xdr:col>63</xdr:col>
                    <xdr:colOff>464820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1" name="Drop Down 127">
              <controlPr defaultSize="0" autoLine="0" autoPict="0">
                <anchor moveWithCells="1">
                  <from>
                    <xdr:col>62</xdr:col>
                    <xdr:colOff>7620</xdr:colOff>
                    <xdr:row>14</xdr:row>
                    <xdr:rowOff>7620</xdr:rowOff>
                  </from>
                  <to>
                    <xdr:col>63</xdr:col>
                    <xdr:colOff>464820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2" name="Drop Down 128">
              <controlPr defaultSize="0" autoLine="0" autoPict="0">
                <anchor moveWithCells="1">
                  <from>
                    <xdr:col>62</xdr:col>
                    <xdr:colOff>7620</xdr:colOff>
                    <xdr:row>15</xdr:row>
                    <xdr:rowOff>7620</xdr:rowOff>
                  </from>
                  <to>
                    <xdr:col>63</xdr:col>
                    <xdr:colOff>464820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3" name="Drop Down 129">
              <controlPr defaultSize="0" autoLine="0" autoPict="0">
                <anchor moveWithCells="1">
                  <from>
                    <xdr:col>62</xdr:col>
                    <xdr:colOff>7620</xdr:colOff>
                    <xdr:row>16</xdr:row>
                    <xdr:rowOff>7620</xdr:rowOff>
                  </from>
                  <to>
                    <xdr:col>63</xdr:col>
                    <xdr:colOff>464820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4" name="Drop Down 130">
              <controlPr defaultSize="0" autoLine="0" autoPict="0">
                <anchor moveWithCells="1">
                  <from>
                    <xdr:col>62</xdr:col>
                    <xdr:colOff>7620</xdr:colOff>
                    <xdr:row>17</xdr:row>
                    <xdr:rowOff>0</xdr:rowOff>
                  </from>
                  <to>
                    <xdr:col>63</xdr:col>
                    <xdr:colOff>464820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5" name="Drop Down 131">
              <controlPr defaultSize="0" autoLine="0" autoPict="0">
                <anchor moveWithCells="1">
                  <from>
                    <xdr:col>62</xdr:col>
                    <xdr:colOff>7620</xdr:colOff>
                    <xdr:row>18</xdr:row>
                    <xdr:rowOff>0</xdr:rowOff>
                  </from>
                  <to>
                    <xdr:col>63</xdr:col>
                    <xdr:colOff>464820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6" name="Drop Down 132">
              <controlPr defaultSize="0" autoLine="0" autoPict="0">
                <anchor moveWithCells="1">
                  <from>
                    <xdr:col>62</xdr:col>
                    <xdr:colOff>7620</xdr:colOff>
                    <xdr:row>19</xdr:row>
                    <xdr:rowOff>0</xdr:rowOff>
                  </from>
                  <to>
                    <xdr:col>63</xdr:col>
                    <xdr:colOff>464820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37" name="Drop Down 133">
              <controlPr defaultSize="0" autoLine="0" autoPict="0">
                <anchor moveWithCells="1">
                  <from>
                    <xdr:col>62</xdr:col>
                    <xdr:colOff>7620</xdr:colOff>
                    <xdr:row>20</xdr:row>
                    <xdr:rowOff>0</xdr:rowOff>
                  </from>
                  <to>
                    <xdr:col>63</xdr:col>
                    <xdr:colOff>464820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38" name="Drop Down 134">
              <controlPr defaultSize="0" autoLine="0" autoPict="0">
                <anchor moveWithCells="1">
                  <from>
                    <xdr:col>62</xdr:col>
                    <xdr:colOff>7620</xdr:colOff>
                    <xdr:row>21</xdr:row>
                    <xdr:rowOff>0</xdr:rowOff>
                  </from>
                  <to>
                    <xdr:col>63</xdr:col>
                    <xdr:colOff>464820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39" name="Drop Down 135">
              <controlPr defaultSize="0" autoLine="0" autoPict="0">
                <anchor moveWithCells="1">
                  <from>
                    <xdr:col>62</xdr:col>
                    <xdr:colOff>7620</xdr:colOff>
                    <xdr:row>21</xdr:row>
                    <xdr:rowOff>152400</xdr:rowOff>
                  </from>
                  <to>
                    <xdr:col>63</xdr:col>
                    <xdr:colOff>464820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40" name="Drop Down 136">
              <controlPr defaultSize="0" autoLine="0" autoPict="0">
                <anchor moveWithCells="1">
                  <from>
                    <xdr:col>62</xdr:col>
                    <xdr:colOff>7620</xdr:colOff>
                    <xdr:row>23</xdr:row>
                    <xdr:rowOff>0</xdr:rowOff>
                  </from>
                  <to>
                    <xdr:col>63</xdr:col>
                    <xdr:colOff>464820</xdr:colOff>
                    <xdr:row>24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41" name="Drop Down 137">
              <controlPr defaultSize="0" autoLine="0" autoPict="0">
                <anchor moveWithCells="1">
                  <from>
                    <xdr:col>62</xdr:col>
                    <xdr:colOff>7620</xdr:colOff>
                    <xdr:row>24</xdr:row>
                    <xdr:rowOff>7620</xdr:rowOff>
                  </from>
                  <to>
                    <xdr:col>63</xdr:col>
                    <xdr:colOff>464820</xdr:colOff>
                    <xdr:row>25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42" name="Drop Down 138">
              <controlPr defaultSize="0" autoLine="0" autoPict="0">
                <anchor moveWithCells="1">
                  <from>
                    <xdr:col>62</xdr:col>
                    <xdr:colOff>7620</xdr:colOff>
                    <xdr:row>25</xdr:row>
                    <xdr:rowOff>7620</xdr:rowOff>
                  </from>
                  <to>
                    <xdr:col>63</xdr:col>
                    <xdr:colOff>464820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43" name="Drop Down 139">
              <controlPr defaultSize="0" autoLine="0" autoPict="0">
                <anchor moveWithCells="1">
                  <from>
                    <xdr:col>62</xdr:col>
                    <xdr:colOff>7620</xdr:colOff>
                    <xdr:row>26</xdr:row>
                    <xdr:rowOff>0</xdr:rowOff>
                  </from>
                  <to>
                    <xdr:col>63</xdr:col>
                    <xdr:colOff>464820</xdr:colOff>
                    <xdr:row>27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44" name="Drop Down 140">
              <controlPr defaultSize="0" autoLine="0" autoPict="0">
                <anchor moveWithCells="1">
                  <from>
                    <xdr:col>62</xdr:col>
                    <xdr:colOff>7620</xdr:colOff>
                    <xdr:row>27</xdr:row>
                    <xdr:rowOff>0</xdr:rowOff>
                  </from>
                  <to>
                    <xdr:col>63</xdr:col>
                    <xdr:colOff>464820</xdr:colOff>
                    <xdr:row>28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45" name="Drop Down 141">
              <controlPr defaultSize="0" autoLine="0" autoPict="0">
                <anchor moveWithCells="1">
                  <from>
                    <xdr:col>62</xdr:col>
                    <xdr:colOff>7620</xdr:colOff>
                    <xdr:row>28</xdr:row>
                    <xdr:rowOff>0</xdr:rowOff>
                  </from>
                  <to>
                    <xdr:col>63</xdr:col>
                    <xdr:colOff>464820</xdr:colOff>
                    <xdr:row>29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46" name="Drop Down 142">
              <controlPr defaultSize="0" autoLine="0" autoPict="0">
                <anchor moveWithCells="1">
                  <from>
                    <xdr:col>62</xdr:col>
                    <xdr:colOff>7620</xdr:colOff>
                    <xdr:row>29</xdr:row>
                    <xdr:rowOff>0</xdr:rowOff>
                  </from>
                  <to>
                    <xdr:col>63</xdr:col>
                    <xdr:colOff>464820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47" name="Drop Down 143">
              <controlPr defaultSize="0" autoLine="0" autoPict="0">
                <anchor moveWithCells="1">
                  <from>
                    <xdr:col>62</xdr:col>
                    <xdr:colOff>7620</xdr:colOff>
                    <xdr:row>29</xdr:row>
                    <xdr:rowOff>144780</xdr:rowOff>
                  </from>
                  <to>
                    <xdr:col>63</xdr:col>
                    <xdr:colOff>464820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48" name="Drop Down 144">
              <controlPr defaultSize="0" autoLine="0" autoPict="0">
                <anchor moveWithCells="1">
                  <from>
                    <xdr:col>62</xdr:col>
                    <xdr:colOff>7620</xdr:colOff>
                    <xdr:row>30</xdr:row>
                    <xdr:rowOff>144780</xdr:rowOff>
                  </from>
                  <to>
                    <xdr:col>63</xdr:col>
                    <xdr:colOff>464820</xdr:colOff>
                    <xdr:row>31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49" name="Drop Down 145">
              <controlPr defaultSize="0" autoLine="0" autoPict="0">
                <anchor moveWithCells="1">
                  <from>
                    <xdr:col>62</xdr:col>
                    <xdr:colOff>7620</xdr:colOff>
                    <xdr:row>36</xdr:row>
                    <xdr:rowOff>144780</xdr:rowOff>
                  </from>
                  <to>
                    <xdr:col>63</xdr:col>
                    <xdr:colOff>464820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50" name="Drop Down 146">
              <controlPr defaultSize="0" autoLine="0" autoPict="0">
                <anchor moveWithCells="1">
                  <from>
                    <xdr:col>62</xdr:col>
                    <xdr:colOff>7620</xdr:colOff>
                    <xdr:row>37</xdr:row>
                    <xdr:rowOff>144780</xdr:rowOff>
                  </from>
                  <to>
                    <xdr:col>63</xdr:col>
                    <xdr:colOff>464820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51" name="Drop Down 147">
              <controlPr defaultSize="0" autoLine="0" autoPict="0">
                <anchor moveWithCells="1">
                  <from>
                    <xdr:col>62</xdr:col>
                    <xdr:colOff>7620</xdr:colOff>
                    <xdr:row>39</xdr:row>
                    <xdr:rowOff>0</xdr:rowOff>
                  </from>
                  <to>
                    <xdr:col>63</xdr:col>
                    <xdr:colOff>464820</xdr:colOff>
                    <xdr:row>40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52" name="Drop Down 148">
              <controlPr defaultSize="0" autoLine="0" autoPict="0">
                <anchor moveWithCells="1">
                  <from>
                    <xdr:col>62</xdr:col>
                    <xdr:colOff>7620</xdr:colOff>
                    <xdr:row>40</xdr:row>
                    <xdr:rowOff>0</xdr:rowOff>
                  </from>
                  <to>
                    <xdr:col>63</xdr:col>
                    <xdr:colOff>464820</xdr:colOff>
                    <xdr:row>41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53" name="Drop Down 151">
              <controlPr defaultSize="0" autoLine="0" autoPict="0">
                <anchor moveWithCells="1">
                  <from>
                    <xdr:col>3</xdr:col>
                    <xdr:colOff>45720</xdr:colOff>
                    <xdr:row>64</xdr:row>
                    <xdr:rowOff>68580</xdr:rowOff>
                  </from>
                  <to>
                    <xdr:col>21</xdr:col>
                    <xdr:colOff>53340</xdr:colOff>
                    <xdr:row>64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54" name="Drop Down 153">
              <controlPr locked="0" defaultSize="0" autoLine="0" autoPict="0">
                <anchor moveWithCells="1">
                  <from>
                    <xdr:col>54</xdr:col>
                    <xdr:colOff>22860</xdr:colOff>
                    <xdr:row>22</xdr:row>
                    <xdr:rowOff>0</xdr:rowOff>
                  </from>
                  <to>
                    <xdr:col>57</xdr:col>
                    <xdr:colOff>350520</xdr:colOff>
                    <xdr:row>23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55" name="Drop Down 157">
              <controlPr defaultSize="0" autoLine="0" autoPict="0">
                <anchor moveWithCells="1">
                  <from>
                    <xdr:col>36</xdr:col>
                    <xdr:colOff>7620</xdr:colOff>
                    <xdr:row>3</xdr:row>
                    <xdr:rowOff>7620</xdr:rowOff>
                  </from>
                  <to>
                    <xdr:col>42</xdr:col>
                    <xdr:colOff>45720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56" name="Drop Down 158">
              <controlPr locked="0" defaultSize="0" autoLine="0" autoPict="0">
                <anchor moveWithCells="1">
                  <from>
                    <xdr:col>54</xdr:col>
                    <xdr:colOff>15240</xdr:colOff>
                    <xdr:row>13</xdr:row>
                    <xdr:rowOff>152400</xdr:rowOff>
                  </from>
                  <to>
                    <xdr:col>57</xdr:col>
                    <xdr:colOff>365760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57" name="Drop Down 159">
              <controlPr locked="0" defaultSize="0" autoLine="0" autoPict="0">
                <anchor moveWithCells="1">
                  <from>
                    <xdr:col>54</xdr:col>
                    <xdr:colOff>15240</xdr:colOff>
                    <xdr:row>15</xdr:row>
                    <xdr:rowOff>152400</xdr:rowOff>
                  </from>
                  <to>
                    <xdr:col>57</xdr:col>
                    <xdr:colOff>365760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58" name="Drop Down 160">
              <controlPr defaultSize="0" autoLine="0" autoPict="0">
                <anchor moveWithCells="1">
                  <from>
                    <xdr:col>12</xdr:col>
                    <xdr:colOff>45720</xdr:colOff>
                    <xdr:row>32</xdr:row>
                    <xdr:rowOff>60960</xdr:rowOff>
                  </from>
                  <to>
                    <xdr:col>19</xdr:col>
                    <xdr:colOff>99060</xdr:colOff>
                    <xdr:row>33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59" name="Drop Down 161">
              <controlPr locked="0" defaultSize="0" autoLine="0" autoPict="0">
                <anchor moveWithCells="1">
                  <from>
                    <xdr:col>55</xdr:col>
                    <xdr:colOff>91440</xdr:colOff>
                    <xdr:row>64</xdr:row>
                    <xdr:rowOff>30480</xdr:rowOff>
                  </from>
                  <to>
                    <xdr:col>58</xdr:col>
                    <xdr:colOff>655320</xdr:colOff>
                    <xdr:row>64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60" name="Drop Down 162">
              <controlPr defaultSize="0" autoLine="0" autoPict="0">
                <anchor moveWithCells="1">
                  <from>
                    <xdr:col>56</xdr:col>
                    <xdr:colOff>0</xdr:colOff>
                    <xdr:row>32</xdr:row>
                    <xdr:rowOff>0</xdr:rowOff>
                  </from>
                  <to>
                    <xdr:col>58</xdr:col>
                    <xdr:colOff>403860</xdr:colOff>
                    <xdr:row>33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61" name="Drop Down 165">
              <controlPr locked="0" defaultSize="0" autoLine="0" autoPict="0">
                <anchor moveWithCells="1">
                  <from>
                    <xdr:col>59</xdr:col>
                    <xdr:colOff>342900</xdr:colOff>
                    <xdr:row>65</xdr:row>
                    <xdr:rowOff>7620</xdr:rowOff>
                  </from>
                  <to>
                    <xdr:col>62</xdr:col>
                    <xdr:colOff>312420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62" name="Drop Down 166">
              <controlPr locked="0" defaultSize="0" autoLine="0" autoPict="0">
                <anchor moveWithCells="1">
                  <from>
                    <xdr:col>59</xdr:col>
                    <xdr:colOff>373380</xdr:colOff>
                    <xdr:row>71</xdr:row>
                    <xdr:rowOff>15240</xdr:rowOff>
                  </from>
                  <to>
                    <xdr:col>61</xdr:col>
                    <xdr:colOff>487680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63" name="Drop Down 167">
              <controlPr locked="0" defaultSize="0" autoLine="0" autoPict="0">
                <anchor moveWithCells="1">
                  <from>
                    <xdr:col>63</xdr:col>
                    <xdr:colOff>53340</xdr:colOff>
                    <xdr:row>70</xdr:row>
                    <xdr:rowOff>251460</xdr:rowOff>
                  </from>
                  <to>
                    <xdr:col>65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64" name="Drop Down 168">
              <controlPr defaultSize="0" autoLine="0" autoPict="0">
                <anchor moveWithCells="1">
                  <from>
                    <xdr:col>61</xdr:col>
                    <xdr:colOff>15240</xdr:colOff>
                    <xdr:row>42</xdr:row>
                    <xdr:rowOff>144780</xdr:rowOff>
                  </from>
                  <to>
                    <xdr:col>62</xdr:col>
                    <xdr:colOff>396240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65" name="Drop Down 169">
              <controlPr defaultSize="0" autoLine="0" autoPict="0">
                <anchor moveWithCells="1">
                  <from>
                    <xdr:col>61</xdr:col>
                    <xdr:colOff>15240</xdr:colOff>
                    <xdr:row>44</xdr:row>
                    <xdr:rowOff>0</xdr:rowOff>
                  </from>
                  <to>
                    <xdr:col>62</xdr:col>
                    <xdr:colOff>396240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66" name="Drop Down 170">
              <controlPr locked="0" defaultSize="0" autoLine="0" autoPict="0">
                <anchor moveWithCells="1">
                  <from>
                    <xdr:col>66</xdr:col>
                    <xdr:colOff>76200</xdr:colOff>
                    <xdr:row>29</xdr:row>
                    <xdr:rowOff>45720</xdr:rowOff>
                  </from>
                  <to>
                    <xdr:col>68</xdr:col>
                    <xdr:colOff>426720</xdr:colOff>
                    <xdr:row>30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7" name="Drop Down 172">
              <controlPr locked="0" defaultSize="0" autoLine="0" autoPict="0">
                <anchor moveWithCells="1">
                  <from>
                    <xdr:col>66</xdr:col>
                    <xdr:colOff>76200</xdr:colOff>
                    <xdr:row>31</xdr:row>
                    <xdr:rowOff>45720</xdr:rowOff>
                  </from>
                  <to>
                    <xdr:col>68</xdr:col>
                    <xdr:colOff>426720</xdr:colOff>
                    <xdr:row>32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68" name="Drop Down 173">
              <controlPr locked="0" defaultSize="0" autoLine="0" autoPict="0">
                <anchor moveWithCells="1">
                  <from>
                    <xdr:col>66</xdr:col>
                    <xdr:colOff>76200</xdr:colOff>
                    <xdr:row>33</xdr:row>
                    <xdr:rowOff>45720</xdr:rowOff>
                  </from>
                  <to>
                    <xdr:col>68</xdr:col>
                    <xdr:colOff>426720</xdr:colOff>
                    <xdr:row>34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69" name="Drop Down 174">
              <controlPr locked="0" defaultSize="0" autoLine="0" autoPict="0">
                <anchor moveWithCells="1">
                  <from>
                    <xdr:col>61</xdr:col>
                    <xdr:colOff>327660</xdr:colOff>
                    <xdr:row>62</xdr:row>
                    <xdr:rowOff>15240</xdr:rowOff>
                  </from>
                  <to>
                    <xdr:col>65</xdr:col>
                    <xdr:colOff>0</xdr:colOff>
                    <xdr:row>62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70" name="Drop Down 175">
              <controlPr locked="0" defaultSize="0" autoLine="0" autoPict="0">
                <anchor moveWithCells="1">
                  <from>
                    <xdr:col>37</xdr:col>
                    <xdr:colOff>0</xdr:colOff>
                    <xdr:row>40</xdr:row>
                    <xdr:rowOff>144780</xdr:rowOff>
                  </from>
                  <to>
                    <xdr:col>39</xdr:col>
                    <xdr:colOff>175260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71" name="Drop Down 176">
              <controlPr locked="0" defaultSize="0" autoLine="0" autoPict="0">
                <anchor moveWithCells="1">
                  <from>
                    <xdr:col>41</xdr:col>
                    <xdr:colOff>22860</xdr:colOff>
                    <xdr:row>40</xdr:row>
                    <xdr:rowOff>144780</xdr:rowOff>
                  </from>
                  <to>
                    <xdr:col>43</xdr:col>
                    <xdr:colOff>358140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71"/>
  <sheetViews>
    <sheetView workbookViewId="0">
      <selection activeCell="B59" sqref="B59"/>
    </sheetView>
  </sheetViews>
  <sheetFormatPr defaultRowHeight="14.4"/>
  <cols>
    <col min="1" max="1" width="27.33203125" customWidth="1"/>
    <col min="2" max="2" width="27.33203125" style="77" customWidth="1"/>
    <col min="3" max="3" width="25.109375" customWidth="1"/>
    <col min="11" max="11" width="16.6640625" customWidth="1"/>
  </cols>
  <sheetData>
    <row r="1" spans="1:24" s="77" customFormat="1">
      <c r="A1" s="77">
        <v>1</v>
      </c>
    </row>
    <row r="2" spans="1:24">
      <c r="C2">
        <f>INDEX(A2:A13,A1)</f>
        <v>0</v>
      </c>
      <c r="D2">
        <f>IFERROR(VLOOKUP(C2,A3:B13,2,FALSE),0)</f>
        <v>0</v>
      </c>
    </row>
    <row r="3" spans="1:24">
      <c r="A3" s="484" t="s">
        <v>2244</v>
      </c>
      <c r="B3" s="484">
        <v>1130</v>
      </c>
      <c r="C3" t="str">
        <f>C2&amp;" "&amp;INDEX(A35:A44,A34)</f>
        <v xml:space="preserve">0 </v>
      </c>
      <c r="D3">
        <f>IFERROR(VLOOKUP(C3,In!A2:F5102,6,FALSE),0)</f>
        <v>0</v>
      </c>
    </row>
    <row r="4" spans="1:24">
      <c r="A4" s="484" t="s">
        <v>343</v>
      </c>
      <c r="B4" s="484">
        <v>1200</v>
      </c>
      <c r="C4" t="str">
        <f>C3&amp;" "&amp;INDEX(A48:A65,A47)</f>
        <v xml:space="preserve">0  </v>
      </c>
    </row>
    <row r="5" spans="1:24">
      <c r="A5" s="484" t="s">
        <v>344</v>
      </c>
      <c r="B5" s="484">
        <v>1200</v>
      </c>
    </row>
    <row r="6" spans="1:24">
      <c r="A6" s="484" t="s">
        <v>345</v>
      </c>
      <c r="B6" s="484">
        <v>1160</v>
      </c>
    </row>
    <row r="7" spans="1:24">
      <c r="A7" s="484" t="s">
        <v>346</v>
      </c>
      <c r="B7" s="484">
        <v>1200</v>
      </c>
    </row>
    <row r="8" spans="1:24">
      <c r="A8" s="484" t="s">
        <v>347</v>
      </c>
      <c r="B8" s="484">
        <v>1200</v>
      </c>
    </row>
    <row r="9" spans="1:24">
      <c r="A9" s="484" t="s">
        <v>342</v>
      </c>
      <c r="B9" s="484">
        <v>1210</v>
      </c>
    </row>
    <row r="10" spans="1:24">
      <c r="A10" s="484" t="s">
        <v>430</v>
      </c>
      <c r="B10" s="484">
        <v>1200</v>
      </c>
    </row>
    <row r="11" spans="1:24">
      <c r="A11" s="484" t="s">
        <v>431</v>
      </c>
      <c r="B11" s="484">
        <v>1200</v>
      </c>
    </row>
    <row r="12" spans="1:24">
      <c r="A12" s="484" t="s">
        <v>432</v>
      </c>
      <c r="B12" s="484">
        <v>1200</v>
      </c>
    </row>
    <row r="13" spans="1:24">
      <c r="A13" s="484" t="s">
        <v>2035</v>
      </c>
      <c r="B13" s="484">
        <v>1200</v>
      </c>
    </row>
    <row r="16" spans="1:24">
      <c r="C16" s="888" t="str">
        <f>A3</f>
        <v>IMPERATOR</v>
      </c>
      <c r="D16" s="888"/>
      <c r="E16" s="888" t="str">
        <f>A4</f>
        <v>GLADIATOR</v>
      </c>
      <c r="F16" s="888"/>
      <c r="G16" s="888" t="str">
        <f>A5</f>
        <v>CARDINAL</v>
      </c>
      <c r="H16" s="888"/>
      <c r="I16" s="888" t="str">
        <f>A6</f>
        <v>COLOSSEUM</v>
      </c>
      <c r="J16" s="888"/>
      <c r="K16" s="888" t="str">
        <f>A7</f>
        <v>CLASIC 15</v>
      </c>
      <c r="L16" s="888"/>
      <c r="M16" s="888" t="str">
        <f>A8</f>
        <v>CLASIC 20</v>
      </c>
      <c r="N16" s="888"/>
      <c r="O16" s="888" t="str">
        <f>A9</f>
        <v>PLUS</v>
      </c>
      <c r="P16" s="888"/>
      <c r="Q16" s="888" t="str">
        <f>A10</f>
        <v>DRIPSTOP+GLADIATOR</v>
      </c>
      <c r="R16" s="888"/>
      <c r="S16" s="888" t="str">
        <f>A11</f>
        <v>DRIPSTOP+CLASIC 15</v>
      </c>
      <c r="T16" s="888"/>
      <c r="U16" s="888" t="str">
        <f>A12</f>
        <v>DRIPSTOP+CLASIC 20</v>
      </c>
      <c r="V16" s="888"/>
      <c r="W16" s="888" t="str">
        <f>A13</f>
        <v>DRIPSTOP+CARDINAL</v>
      </c>
      <c r="X16" s="888"/>
    </row>
    <row r="17" spans="1:24">
      <c r="A17" t="str">
        <f>IF($A$1=2,C17,IF($A$1=3,E17,IF($A$1=4,G17,IF($A$1=5,I17,IF($A$1=6,K17,IF($A$1=7,M17,IF($A$1=8,O17,IF($A$1=9,Q17,IF($A$1=10,S17,IF($A$1=11,U17,IF($A$1=12,W17, " ")))))))))))</f>
        <v xml:space="preserve"> </v>
      </c>
      <c r="B17" s="77" t="str">
        <f>IF($A$1=2,D17,IF($A$1=3,F17,IF($A$1=4,H17,IF($A$1=5,J17,IF($A$1=6,L17,IF($A$1=7,N17,IF($A$1=8,P17,IF($A$1=9,R17,IF($A$1=10,T17,IF($A$1=11,V17,IF($A$1=12,X17, " ")))))))))))</f>
        <v xml:space="preserve"> </v>
      </c>
      <c r="C17" s="485" t="s">
        <v>350</v>
      </c>
      <c r="D17" s="77">
        <f t="shared" ref="D17:D30" si="0">350+D18</f>
        <v>5645</v>
      </c>
      <c r="E17" s="485" t="s">
        <v>350</v>
      </c>
      <c r="F17" s="485">
        <f t="shared" ref="F17:F31" si="1">F18+350</f>
        <v>5725</v>
      </c>
      <c r="G17" s="485" t="s">
        <v>350</v>
      </c>
      <c r="H17" s="485">
        <f t="shared" ref="H17:H31" si="2">H18+350</f>
        <v>5750</v>
      </c>
      <c r="I17" s="485" t="s">
        <v>350</v>
      </c>
      <c r="J17" s="485">
        <f t="shared" ref="J17:J31" si="3">J18+350</f>
        <v>5700</v>
      </c>
      <c r="K17" s="485" t="s">
        <v>350</v>
      </c>
      <c r="L17" s="485">
        <f t="shared" ref="L17:L31" si="4">L18+350</f>
        <v>5740</v>
      </c>
      <c r="M17" s="485" t="s">
        <v>350</v>
      </c>
      <c r="N17" s="485">
        <f t="shared" ref="N17:N31" si="5">N18+350</f>
        <v>5740</v>
      </c>
      <c r="O17" s="485" t="s">
        <v>36</v>
      </c>
      <c r="P17" s="485" t="s">
        <v>36</v>
      </c>
      <c r="Q17" s="485" t="s">
        <v>350</v>
      </c>
      <c r="R17" s="485">
        <f t="shared" ref="R17:R31" si="6">R18+350</f>
        <v>5725</v>
      </c>
      <c r="S17" s="485" t="s">
        <v>350</v>
      </c>
      <c r="T17" s="485">
        <f t="shared" ref="T17:T31" si="7">T18+350</f>
        <v>5740</v>
      </c>
      <c r="U17" s="485" t="s">
        <v>350</v>
      </c>
      <c r="V17" s="485">
        <f t="shared" ref="V17:V31" si="8">V18+350</f>
        <v>5740</v>
      </c>
      <c r="W17" s="485" t="s">
        <v>350</v>
      </c>
      <c r="X17" s="494">
        <f t="shared" ref="X17:X30" si="9">H17</f>
        <v>5750</v>
      </c>
    </row>
    <row r="18" spans="1:24">
      <c r="A18" s="77" t="str">
        <f t="shared" ref="A18:A32" si="10">IF($A$1=2,C18,IF($A$1=3,E18,IF($A$1=4,G18,IF($A$1=5,I18,IF($A$1=6,K18,IF($A$1=7,M18,IF($A$1=8,O18,IF($A$1=9,Q18,IF($A$1=10,S18,IF($A$1=11,U18,IF($A$1=12,W18, " ")))))))))))</f>
        <v xml:space="preserve"> </v>
      </c>
      <c r="B18" s="77" t="str">
        <f t="shared" ref="B18:B32" si="11">IF($A$1=2,D18,IF($A$1=3,F18,IF($A$1=4,H18,IF($A$1=5,J18,IF($A$1=6,L18,IF($A$1=7,N18,IF($A$1=8,P18,IF($A$1=9,R18,IF($A$1=10,T18,IF($A$1=11,V18,IF($A$1=12,X18, " ")))))))))))</f>
        <v xml:space="preserve"> </v>
      </c>
      <c r="C18" s="485" t="s">
        <v>351</v>
      </c>
      <c r="D18" s="77">
        <f t="shared" si="0"/>
        <v>5295</v>
      </c>
      <c r="E18" s="485" t="s">
        <v>351</v>
      </c>
      <c r="F18" s="485">
        <f t="shared" si="1"/>
        <v>5375</v>
      </c>
      <c r="G18" s="485" t="s">
        <v>351</v>
      </c>
      <c r="H18" s="485">
        <f t="shared" si="2"/>
        <v>5400</v>
      </c>
      <c r="I18" s="485" t="s">
        <v>351</v>
      </c>
      <c r="J18" s="485">
        <f t="shared" si="3"/>
        <v>5350</v>
      </c>
      <c r="K18" s="485" t="s">
        <v>351</v>
      </c>
      <c r="L18" s="485">
        <f t="shared" si="4"/>
        <v>5390</v>
      </c>
      <c r="M18" s="485" t="s">
        <v>351</v>
      </c>
      <c r="N18" s="485">
        <f t="shared" si="5"/>
        <v>5390</v>
      </c>
      <c r="O18" s="485" t="s">
        <v>36</v>
      </c>
      <c r="P18" s="485" t="s">
        <v>36</v>
      </c>
      <c r="Q18" s="485" t="s">
        <v>351</v>
      </c>
      <c r="R18" s="485">
        <f t="shared" si="6"/>
        <v>5375</v>
      </c>
      <c r="S18" s="485" t="s">
        <v>351</v>
      </c>
      <c r="T18" s="485">
        <f t="shared" si="7"/>
        <v>5390</v>
      </c>
      <c r="U18" s="485" t="s">
        <v>351</v>
      </c>
      <c r="V18" s="485">
        <f t="shared" si="8"/>
        <v>5390</v>
      </c>
      <c r="W18" s="485" t="s">
        <v>351</v>
      </c>
      <c r="X18" s="494">
        <f t="shared" si="9"/>
        <v>5400</v>
      </c>
    </row>
    <row r="19" spans="1:24">
      <c r="A19" s="77" t="str">
        <f t="shared" si="10"/>
        <v xml:space="preserve"> </v>
      </c>
      <c r="B19" s="77" t="str">
        <f t="shared" si="11"/>
        <v xml:space="preserve"> </v>
      </c>
      <c r="C19" s="485" t="s">
        <v>352</v>
      </c>
      <c r="D19" s="77">
        <f t="shared" si="0"/>
        <v>4945</v>
      </c>
      <c r="E19" s="485" t="s">
        <v>352</v>
      </c>
      <c r="F19" s="485">
        <f t="shared" si="1"/>
        <v>5025</v>
      </c>
      <c r="G19" s="485" t="s">
        <v>352</v>
      </c>
      <c r="H19" s="485">
        <f t="shared" si="2"/>
        <v>5050</v>
      </c>
      <c r="I19" s="485" t="s">
        <v>352</v>
      </c>
      <c r="J19" s="485">
        <f t="shared" si="3"/>
        <v>5000</v>
      </c>
      <c r="K19" s="485" t="s">
        <v>352</v>
      </c>
      <c r="L19" s="485">
        <f t="shared" si="4"/>
        <v>5040</v>
      </c>
      <c r="M19" s="485" t="s">
        <v>352</v>
      </c>
      <c r="N19" s="485">
        <f t="shared" si="5"/>
        <v>5040</v>
      </c>
      <c r="O19" s="485" t="s">
        <v>36</v>
      </c>
      <c r="P19" s="485" t="s">
        <v>36</v>
      </c>
      <c r="Q19" s="485" t="s">
        <v>352</v>
      </c>
      <c r="R19" s="485">
        <f t="shared" si="6"/>
        <v>5025</v>
      </c>
      <c r="S19" s="485" t="s">
        <v>352</v>
      </c>
      <c r="T19" s="485">
        <f t="shared" si="7"/>
        <v>5040</v>
      </c>
      <c r="U19" s="485" t="s">
        <v>352</v>
      </c>
      <c r="V19" s="485">
        <f t="shared" si="8"/>
        <v>5040</v>
      </c>
      <c r="W19" s="485" t="s">
        <v>352</v>
      </c>
      <c r="X19" s="494">
        <f t="shared" si="9"/>
        <v>5050</v>
      </c>
    </row>
    <row r="20" spans="1:24">
      <c r="A20" s="77" t="str">
        <f t="shared" si="10"/>
        <v xml:space="preserve"> </v>
      </c>
      <c r="B20" s="77" t="str">
        <f t="shared" si="11"/>
        <v xml:space="preserve"> </v>
      </c>
      <c r="C20" s="485" t="s">
        <v>353</v>
      </c>
      <c r="D20" s="77">
        <f t="shared" si="0"/>
        <v>4595</v>
      </c>
      <c r="E20" s="485" t="s">
        <v>353</v>
      </c>
      <c r="F20" s="485">
        <f t="shared" si="1"/>
        <v>4675</v>
      </c>
      <c r="G20" s="485" t="s">
        <v>353</v>
      </c>
      <c r="H20" s="485">
        <f t="shared" si="2"/>
        <v>4700</v>
      </c>
      <c r="I20" s="485" t="s">
        <v>353</v>
      </c>
      <c r="J20" s="485">
        <f t="shared" si="3"/>
        <v>4650</v>
      </c>
      <c r="K20" s="485" t="s">
        <v>353</v>
      </c>
      <c r="L20" s="485">
        <f t="shared" si="4"/>
        <v>4690</v>
      </c>
      <c r="M20" s="485" t="s">
        <v>353</v>
      </c>
      <c r="N20" s="485">
        <f t="shared" si="5"/>
        <v>4690</v>
      </c>
      <c r="O20" s="485" t="s">
        <v>36</v>
      </c>
      <c r="P20" s="485" t="s">
        <v>36</v>
      </c>
      <c r="Q20" s="485" t="s">
        <v>353</v>
      </c>
      <c r="R20" s="485">
        <f t="shared" si="6"/>
        <v>4675</v>
      </c>
      <c r="S20" s="485" t="s">
        <v>353</v>
      </c>
      <c r="T20" s="485">
        <f t="shared" si="7"/>
        <v>4690</v>
      </c>
      <c r="U20" s="485" t="s">
        <v>353</v>
      </c>
      <c r="V20" s="485">
        <f t="shared" si="8"/>
        <v>4690</v>
      </c>
      <c r="W20" s="485" t="s">
        <v>353</v>
      </c>
      <c r="X20" s="494">
        <f t="shared" si="9"/>
        <v>4700</v>
      </c>
    </row>
    <row r="21" spans="1:24">
      <c r="A21" s="77" t="str">
        <f t="shared" si="10"/>
        <v xml:space="preserve"> </v>
      </c>
      <c r="B21" s="77" t="str">
        <f t="shared" si="11"/>
        <v xml:space="preserve"> </v>
      </c>
      <c r="C21" s="485" t="s">
        <v>354</v>
      </c>
      <c r="D21" s="77">
        <f t="shared" si="0"/>
        <v>4245</v>
      </c>
      <c r="E21" s="485" t="s">
        <v>354</v>
      </c>
      <c r="F21" s="485">
        <f t="shared" si="1"/>
        <v>4325</v>
      </c>
      <c r="G21" s="485" t="s">
        <v>354</v>
      </c>
      <c r="H21" s="485">
        <f t="shared" si="2"/>
        <v>4350</v>
      </c>
      <c r="I21" s="485" t="s">
        <v>354</v>
      </c>
      <c r="J21" s="485">
        <f t="shared" si="3"/>
        <v>4300</v>
      </c>
      <c r="K21" s="485" t="s">
        <v>354</v>
      </c>
      <c r="L21" s="485">
        <f t="shared" si="4"/>
        <v>4340</v>
      </c>
      <c r="M21" s="485" t="s">
        <v>354</v>
      </c>
      <c r="N21" s="485">
        <f t="shared" si="5"/>
        <v>4340</v>
      </c>
      <c r="O21" s="485" t="s">
        <v>36</v>
      </c>
      <c r="P21" s="485" t="s">
        <v>36</v>
      </c>
      <c r="Q21" s="485" t="s">
        <v>354</v>
      </c>
      <c r="R21" s="485">
        <f t="shared" si="6"/>
        <v>4325</v>
      </c>
      <c r="S21" s="485" t="s">
        <v>354</v>
      </c>
      <c r="T21" s="485">
        <f t="shared" si="7"/>
        <v>4340</v>
      </c>
      <c r="U21" s="485" t="s">
        <v>354</v>
      </c>
      <c r="V21" s="485">
        <f t="shared" si="8"/>
        <v>4340</v>
      </c>
      <c r="W21" s="485" t="s">
        <v>354</v>
      </c>
      <c r="X21" s="494">
        <f t="shared" si="9"/>
        <v>4350</v>
      </c>
    </row>
    <row r="22" spans="1:24">
      <c r="A22" s="77" t="str">
        <f t="shared" si="10"/>
        <v xml:space="preserve"> </v>
      </c>
      <c r="B22" s="77" t="str">
        <f t="shared" si="11"/>
        <v xml:space="preserve"> </v>
      </c>
      <c r="C22" s="485" t="s">
        <v>355</v>
      </c>
      <c r="D22" s="77">
        <f t="shared" si="0"/>
        <v>3895</v>
      </c>
      <c r="E22" s="485" t="s">
        <v>355</v>
      </c>
      <c r="F22" s="485">
        <f t="shared" si="1"/>
        <v>3975</v>
      </c>
      <c r="G22" s="485" t="s">
        <v>355</v>
      </c>
      <c r="H22" s="485">
        <f t="shared" si="2"/>
        <v>4000</v>
      </c>
      <c r="I22" s="485" t="s">
        <v>355</v>
      </c>
      <c r="J22" s="485">
        <f t="shared" si="3"/>
        <v>3950</v>
      </c>
      <c r="K22" s="485" t="s">
        <v>355</v>
      </c>
      <c r="L22" s="485">
        <f t="shared" si="4"/>
        <v>3990</v>
      </c>
      <c r="M22" s="485" t="s">
        <v>355</v>
      </c>
      <c r="N22" s="485">
        <f t="shared" si="5"/>
        <v>3990</v>
      </c>
      <c r="O22" s="485" t="s">
        <v>355</v>
      </c>
      <c r="P22" s="485">
        <f t="shared" ref="P22:P31" si="12">P23+350</f>
        <v>3930</v>
      </c>
      <c r="Q22" s="485" t="s">
        <v>355</v>
      </c>
      <c r="R22" s="485">
        <f t="shared" si="6"/>
        <v>3975</v>
      </c>
      <c r="S22" s="485" t="s">
        <v>355</v>
      </c>
      <c r="T22" s="485">
        <f t="shared" si="7"/>
        <v>3990</v>
      </c>
      <c r="U22" s="485" t="s">
        <v>355</v>
      </c>
      <c r="V22" s="485">
        <f t="shared" si="8"/>
        <v>3990</v>
      </c>
      <c r="W22" s="485" t="s">
        <v>355</v>
      </c>
      <c r="X22" s="494">
        <f t="shared" si="9"/>
        <v>4000</v>
      </c>
    </row>
    <row r="23" spans="1:24">
      <c r="A23" s="77" t="str">
        <f t="shared" si="10"/>
        <v xml:space="preserve"> </v>
      </c>
      <c r="B23" s="77" t="str">
        <f t="shared" si="11"/>
        <v xml:space="preserve"> </v>
      </c>
      <c r="C23" s="485" t="s">
        <v>356</v>
      </c>
      <c r="D23" s="77">
        <f t="shared" si="0"/>
        <v>3545</v>
      </c>
      <c r="E23" s="485" t="s">
        <v>356</v>
      </c>
      <c r="F23" s="485">
        <f t="shared" si="1"/>
        <v>3625</v>
      </c>
      <c r="G23" s="485" t="s">
        <v>356</v>
      </c>
      <c r="H23" s="485">
        <f t="shared" si="2"/>
        <v>3650</v>
      </c>
      <c r="I23" s="485" t="s">
        <v>356</v>
      </c>
      <c r="J23" s="485">
        <f t="shared" si="3"/>
        <v>3600</v>
      </c>
      <c r="K23" s="485" t="s">
        <v>356</v>
      </c>
      <c r="L23" s="485">
        <f t="shared" si="4"/>
        <v>3640</v>
      </c>
      <c r="M23" s="485" t="s">
        <v>356</v>
      </c>
      <c r="N23" s="485">
        <f t="shared" si="5"/>
        <v>3640</v>
      </c>
      <c r="O23" s="485" t="s">
        <v>356</v>
      </c>
      <c r="P23" s="485">
        <f t="shared" si="12"/>
        <v>3580</v>
      </c>
      <c r="Q23" s="485" t="s">
        <v>356</v>
      </c>
      <c r="R23" s="485">
        <f t="shared" si="6"/>
        <v>3625</v>
      </c>
      <c r="S23" s="485" t="s">
        <v>356</v>
      </c>
      <c r="T23" s="485">
        <f t="shared" si="7"/>
        <v>3640</v>
      </c>
      <c r="U23" s="485" t="s">
        <v>356</v>
      </c>
      <c r="V23" s="485">
        <f t="shared" si="8"/>
        <v>3640</v>
      </c>
      <c r="W23" s="485" t="s">
        <v>356</v>
      </c>
      <c r="X23" s="494">
        <f t="shared" si="9"/>
        <v>3650</v>
      </c>
    </row>
    <row r="24" spans="1:24">
      <c r="A24" s="77" t="str">
        <f t="shared" si="10"/>
        <v xml:space="preserve"> </v>
      </c>
      <c r="B24" s="77" t="str">
        <f t="shared" si="11"/>
        <v xml:space="preserve"> </v>
      </c>
      <c r="C24" s="485" t="s">
        <v>357</v>
      </c>
      <c r="D24" s="77">
        <f t="shared" si="0"/>
        <v>3195</v>
      </c>
      <c r="E24" s="485" t="s">
        <v>357</v>
      </c>
      <c r="F24" s="485">
        <f t="shared" si="1"/>
        <v>3275</v>
      </c>
      <c r="G24" s="485" t="s">
        <v>357</v>
      </c>
      <c r="H24" s="485">
        <f t="shared" si="2"/>
        <v>3300</v>
      </c>
      <c r="I24" s="485" t="s">
        <v>357</v>
      </c>
      <c r="J24" s="485">
        <f t="shared" si="3"/>
        <v>3250</v>
      </c>
      <c r="K24" s="485" t="s">
        <v>357</v>
      </c>
      <c r="L24" s="485">
        <f t="shared" si="4"/>
        <v>3290</v>
      </c>
      <c r="M24" s="485" t="s">
        <v>357</v>
      </c>
      <c r="N24" s="485">
        <f t="shared" si="5"/>
        <v>3290</v>
      </c>
      <c r="O24" s="485" t="s">
        <v>357</v>
      </c>
      <c r="P24" s="485">
        <f t="shared" si="12"/>
        <v>3230</v>
      </c>
      <c r="Q24" s="485" t="s">
        <v>357</v>
      </c>
      <c r="R24" s="485">
        <f t="shared" si="6"/>
        <v>3275</v>
      </c>
      <c r="S24" s="485" t="s">
        <v>357</v>
      </c>
      <c r="T24" s="485">
        <f t="shared" si="7"/>
        <v>3290</v>
      </c>
      <c r="U24" s="485" t="s">
        <v>357</v>
      </c>
      <c r="V24" s="485">
        <f t="shared" si="8"/>
        <v>3290</v>
      </c>
      <c r="W24" s="485" t="s">
        <v>357</v>
      </c>
      <c r="X24" s="494">
        <f t="shared" si="9"/>
        <v>3300</v>
      </c>
    </row>
    <row r="25" spans="1:24">
      <c r="A25" s="77" t="str">
        <f t="shared" si="10"/>
        <v xml:space="preserve"> </v>
      </c>
      <c r="B25" s="77" t="str">
        <f t="shared" si="11"/>
        <v xml:space="preserve"> </v>
      </c>
      <c r="C25" s="485" t="s">
        <v>358</v>
      </c>
      <c r="D25" s="77">
        <f t="shared" si="0"/>
        <v>2845</v>
      </c>
      <c r="E25" s="485" t="s">
        <v>358</v>
      </c>
      <c r="F25" s="485">
        <f t="shared" si="1"/>
        <v>2925</v>
      </c>
      <c r="G25" s="485" t="s">
        <v>358</v>
      </c>
      <c r="H25" s="485">
        <f t="shared" si="2"/>
        <v>2950</v>
      </c>
      <c r="I25" s="485" t="s">
        <v>358</v>
      </c>
      <c r="J25" s="485">
        <f t="shared" si="3"/>
        <v>2900</v>
      </c>
      <c r="K25" s="485" t="s">
        <v>358</v>
      </c>
      <c r="L25" s="485">
        <f t="shared" si="4"/>
        <v>2940</v>
      </c>
      <c r="M25" s="485" t="s">
        <v>358</v>
      </c>
      <c r="N25" s="485">
        <f t="shared" si="5"/>
        <v>2940</v>
      </c>
      <c r="O25" s="485" t="s">
        <v>358</v>
      </c>
      <c r="P25" s="485">
        <f t="shared" si="12"/>
        <v>2880</v>
      </c>
      <c r="Q25" s="485" t="s">
        <v>358</v>
      </c>
      <c r="R25" s="485">
        <f t="shared" si="6"/>
        <v>2925</v>
      </c>
      <c r="S25" s="485" t="s">
        <v>358</v>
      </c>
      <c r="T25" s="485">
        <f t="shared" si="7"/>
        <v>2940</v>
      </c>
      <c r="U25" s="485" t="s">
        <v>358</v>
      </c>
      <c r="V25" s="485">
        <f t="shared" si="8"/>
        <v>2940</v>
      </c>
      <c r="W25" s="485" t="s">
        <v>358</v>
      </c>
      <c r="X25" s="494">
        <f t="shared" si="9"/>
        <v>2950</v>
      </c>
    </row>
    <row r="26" spans="1:24">
      <c r="A26" s="77" t="str">
        <f t="shared" si="10"/>
        <v xml:space="preserve"> </v>
      </c>
      <c r="B26" s="77" t="str">
        <f t="shared" si="11"/>
        <v xml:space="preserve"> </v>
      </c>
      <c r="C26" s="485" t="s">
        <v>359</v>
      </c>
      <c r="D26" s="77">
        <f t="shared" si="0"/>
        <v>2495</v>
      </c>
      <c r="E26" s="485" t="s">
        <v>359</v>
      </c>
      <c r="F26" s="485">
        <f t="shared" si="1"/>
        <v>2575</v>
      </c>
      <c r="G26" s="485" t="s">
        <v>359</v>
      </c>
      <c r="H26" s="485">
        <f t="shared" si="2"/>
        <v>2600</v>
      </c>
      <c r="I26" s="485" t="s">
        <v>359</v>
      </c>
      <c r="J26" s="485">
        <f t="shared" si="3"/>
        <v>2550</v>
      </c>
      <c r="K26" s="485" t="s">
        <v>359</v>
      </c>
      <c r="L26" s="485">
        <f t="shared" si="4"/>
        <v>2590</v>
      </c>
      <c r="M26" s="485" t="s">
        <v>359</v>
      </c>
      <c r="N26" s="485">
        <f t="shared" si="5"/>
        <v>2590</v>
      </c>
      <c r="O26" s="485" t="s">
        <v>359</v>
      </c>
      <c r="P26" s="485">
        <f t="shared" si="12"/>
        <v>2530</v>
      </c>
      <c r="Q26" s="485" t="s">
        <v>359</v>
      </c>
      <c r="R26" s="485">
        <f t="shared" si="6"/>
        <v>2575</v>
      </c>
      <c r="S26" s="485" t="s">
        <v>359</v>
      </c>
      <c r="T26" s="485">
        <f t="shared" si="7"/>
        <v>2590</v>
      </c>
      <c r="U26" s="485" t="s">
        <v>359</v>
      </c>
      <c r="V26" s="485">
        <f t="shared" si="8"/>
        <v>2590</v>
      </c>
      <c r="W26" s="485" t="s">
        <v>359</v>
      </c>
      <c r="X26" s="494">
        <f t="shared" si="9"/>
        <v>2600</v>
      </c>
    </row>
    <row r="27" spans="1:24">
      <c r="A27" s="77" t="str">
        <f t="shared" si="10"/>
        <v xml:space="preserve"> </v>
      </c>
      <c r="B27" s="77" t="str">
        <f t="shared" si="11"/>
        <v xml:space="preserve"> </v>
      </c>
      <c r="C27" s="485" t="s">
        <v>360</v>
      </c>
      <c r="D27" s="77">
        <f t="shared" si="0"/>
        <v>2145</v>
      </c>
      <c r="E27" s="485" t="s">
        <v>360</v>
      </c>
      <c r="F27" s="485">
        <f t="shared" si="1"/>
        <v>2225</v>
      </c>
      <c r="G27" s="485" t="s">
        <v>360</v>
      </c>
      <c r="H27" s="485">
        <f t="shared" si="2"/>
        <v>2250</v>
      </c>
      <c r="I27" s="485" t="s">
        <v>360</v>
      </c>
      <c r="J27" s="485">
        <f t="shared" si="3"/>
        <v>2200</v>
      </c>
      <c r="K27" s="485" t="s">
        <v>360</v>
      </c>
      <c r="L27" s="485">
        <f t="shared" si="4"/>
        <v>2240</v>
      </c>
      <c r="M27" s="485" t="s">
        <v>360</v>
      </c>
      <c r="N27" s="485">
        <f t="shared" si="5"/>
        <v>2240</v>
      </c>
      <c r="O27" s="485" t="s">
        <v>360</v>
      </c>
      <c r="P27" s="485">
        <f t="shared" si="12"/>
        <v>2180</v>
      </c>
      <c r="Q27" s="485" t="s">
        <v>360</v>
      </c>
      <c r="R27" s="485">
        <f t="shared" si="6"/>
        <v>2225</v>
      </c>
      <c r="S27" s="485" t="s">
        <v>360</v>
      </c>
      <c r="T27" s="485">
        <f t="shared" si="7"/>
        <v>2240</v>
      </c>
      <c r="U27" s="485" t="s">
        <v>360</v>
      </c>
      <c r="V27" s="485">
        <f t="shared" si="8"/>
        <v>2240</v>
      </c>
      <c r="W27" s="485" t="s">
        <v>360</v>
      </c>
      <c r="X27" s="494">
        <f t="shared" si="9"/>
        <v>2250</v>
      </c>
    </row>
    <row r="28" spans="1:24">
      <c r="A28" s="77" t="str">
        <f t="shared" si="10"/>
        <v xml:space="preserve"> </v>
      </c>
      <c r="B28" s="77" t="str">
        <f t="shared" si="11"/>
        <v xml:space="preserve"> </v>
      </c>
      <c r="C28" s="485" t="s">
        <v>361</v>
      </c>
      <c r="D28" s="77">
        <f t="shared" si="0"/>
        <v>1795</v>
      </c>
      <c r="E28" s="485" t="s">
        <v>361</v>
      </c>
      <c r="F28" s="485">
        <f t="shared" si="1"/>
        <v>1875</v>
      </c>
      <c r="G28" s="485" t="s">
        <v>361</v>
      </c>
      <c r="H28" s="485">
        <f t="shared" si="2"/>
        <v>1900</v>
      </c>
      <c r="I28" s="485" t="s">
        <v>361</v>
      </c>
      <c r="J28" s="485">
        <f t="shared" si="3"/>
        <v>1850</v>
      </c>
      <c r="K28" s="485" t="s">
        <v>361</v>
      </c>
      <c r="L28" s="485">
        <f t="shared" si="4"/>
        <v>1890</v>
      </c>
      <c r="M28" s="485" t="s">
        <v>361</v>
      </c>
      <c r="N28" s="485">
        <f t="shared" si="5"/>
        <v>1890</v>
      </c>
      <c r="O28" s="485" t="s">
        <v>361</v>
      </c>
      <c r="P28" s="485">
        <f t="shared" si="12"/>
        <v>1830</v>
      </c>
      <c r="Q28" s="485" t="s">
        <v>361</v>
      </c>
      <c r="R28" s="485">
        <f t="shared" si="6"/>
        <v>1875</v>
      </c>
      <c r="S28" s="485" t="s">
        <v>361</v>
      </c>
      <c r="T28" s="485">
        <f t="shared" si="7"/>
        <v>1890</v>
      </c>
      <c r="U28" s="485" t="s">
        <v>361</v>
      </c>
      <c r="V28" s="485">
        <f t="shared" si="8"/>
        <v>1890</v>
      </c>
      <c r="W28" s="485" t="s">
        <v>361</v>
      </c>
      <c r="X28" s="494">
        <f t="shared" si="9"/>
        <v>1900</v>
      </c>
    </row>
    <row r="29" spans="1:24">
      <c r="A29" s="77" t="str">
        <f t="shared" si="10"/>
        <v xml:space="preserve"> </v>
      </c>
      <c r="B29" s="77" t="str">
        <f t="shared" si="11"/>
        <v xml:space="preserve"> </v>
      </c>
      <c r="C29" s="485" t="s">
        <v>362</v>
      </c>
      <c r="D29" s="77">
        <f t="shared" si="0"/>
        <v>1445</v>
      </c>
      <c r="E29" s="485" t="s">
        <v>362</v>
      </c>
      <c r="F29" s="485">
        <f t="shared" si="1"/>
        <v>1525</v>
      </c>
      <c r="G29" s="485" t="s">
        <v>362</v>
      </c>
      <c r="H29" s="485">
        <f t="shared" si="2"/>
        <v>1550</v>
      </c>
      <c r="I29" s="485" t="s">
        <v>362</v>
      </c>
      <c r="J29" s="485">
        <f t="shared" si="3"/>
        <v>1500</v>
      </c>
      <c r="K29" s="485" t="s">
        <v>362</v>
      </c>
      <c r="L29" s="485">
        <f t="shared" si="4"/>
        <v>1540</v>
      </c>
      <c r="M29" s="485" t="s">
        <v>362</v>
      </c>
      <c r="N29" s="485">
        <f t="shared" si="5"/>
        <v>1540</v>
      </c>
      <c r="O29" s="485" t="s">
        <v>362</v>
      </c>
      <c r="P29" s="485">
        <f t="shared" si="12"/>
        <v>1480</v>
      </c>
      <c r="Q29" s="485" t="s">
        <v>362</v>
      </c>
      <c r="R29" s="485">
        <f t="shared" si="6"/>
        <v>1525</v>
      </c>
      <c r="S29" s="485" t="s">
        <v>362</v>
      </c>
      <c r="T29" s="485">
        <f t="shared" si="7"/>
        <v>1540</v>
      </c>
      <c r="U29" s="485" t="s">
        <v>362</v>
      </c>
      <c r="V29" s="485">
        <f t="shared" si="8"/>
        <v>1540</v>
      </c>
      <c r="W29" s="485" t="s">
        <v>362</v>
      </c>
      <c r="X29" s="494">
        <f t="shared" si="9"/>
        <v>1550</v>
      </c>
    </row>
    <row r="30" spans="1:24">
      <c r="A30" s="77" t="str">
        <f t="shared" si="10"/>
        <v xml:space="preserve"> </v>
      </c>
      <c r="B30" s="77" t="str">
        <f t="shared" si="11"/>
        <v xml:space="preserve"> </v>
      </c>
      <c r="C30" s="485" t="s">
        <v>363</v>
      </c>
      <c r="D30" s="77">
        <f t="shared" si="0"/>
        <v>1095</v>
      </c>
      <c r="E30" s="485" t="s">
        <v>363</v>
      </c>
      <c r="F30" s="485">
        <f t="shared" si="1"/>
        <v>1175</v>
      </c>
      <c r="G30" s="485" t="s">
        <v>363</v>
      </c>
      <c r="H30" s="485">
        <f t="shared" si="2"/>
        <v>1200</v>
      </c>
      <c r="I30" s="485" t="s">
        <v>363</v>
      </c>
      <c r="J30" s="485">
        <f t="shared" si="3"/>
        <v>1150</v>
      </c>
      <c r="K30" s="485" t="s">
        <v>363</v>
      </c>
      <c r="L30" s="485">
        <f t="shared" si="4"/>
        <v>1190</v>
      </c>
      <c r="M30" s="485" t="s">
        <v>363</v>
      </c>
      <c r="N30" s="485">
        <f t="shared" si="5"/>
        <v>1190</v>
      </c>
      <c r="O30" s="485" t="s">
        <v>363</v>
      </c>
      <c r="P30" s="485">
        <f t="shared" si="12"/>
        <v>1130</v>
      </c>
      <c r="Q30" s="485" t="s">
        <v>363</v>
      </c>
      <c r="R30" s="485">
        <f t="shared" si="6"/>
        <v>1175</v>
      </c>
      <c r="S30" s="485" t="s">
        <v>363</v>
      </c>
      <c r="T30" s="485">
        <f t="shared" si="7"/>
        <v>1190</v>
      </c>
      <c r="U30" s="485" t="s">
        <v>363</v>
      </c>
      <c r="V30" s="485">
        <f t="shared" si="8"/>
        <v>1190</v>
      </c>
      <c r="W30" s="485" t="s">
        <v>363</v>
      </c>
      <c r="X30" s="494">
        <f t="shared" si="9"/>
        <v>1200</v>
      </c>
    </row>
    <row r="31" spans="1:24">
      <c r="A31" s="77" t="str">
        <f t="shared" si="10"/>
        <v xml:space="preserve"> </v>
      </c>
      <c r="B31" s="77" t="str">
        <f t="shared" si="11"/>
        <v xml:space="preserve"> </v>
      </c>
      <c r="C31" s="485" t="s">
        <v>364</v>
      </c>
      <c r="D31">
        <f>350+D32</f>
        <v>745</v>
      </c>
      <c r="E31" s="485" t="s">
        <v>364</v>
      </c>
      <c r="F31" s="485">
        <f t="shared" si="1"/>
        <v>825</v>
      </c>
      <c r="G31" s="485" t="s">
        <v>364</v>
      </c>
      <c r="H31" s="485">
        <f t="shared" si="2"/>
        <v>850</v>
      </c>
      <c r="I31" s="485" t="s">
        <v>364</v>
      </c>
      <c r="J31" s="485">
        <f t="shared" si="3"/>
        <v>800</v>
      </c>
      <c r="K31" s="485" t="s">
        <v>364</v>
      </c>
      <c r="L31" s="485">
        <f t="shared" si="4"/>
        <v>840</v>
      </c>
      <c r="M31" s="485" t="s">
        <v>364</v>
      </c>
      <c r="N31" s="485">
        <f t="shared" si="5"/>
        <v>840</v>
      </c>
      <c r="O31" s="485" t="s">
        <v>364</v>
      </c>
      <c r="P31" s="485">
        <f t="shared" si="12"/>
        <v>780</v>
      </c>
      <c r="Q31" s="485" t="s">
        <v>364</v>
      </c>
      <c r="R31" s="485">
        <f t="shared" si="6"/>
        <v>825</v>
      </c>
      <c r="S31" s="485" t="s">
        <v>364</v>
      </c>
      <c r="T31" s="485">
        <f t="shared" si="7"/>
        <v>840</v>
      </c>
      <c r="U31" s="485" t="s">
        <v>364</v>
      </c>
      <c r="V31" s="485">
        <f t="shared" si="8"/>
        <v>840</v>
      </c>
      <c r="W31" s="485" t="s">
        <v>364</v>
      </c>
      <c r="X31" s="485">
        <f>H31</f>
        <v>850</v>
      </c>
    </row>
    <row r="32" spans="1:24">
      <c r="A32" s="77" t="str">
        <f t="shared" si="10"/>
        <v xml:space="preserve"> </v>
      </c>
      <c r="B32" s="77" t="str">
        <f t="shared" si="11"/>
        <v xml:space="preserve"> </v>
      </c>
      <c r="C32" s="485" t="s">
        <v>365</v>
      </c>
      <c r="D32">
        <v>395</v>
      </c>
      <c r="E32" s="485" t="s">
        <v>365</v>
      </c>
      <c r="F32" s="485">
        <v>475</v>
      </c>
      <c r="G32" s="485" t="s">
        <v>365</v>
      </c>
      <c r="H32" s="485">
        <v>500</v>
      </c>
      <c r="I32" s="485" t="s">
        <v>365</v>
      </c>
      <c r="J32" s="485">
        <v>450</v>
      </c>
      <c r="K32" s="485" t="s">
        <v>365</v>
      </c>
      <c r="L32" s="485">
        <v>490</v>
      </c>
      <c r="M32" s="485" t="s">
        <v>365</v>
      </c>
      <c r="N32" s="485">
        <v>490</v>
      </c>
      <c r="O32" s="485" t="s">
        <v>365</v>
      </c>
      <c r="P32" s="485">
        <v>430</v>
      </c>
      <c r="Q32" s="485" t="s">
        <v>365</v>
      </c>
      <c r="R32" s="485">
        <v>475</v>
      </c>
      <c r="S32" s="485" t="s">
        <v>365</v>
      </c>
      <c r="T32" s="485">
        <v>490</v>
      </c>
      <c r="U32" s="485" t="s">
        <v>365</v>
      </c>
      <c r="V32" s="485">
        <v>490</v>
      </c>
      <c r="W32" s="485" t="s">
        <v>365</v>
      </c>
      <c r="X32" s="485">
        <v>500</v>
      </c>
    </row>
    <row r="34" spans="1:24">
      <c r="A34">
        <v>1</v>
      </c>
      <c r="C34" s="888" t="s">
        <v>2244</v>
      </c>
      <c r="D34" s="888"/>
      <c r="E34" s="888" t="s">
        <v>343</v>
      </c>
      <c r="F34" s="888"/>
      <c r="G34" s="888" t="s">
        <v>344</v>
      </c>
      <c r="H34" s="888"/>
      <c r="I34" s="888" t="s">
        <v>345</v>
      </c>
      <c r="J34" s="888"/>
      <c r="K34" s="888" t="s">
        <v>346</v>
      </c>
      <c r="L34" s="888"/>
      <c r="M34" s="888" t="s">
        <v>347</v>
      </c>
      <c r="N34" s="888"/>
      <c r="O34" s="888" t="s">
        <v>342</v>
      </c>
      <c r="P34" s="888"/>
      <c r="Q34" s="888" t="s">
        <v>430</v>
      </c>
      <c r="R34" s="888"/>
      <c r="S34" s="888" t="s">
        <v>431</v>
      </c>
      <c r="T34" s="888"/>
      <c r="U34" s="888" t="s">
        <v>432</v>
      </c>
      <c r="V34" s="888"/>
      <c r="W34" s="888" t="s">
        <v>2035</v>
      </c>
      <c r="X34" s="888"/>
    </row>
    <row r="36" spans="1:24">
      <c r="A36" s="77" t="str">
        <f>IF($A$1=2,C36,IF($A$1=3,E36,IF($A$1=4,G36,IF($A$1=5,I36,IF($A$1=6,K36,IF($A$1=7,M36,IF($A$1=8,O36,IF($A$1=9,Q36,IF($A$1=10,S36,IF($A$1=11,U36,IF($A$1=12,W36, " ")))))))))))</f>
        <v xml:space="preserve"> </v>
      </c>
      <c r="C36" t="s">
        <v>36</v>
      </c>
      <c r="E36" t="s">
        <v>36</v>
      </c>
      <c r="G36" t="s">
        <v>36</v>
      </c>
      <c r="I36" t="s">
        <v>36</v>
      </c>
      <c r="K36" t="s">
        <v>366</v>
      </c>
      <c r="M36" t="s">
        <v>36</v>
      </c>
      <c r="O36" t="s">
        <v>36</v>
      </c>
      <c r="Q36" t="s">
        <v>36</v>
      </c>
      <c r="S36" t="s">
        <v>36</v>
      </c>
      <c r="U36" t="s">
        <v>36</v>
      </c>
      <c r="W36" t="s">
        <v>11</v>
      </c>
    </row>
    <row r="37" spans="1:24">
      <c r="A37" s="77" t="str">
        <f t="shared" ref="A37:A44" si="13">IF($A$1=2,C37,IF($A$1=3,E37,IF($A$1=4,G37,IF($A$1=5,I37,IF($A$1=6,K37,IF($A$1=7,M37,IF($A$1=8,O37,IF($A$1=9,Q37,IF($A$1=10,S37,IF($A$1=11,U37,IF($A$1=12,W37, " ")))))))))))</f>
        <v xml:space="preserve"> </v>
      </c>
      <c r="C37" t="s">
        <v>36</v>
      </c>
      <c r="E37" t="s">
        <v>36</v>
      </c>
      <c r="G37" t="s">
        <v>36</v>
      </c>
      <c r="I37" t="s">
        <v>36</v>
      </c>
      <c r="K37" t="s">
        <v>367</v>
      </c>
      <c r="M37" t="s">
        <v>36</v>
      </c>
      <c r="O37" t="s">
        <v>36</v>
      </c>
      <c r="Q37" t="s">
        <v>36</v>
      </c>
      <c r="S37" t="s">
        <v>36</v>
      </c>
      <c r="U37" t="s">
        <v>36</v>
      </c>
      <c r="W37" t="s">
        <v>36</v>
      </c>
    </row>
    <row r="38" spans="1:24">
      <c r="A38" s="77" t="str">
        <f t="shared" si="13"/>
        <v xml:space="preserve"> </v>
      </c>
      <c r="C38" t="s">
        <v>36</v>
      </c>
      <c r="E38" t="s">
        <v>368</v>
      </c>
      <c r="G38" t="s">
        <v>36</v>
      </c>
      <c r="I38" t="s">
        <v>36</v>
      </c>
      <c r="K38" t="s">
        <v>368</v>
      </c>
      <c r="M38" t="s">
        <v>368</v>
      </c>
      <c r="O38" t="s">
        <v>36</v>
      </c>
      <c r="Q38" t="s">
        <v>36</v>
      </c>
      <c r="S38" t="s">
        <v>36</v>
      </c>
      <c r="U38" t="s">
        <v>36</v>
      </c>
      <c r="W38" t="s">
        <v>36</v>
      </c>
    </row>
    <row r="39" spans="1:24">
      <c r="A39" s="77" t="str">
        <f t="shared" si="13"/>
        <v xml:space="preserve"> </v>
      </c>
      <c r="C39" t="s">
        <v>369</v>
      </c>
      <c r="E39" t="s">
        <v>369</v>
      </c>
      <c r="G39" t="s">
        <v>369</v>
      </c>
      <c r="I39" t="s">
        <v>369</v>
      </c>
      <c r="K39" t="s">
        <v>369</v>
      </c>
      <c r="M39" t="s">
        <v>369</v>
      </c>
      <c r="O39" t="s">
        <v>36</v>
      </c>
      <c r="Q39" t="s">
        <v>369</v>
      </c>
      <c r="S39" t="s">
        <v>369</v>
      </c>
      <c r="U39" t="s">
        <v>369</v>
      </c>
      <c r="W39" t="s">
        <v>369</v>
      </c>
    </row>
    <row r="40" spans="1:24">
      <c r="A40" s="77" t="str">
        <f t="shared" si="13"/>
        <v xml:space="preserve"> </v>
      </c>
      <c r="C40" t="s">
        <v>36</v>
      </c>
      <c r="E40" t="s">
        <v>36</v>
      </c>
      <c r="G40" t="s">
        <v>36</v>
      </c>
      <c r="I40" t="s">
        <v>36</v>
      </c>
      <c r="K40" t="s">
        <v>370</v>
      </c>
      <c r="M40" t="s">
        <v>36</v>
      </c>
      <c r="O40" t="s">
        <v>36</v>
      </c>
      <c r="Q40" t="s">
        <v>36</v>
      </c>
      <c r="S40" t="s">
        <v>36</v>
      </c>
      <c r="U40" t="s">
        <v>36</v>
      </c>
      <c r="W40" t="s">
        <v>36</v>
      </c>
    </row>
    <row r="41" spans="1:24">
      <c r="A41" s="77" t="str">
        <f t="shared" si="13"/>
        <v xml:space="preserve"> </v>
      </c>
      <c r="C41" t="s">
        <v>371</v>
      </c>
      <c r="E41" t="s">
        <v>371</v>
      </c>
      <c r="G41" t="s">
        <v>371</v>
      </c>
      <c r="I41" t="s">
        <v>371</v>
      </c>
      <c r="K41" t="s">
        <v>371</v>
      </c>
      <c r="M41" t="s">
        <v>371</v>
      </c>
      <c r="O41" t="s">
        <v>36</v>
      </c>
      <c r="Q41" t="s">
        <v>36</v>
      </c>
      <c r="S41" t="s">
        <v>36</v>
      </c>
      <c r="U41" t="s">
        <v>36</v>
      </c>
      <c r="W41" t="s">
        <v>371</v>
      </c>
    </row>
    <row r="42" spans="1:24">
      <c r="A42" s="77" t="str">
        <f t="shared" si="13"/>
        <v xml:space="preserve"> </v>
      </c>
      <c r="C42" t="s">
        <v>372</v>
      </c>
      <c r="E42" t="s">
        <v>372</v>
      </c>
      <c r="G42" t="s">
        <v>372</v>
      </c>
      <c r="I42" t="s">
        <v>372</v>
      </c>
      <c r="K42" t="s">
        <v>372</v>
      </c>
      <c r="M42" t="s">
        <v>372</v>
      </c>
      <c r="O42" t="s">
        <v>372</v>
      </c>
      <c r="Q42" t="s">
        <v>372</v>
      </c>
      <c r="S42" t="s">
        <v>372</v>
      </c>
      <c r="U42" t="s">
        <v>372</v>
      </c>
      <c r="W42" t="s">
        <v>372</v>
      </c>
    </row>
    <row r="43" spans="1:24">
      <c r="A43" s="77" t="str">
        <f t="shared" si="13"/>
        <v xml:space="preserve"> </v>
      </c>
      <c r="C43" t="s">
        <v>373</v>
      </c>
      <c r="E43" t="s">
        <v>373</v>
      </c>
      <c r="G43" t="s">
        <v>373</v>
      </c>
      <c r="I43" t="s">
        <v>373</v>
      </c>
      <c r="K43" t="s">
        <v>373</v>
      </c>
      <c r="M43" t="s">
        <v>373</v>
      </c>
      <c r="O43" t="s">
        <v>373</v>
      </c>
      <c r="Q43" t="s">
        <v>373</v>
      </c>
      <c r="S43" t="s">
        <v>373</v>
      </c>
      <c r="U43" t="s">
        <v>373</v>
      </c>
      <c r="W43" t="s">
        <v>373</v>
      </c>
    </row>
    <row r="44" spans="1:24">
      <c r="A44" s="77" t="str">
        <f t="shared" si="13"/>
        <v xml:space="preserve"> </v>
      </c>
      <c r="C44" t="s">
        <v>374</v>
      </c>
      <c r="E44" t="s">
        <v>374</v>
      </c>
      <c r="G44" t="s">
        <v>374</v>
      </c>
      <c r="I44" t="s">
        <v>374</v>
      </c>
      <c r="K44" t="s">
        <v>374</v>
      </c>
      <c r="M44" t="s">
        <v>374</v>
      </c>
      <c r="O44" t="s">
        <v>374</v>
      </c>
      <c r="Q44" t="s">
        <v>374</v>
      </c>
      <c r="S44" t="s">
        <v>374</v>
      </c>
      <c r="U44" t="s">
        <v>374</v>
      </c>
      <c r="W44" t="s">
        <v>374</v>
      </c>
    </row>
    <row r="47" spans="1:24">
      <c r="A47">
        <v>1</v>
      </c>
      <c r="C47" t="s">
        <v>366</v>
      </c>
      <c r="D47" t="s">
        <v>367</v>
      </c>
      <c r="E47" t="s">
        <v>368</v>
      </c>
      <c r="F47" t="s">
        <v>369</v>
      </c>
      <c r="G47" t="s">
        <v>370</v>
      </c>
      <c r="H47" t="s">
        <v>371</v>
      </c>
      <c r="I47" t="s">
        <v>372</v>
      </c>
      <c r="J47" t="s">
        <v>373</v>
      </c>
      <c r="K47" t="s">
        <v>374</v>
      </c>
      <c r="L47" t="s">
        <v>1667</v>
      </c>
    </row>
    <row r="48" spans="1:24" s="77" customFormat="1"/>
    <row r="49" spans="1:12">
      <c r="A49" s="485" t="str">
        <f>IF($A$34=2,C49,IF($A$34=3,D49,IF($A$34=4,E49,IF($A$34=5,F49,IF($A$34=6,G49,IF($A$34=7,H49,IF($A$34=8,I49,IF($A$34=9,J49,IF($A$34=10,K49,"")))))))))</f>
        <v/>
      </c>
      <c r="C49" t="s">
        <v>36</v>
      </c>
      <c r="D49" s="77" t="s">
        <v>36</v>
      </c>
      <c r="E49" s="77" t="s">
        <v>36</v>
      </c>
      <c r="F49" s="77" t="s">
        <v>36</v>
      </c>
      <c r="G49" s="77" t="s">
        <v>36</v>
      </c>
      <c r="H49" s="77" t="s">
        <v>36</v>
      </c>
      <c r="I49" s="77" t="s">
        <v>36</v>
      </c>
      <c r="J49" s="77" t="s">
        <v>36</v>
      </c>
      <c r="K49" s="77" t="s">
        <v>36</v>
      </c>
      <c r="L49" s="77" t="s">
        <v>36</v>
      </c>
    </row>
    <row r="50" spans="1:12">
      <c r="A50" s="519" t="str">
        <f t="shared" ref="A50:A65" si="14">IF($A$34=2,C50,IF($A$34=3,D50,IF($A$34=4,E50,IF($A$34=5,F50,IF($A$34=6,G50,IF($A$34=7,H50,IF($A$34=8,I50,IF($A$34=9,J50,IF($A$34=10,K50,"")))))))))</f>
        <v/>
      </c>
      <c r="C50" t="s">
        <v>36</v>
      </c>
      <c r="D50" t="s">
        <v>36</v>
      </c>
      <c r="E50" t="s">
        <v>36</v>
      </c>
      <c r="F50" t="s">
        <v>12</v>
      </c>
      <c r="G50" t="s">
        <v>36</v>
      </c>
      <c r="H50" t="s">
        <v>36</v>
      </c>
      <c r="I50" t="s">
        <v>13</v>
      </c>
      <c r="J50" t="s">
        <v>36</v>
      </c>
      <c r="K50" t="s">
        <v>435</v>
      </c>
      <c r="L50" t="s">
        <v>36</v>
      </c>
    </row>
    <row r="51" spans="1:12">
      <c r="A51" s="519" t="str">
        <f t="shared" si="14"/>
        <v/>
      </c>
      <c r="C51" t="s">
        <v>36</v>
      </c>
      <c r="D51" t="s">
        <v>36</v>
      </c>
      <c r="E51" t="s">
        <v>36</v>
      </c>
      <c r="F51" t="s">
        <v>14</v>
      </c>
      <c r="G51" t="s">
        <v>36</v>
      </c>
      <c r="H51" t="s">
        <v>36</v>
      </c>
      <c r="I51" t="s">
        <v>15</v>
      </c>
      <c r="J51" t="s">
        <v>36</v>
      </c>
      <c r="K51" t="s">
        <v>379</v>
      </c>
      <c r="L51" t="s">
        <v>36</v>
      </c>
    </row>
    <row r="52" spans="1:12">
      <c r="A52" s="519" t="str">
        <f t="shared" si="14"/>
        <v/>
      </c>
      <c r="C52" t="s">
        <v>16</v>
      </c>
      <c r="D52" t="s">
        <v>16</v>
      </c>
      <c r="E52" t="s">
        <v>16</v>
      </c>
      <c r="F52" t="s">
        <v>16</v>
      </c>
      <c r="G52" t="s">
        <v>36</v>
      </c>
      <c r="H52" t="s">
        <v>17</v>
      </c>
      <c r="I52" t="s">
        <v>17</v>
      </c>
      <c r="J52" t="s">
        <v>36</v>
      </c>
      <c r="K52" t="s">
        <v>436</v>
      </c>
      <c r="L52" t="s">
        <v>36</v>
      </c>
    </row>
    <row r="53" spans="1:12">
      <c r="A53" s="519" t="str">
        <f t="shared" si="14"/>
        <v/>
      </c>
      <c r="C53" t="s">
        <v>36</v>
      </c>
      <c r="D53" t="s">
        <v>36</v>
      </c>
      <c r="E53" t="s">
        <v>36</v>
      </c>
      <c r="F53" t="s">
        <v>36</v>
      </c>
      <c r="G53" t="s">
        <v>36</v>
      </c>
      <c r="H53" t="s">
        <v>36</v>
      </c>
      <c r="I53" t="s">
        <v>36</v>
      </c>
      <c r="J53" t="s">
        <v>36</v>
      </c>
      <c r="K53" t="s">
        <v>36</v>
      </c>
      <c r="L53" t="s">
        <v>36</v>
      </c>
    </row>
    <row r="54" spans="1:12">
      <c r="A54" s="519" t="str">
        <f t="shared" si="14"/>
        <v/>
      </c>
      <c r="C54" t="s">
        <v>36</v>
      </c>
      <c r="D54" t="s">
        <v>36</v>
      </c>
      <c r="E54" t="s">
        <v>36</v>
      </c>
      <c r="F54" t="s">
        <v>18</v>
      </c>
      <c r="G54" t="s">
        <v>36</v>
      </c>
      <c r="H54" t="s">
        <v>36</v>
      </c>
      <c r="I54" t="s">
        <v>36</v>
      </c>
      <c r="J54" t="s">
        <v>36</v>
      </c>
      <c r="K54" t="s">
        <v>36</v>
      </c>
      <c r="L54" t="s">
        <v>36</v>
      </c>
    </row>
    <row r="55" spans="1:12">
      <c r="A55" s="519" t="str">
        <f t="shared" si="14"/>
        <v/>
      </c>
      <c r="C55" t="s">
        <v>36</v>
      </c>
      <c r="D55" t="s">
        <v>36</v>
      </c>
      <c r="E55" t="s">
        <v>36</v>
      </c>
      <c r="F55" t="s">
        <v>19</v>
      </c>
      <c r="G55" t="s">
        <v>36</v>
      </c>
      <c r="H55" t="s">
        <v>36</v>
      </c>
      <c r="I55" t="s">
        <v>20</v>
      </c>
      <c r="J55" t="s">
        <v>36</v>
      </c>
      <c r="K55" t="s">
        <v>36</v>
      </c>
      <c r="L55" t="s">
        <v>36</v>
      </c>
    </row>
    <row r="56" spans="1:12">
      <c r="A56" s="519" t="str">
        <f t="shared" si="14"/>
        <v/>
      </c>
      <c r="C56" t="s">
        <v>36</v>
      </c>
      <c r="D56" t="s">
        <v>36</v>
      </c>
      <c r="E56" t="s">
        <v>36</v>
      </c>
      <c r="F56" t="s">
        <v>36</v>
      </c>
      <c r="G56" t="s">
        <v>36</v>
      </c>
      <c r="H56" t="s">
        <v>36</v>
      </c>
      <c r="I56" t="s">
        <v>22</v>
      </c>
      <c r="J56" t="s">
        <v>36</v>
      </c>
      <c r="K56" t="s">
        <v>437</v>
      </c>
      <c r="L56" t="s">
        <v>36</v>
      </c>
    </row>
    <row r="57" spans="1:12">
      <c r="A57" s="519" t="str">
        <f t="shared" si="14"/>
        <v/>
      </c>
      <c r="C57" t="s">
        <v>36</v>
      </c>
      <c r="D57" t="s">
        <v>308</v>
      </c>
      <c r="E57" t="s">
        <v>36</v>
      </c>
      <c r="F57" t="s">
        <v>308</v>
      </c>
      <c r="G57" s="495" t="s">
        <v>275</v>
      </c>
      <c r="H57" t="s">
        <v>275</v>
      </c>
      <c r="I57" t="s">
        <v>275</v>
      </c>
      <c r="J57" t="s">
        <v>36</v>
      </c>
      <c r="K57" s="77" t="s">
        <v>2570</v>
      </c>
      <c r="L57" t="s">
        <v>275</v>
      </c>
    </row>
    <row r="58" spans="1:12">
      <c r="A58" s="519" t="str">
        <f t="shared" si="14"/>
        <v/>
      </c>
      <c r="C58" t="s">
        <v>36</v>
      </c>
      <c r="D58" t="s">
        <v>36</v>
      </c>
      <c r="E58" t="s">
        <v>23</v>
      </c>
      <c r="F58" t="s">
        <v>23</v>
      </c>
      <c r="G58" t="s">
        <v>24</v>
      </c>
      <c r="H58" t="s">
        <v>24</v>
      </c>
      <c r="I58" t="s">
        <v>24</v>
      </c>
      <c r="J58" t="s">
        <v>377</v>
      </c>
      <c r="K58" t="s">
        <v>380</v>
      </c>
      <c r="L58" t="s">
        <v>36</v>
      </c>
    </row>
    <row r="59" spans="1:12">
      <c r="A59" s="519" t="str">
        <f t="shared" si="14"/>
        <v/>
      </c>
      <c r="C59" t="s">
        <v>36</v>
      </c>
      <c r="D59" t="s">
        <v>36</v>
      </c>
      <c r="E59" t="s">
        <v>25</v>
      </c>
      <c r="F59" t="s">
        <v>25</v>
      </c>
      <c r="G59" t="s">
        <v>36</v>
      </c>
      <c r="H59" t="s">
        <v>26</v>
      </c>
      <c r="I59" t="s">
        <v>26</v>
      </c>
      <c r="J59" t="s">
        <v>36</v>
      </c>
      <c r="K59" s="77" t="s">
        <v>438</v>
      </c>
      <c r="L59" t="s">
        <v>36</v>
      </c>
    </row>
    <row r="60" spans="1:12">
      <c r="A60" s="519" t="str">
        <f t="shared" si="14"/>
        <v/>
      </c>
      <c r="C60" t="s">
        <v>36</v>
      </c>
      <c r="D60" t="s">
        <v>36</v>
      </c>
      <c r="E60" t="s">
        <v>36</v>
      </c>
      <c r="F60" t="s">
        <v>36</v>
      </c>
      <c r="G60" t="s">
        <v>36</v>
      </c>
      <c r="H60" t="s">
        <v>36</v>
      </c>
      <c r="I60" t="s">
        <v>36</v>
      </c>
      <c r="J60" t="s">
        <v>36</v>
      </c>
      <c r="K60" s="77" t="s">
        <v>36</v>
      </c>
      <c r="L60" t="s">
        <v>36</v>
      </c>
    </row>
    <row r="61" spans="1:12">
      <c r="A61" s="519" t="str">
        <f t="shared" si="14"/>
        <v/>
      </c>
      <c r="C61" t="s">
        <v>28</v>
      </c>
      <c r="D61" t="s">
        <v>28</v>
      </c>
      <c r="E61" t="s">
        <v>28</v>
      </c>
      <c r="F61" t="s">
        <v>28</v>
      </c>
      <c r="G61" t="s">
        <v>29</v>
      </c>
      <c r="H61" t="s">
        <v>29</v>
      </c>
      <c r="I61" t="s">
        <v>29</v>
      </c>
      <c r="J61" t="s">
        <v>36</v>
      </c>
      <c r="K61" t="s">
        <v>381</v>
      </c>
      <c r="L61" t="s">
        <v>29</v>
      </c>
    </row>
    <row r="62" spans="1:12">
      <c r="A62" s="519" t="str">
        <f t="shared" si="14"/>
        <v/>
      </c>
      <c r="C62" t="s">
        <v>36</v>
      </c>
      <c r="D62" t="s">
        <v>36</v>
      </c>
      <c r="E62" t="s">
        <v>36</v>
      </c>
      <c r="F62" t="s">
        <v>36</v>
      </c>
      <c r="G62" s="77" t="s">
        <v>36</v>
      </c>
      <c r="H62" t="s">
        <v>31</v>
      </c>
      <c r="I62" t="s">
        <v>31</v>
      </c>
      <c r="J62" t="s">
        <v>378</v>
      </c>
      <c r="K62" t="s">
        <v>382</v>
      </c>
      <c r="L62" t="s">
        <v>36</v>
      </c>
    </row>
    <row r="63" spans="1:12">
      <c r="A63" s="519" t="str">
        <f t="shared" si="14"/>
        <v/>
      </c>
      <c r="C63" t="s">
        <v>36</v>
      </c>
      <c r="D63" t="s">
        <v>36</v>
      </c>
      <c r="E63" t="s">
        <v>32</v>
      </c>
      <c r="F63" t="s">
        <v>32</v>
      </c>
      <c r="G63" t="s">
        <v>36</v>
      </c>
      <c r="H63" t="s">
        <v>36</v>
      </c>
      <c r="I63" t="s">
        <v>36</v>
      </c>
      <c r="J63" t="s">
        <v>36</v>
      </c>
      <c r="K63" t="s">
        <v>36</v>
      </c>
      <c r="L63" t="s">
        <v>36</v>
      </c>
    </row>
    <row r="64" spans="1:12">
      <c r="A64" s="519" t="str">
        <f t="shared" si="14"/>
        <v/>
      </c>
      <c r="C64" t="s">
        <v>36</v>
      </c>
      <c r="D64" t="s">
        <v>36</v>
      </c>
      <c r="E64" t="s">
        <v>36</v>
      </c>
      <c r="F64" t="s">
        <v>36</v>
      </c>
      <c r="G64" s="495" t="s">
        <v>34</v>
      </c>
      <c r="H64" t="s">
        <v>34</v>
      </c>
      <c r="I64" t="s">
        <v>34</v>
      </c>
      <c r="J64" t="s">
        <v>36</v>
      </c>
      <c r="K64" t="s">
        <v>383</v>
      </c>
      <c r="L64" t="s">
        <v>34</v>
      </c>
    </row>
    <row r="65" spans="1:12">
      <c r="A65" s="519" t="str">
        <f t="shared" si="14"/>
        <v/>
      </c>
      <c r="C65" t="s">
        <v>36</v>
      </c>
      <c r="D65" t="s">
        <v>36</v>
      </c>
      <c r="E65" t="s">
        <v>35</v>
      </c>
      <c r="F65" t="s">
        <v>35</v>
      </c>
      <c r="G65" t="s">
        <v>36</v>
      </c>
      <c r="H65" t="s">
        <v>36</v>
      </c>
      <c r="I65" t="s">
        <v>36</v>
      </c>
      <c r="J65" t="s">
        <v>36</v>
      </c>
      <c r="K65" t="s">
        <v>36</v>
      </c>
      <c r="L65" t="s">
        <v>36</v>
      </c>
    </row>
    <row r="67" spans="1:12" s="516" customFormat="1">
      <c r="A67" s="516" t="str">
        <f>INDEX(A69:A77,A68)&amp;" "&amp;INDEX(A109:A129,A108)</f>
        <v xml:space="preserve"> </v>
      </c>
    </row>
    <row r="68" spans="1:12">
      <c r="A68">
        <v>1</v>
      </c>
    </row>
    <row r="70" spans="1:12">
      <c r="A70" s="77" t="s">
        <v>2986</v>
      </c>
    </row>
    <row r="71" spans="1:12">
      <c r="A71" s="77" t="s">
        <v>2987</v>
      </c>
    </row>
    <row r="72" spans="1:12">
      <c r="A72" s="77" t="s">
        <v>2988</v>
      </c>
    </row>
    <row r="73" spans="1:12">
      <c r="A73" s="77" t="s">
        <v>2989</v>
      </c>
    </row>
    <row r="74" spans="1:12">
      <c r="A74" s="77" t="s">
        <v>2990</v>
      </c>
    </row>
    <row r="75" spans="1:12">
      <c r="A75" s="77" t="s">
        <v>2991</v>
      </c>
    </row>
    <row r="76" spans="1:12">
      <c r="A76" s="77" t="s">
        <v>2992</v>
      </c>
    </row>
    <row r="77" spans="1:12">
      <c r="A77" s="77" t="s">
        <v>2993</v>
      </c>
    </row>
    <row r="80" spans="1:12">
      <c r="B80" s="77" t="str">
        <f>A70</f>
        <v>Colorat 125/88</v>
      </c>
      <c r="C80" t="str">
        <f>A71</f>
        <v>Colorat 150/97</v>
      </c>
      <c r="D80" t="str">
        <f>A72</f>
        <v>Mat 125/88</v>
      </c>
      <c r="E80" t="str">
        <f>A73</f>
        <v>Mat 150/97</v>
      </c>
      <c r="F80" t="str">
        <f>A74</f>
        <v>Aluzinc 125/88</v>
      </c>
      <c r="G80" t="str">
        <f>A75</f>
        <v>Aluzinc 150/97</v>
      </c>
      <c r="H80" t="str">
        <f>A76</f>
        <v>Culori speciale 125/88</v>
      </c>
      <c r="I80" t="str">
        <f>A77</f>
        <v>Culori speciale 150/97</v>
      </c>
    </row>
    <row r="81" spans="1:12">
      <c r="A81" s="77" t="s">
        <v>36</v>
      </c>
    </row>
    <row r="82" spans="1:12">
      <c r="A82" t="str">
        <f>IF($A$68=2,B82,IF($A$68=3,C82,IF($A$68=4,D82,IF($A$68=5,E82,IF($A$68=6,F82,IF($A$68=7,G82,IF($A$68=8,H82,IF($A$68=9,I82," "))))))))</f>
        <v xml:space="preserve"> </v>
      </c>
      <c r="B82" s="77" t="s">
        <v>55</v>
      </c>
      <c r="C82" s="77" t="s">
        <v>55</v>
      </c>
      <c r="D82" s="77" t="s">
        <v>55</v>
      </c>
      <c r="E82" s="77" t="s">
        <v>55</v>
      </c>
      <c r="F82" s="77" t="s">
        <v>36</v>
      </c>
      <c r="G82" s="77" t="s">
        <v>36</v>
      </c>
      <c r="H82" t="s">
        <v>55</v>
      </c>
      <c r="I82" s="77" t="s">
        <v>55</v>
      </c>
      <c r="K82" t="str">
        <f>A82&amp;" "&amp;INDEX($A$69:$A$77,$A$68)</f>
        <v xml:space="preserve">  </v>
      </c>
      <c r="L82">
        <f>IFERROR(VLOOKUP(K82,In!$A$2:$F$8018,6,FALSE),0)</f>
        <v>0</v>
      </c>
    </row>
    <row r="83" spans="1:12">
      <c r="A83" s="77" t="str">
        <f t="shared" ref="A83:A105" si="15">IF($A$68=2,B83,IF($A$68=3,C83,IF($A$68=4,D83,IF($A$68=5,E83,IF($A$68=6,F83,IF($A$68=7,G83,IF($A$68=8,H83,IF($A$68=9,I83," "))))))))</f>
        <v xml:space="preserve"> </v>
      </c>
      <c r="B83" s="77" t="s">
        <v>56</v>
      </c>
      <c r="C83" s="77" t="s">
        <v>56</v>
      </c>
      <c r="D83" s="77" t="s">
        <v>56</v>
      </c>
      <c r="E83" s="77" t="s">
        <v>56</v>
      </c>
      <c r="F83" s="77" t="s">
        <v>36</v>
      </c>
      <c r="G83" s="77" t="s">
        <v>36</v>
      </c>
      <c r="H83" t="s">
        <v>56</v>
      </c>
      <c r="I83" s="77" t="s">
        <v>56</v>
      </c>
      <c r="K83" s="77" t="str">
        <f t="shared" ref="K83:K105" si="16">A83&amp;" "&amp;INDEX($A$69:$A$77,$A$68)</f>
        <v xml:space="preserve">  </v>
      </c>
      <c r="L83" s="77">
        <f>IFERROR(VLOOKUP(K83,In!$A$2:$F$8018,6,FALSE),0)</f>
        <v>0</v>
      </c>
    </row>
    <row r="84" spans="1:12">
      <c r="A84" s="77" t="str">
        <f t="shared" si="15"/>
        <v xml:space="preserve"> </v>
      </c>
      <c r="B84" s="77" t="s">
        <v>36</v>
      </c>
      <c r="C84" s="77" t="s">
        <v>36</v>
      </c>
      <c r="D84" s="77" t="s">
        <v>36</v>
      </c>
      <c r="E84" s="77" t="s">
        <v>36</v>
      </c>
      <c r="F84" t="s">
        <v>801</v>
      </c>
      <c r="G84" s="77" t="s">
        <v>801</v>
      </c>
      <c r="H84" s="77" t="s">
        <v>36</v>
      </c>
      <c r="I84" s="77" t="s">
        <v>36</v>
      </c>
      <c r="K84" s="77" t="str">
        <f t="shared" si="16"/>
        <v xml:space="preserve">  </v>
      </c>
      <c r="L84" s="77">
        <f>IFERROR(VLOOKUP(K84,In!$A$2:$F$8018,6,FALSE),0)</f>
        <v>0</v>
      </c>
    </row>
    <row r="85" spans="1:12">
      <c r="A85" s="77" t="str">
        <f t="shared" si="15"/>
        <v xml:space="preserve"> </v>
      </c>
      <c r="B85" s="77" t="s">
        <v>36</v>
      </c>
      <c r="C85" s="77" t="s">
        <v>36</v>
      </c>
      <c r="D85" s="77" t="s">
        <v>36</v>
      </c>
      <c r="E85" s="77" t="s">
        <v>36</v>
      </c>
      <c r="F85" t="s">
        <v>805</v>
      </c>
      <c r="G85" s="77" t="s">
        <v>805</v>
      </c>
      <c r="H85" s="77" t="s">
        <v>36</v>
      </c>
      <c r="I85" s="77" t="s">
        <v>36</v>
      </c>
      <c r="K85" s="77" t="str">
        <f t="shared" si="16"/>
        <v xml:space="preserve">  </v>
      </c>
      <c r="L85" s="77">
        <f>IFERROR(VLOOKUP(K85,In!$A$2:$F$8018,6,FALSE),0)</f>
        <v>0</v>
      </c>
    </row>
    <row r="86" spans="1:12">
      <c r="A86" s="77" t="str">
        <f t="shared" si="15"/>
        <v xml:space="preserve"> </v>
      </c>
      <c r="B86" s="77" t="s">
        <v>809</v>
      </c>
      <c r="C86" s="77" t="s">
        <v>36</v>
      </c>
      <c r="D86" s="77" t="s">
        <v>809</v>
      </c>
      <c r="E86" s="77" t="s">
        <v>36</v>
      </c>
      <c r="F86" s="77" t="s">
        <v>36</v>
      </c>
      <c r="G86" s="77" t="s">
        <v>36</v>
      </c>
      <c r="H86" t="s">
        <v>809</v>
      </c>
      <c r="I86" s="77" t="s">
        <v>36</v>
      </c>
      <c r="K86" s="77" t="str">
        <f t="shared" si="16"/>
        <v xml:space="preserve">  </v>
      </c>
      <c r="L86" s="77">
        <f>IFERROR(VLOOKUP(K86,In!$A$2:$F$8018,6,FALSE),0)</f>
        <v>0</v>
      </c>
    </row>
    <row r="87" spans="1:12">
      <c r="A87" s="77" t="str">
        <f t="shared" si="15"/>
        <v xml:space="preserve"> </v>
      </c>
      <c r="B87" s="77" t="s">
        <v>36</v>
      </c>
      <c r="C87" s="77" t="s">
        <v>36</v>
      </c>
      <c r="D87" s="77" t="s">
        <v>36</v>
      </c>
      <c r="E87" s="77" t="s">
        <v>36</v>
      </c>
      <c r="F87" t="s">
        <v>813</v>
      </c>
      <c r="G87" s="77" t="s">
        <v>36</v>
      </c>
      <c r="H87" s="77" t="s">
        <v>36</v>
      </c>
      <c r="I87" s="77" t="s">
        <v>36</v>
      </c>
      <c r="K87" s="77" t="str">
        <f t="shared" si="16"/>
        <v xml:space="preserve">  </v>
      </c>
      <c r="L87" s="77">
        <f>IFERROR(VLOOKUP(K87,In!$A$2:$F$8018,6,FALSE),0)</f>
        <v>0</v>
      </c>
    </row>
    <row r="88" spans="1:12">
      <c r="A88" s="77" t="str">
        <f t="shared" si="15"/>
        <v xml:space="preserve"> </v>
      </c>
      <c r="B88" s="77" t="s">
        <v>36</v>
      </c>
      <c r="C88" s="77" t="s">
        <v>36</v>
      </c>
      <c r="D88" s="77" t="s">
        <v>36</v>
      </c>
      <c r="E88" s="77" t="s">
        <v>36</v>
      </c>
      <c r="F88" s="77" t="s">
        <v>36</v>
      </c>
      <c r="G88" s="77" t="s">
        <v>36</v>
      </c>
      <c r="H88" s="77" t="s">
        <v>36</v>
      </c>
      <c r="I88" s="77" t="s">
        <v>36</v>
      </c>
      <c r="K88" s="77" t="str">
        <f t="shared" si="16"/>
        <v xml:space="preserve">  </v>
      </c>
      <c r="L88" s="77">
        <f>IFERROR(VLOOKUP(K88,In!$A$2:$F$8018,6,FALSE),0)</f>
        <v>0</v>
      </c>
    </row>
    <row r="89" spans="1:12">
      <c r="A89" s="77" t="str">
        <f t="shared" si="15"/>
        <v xml:space="preserve"> </v>
      </c>
      <c r="B89" s="77" t="s">
        <v>57</v>
      </c>
      <c r="C89" s="77" t="s">
        <v>57</v>
      </c>
      <c r="D89" s="77" t="s">
        <v>57</v>
      </c>
      <c r="E89" s="77" t="s">
        <v>57</v>
      </c>
      <c r="F89" s="77" t="s">
        <v>36</v>
      </c>
      <c r="G89" s="77" t="s">
        <v>36</v>
      </c>
      <c r="H89" t="s">
        <v>57</v>
      </c>
      <c r="I89" s="77" t="s">
        <v>57</v>
      </c>
      <c r="K89" s="77" t="str">
        <f t="shared" si="16"/>
        <v xml:space="preserve">  </v>
      </c>
      <c r="L89" s="77">
        <f>IFERROR(VLOOKUP(K89,In!$A$2:$F$8018,6,FALSE),0)</f>
        <v>0</v>
      </c>
    </row>
    <row r="90" spans="1:12">
      <c r="A90" s="77" t="str">
        <f t="shared" si="15"/>
        <v xml:space="preserve"> </v>
      </c>
      <c r="B90" s="77" t="s">
        <v>36</v>
      </c>
      <c r="C90" s="77" t="s">
        <v>36</v>
      </c>
      <c r="D90" s="77" t="s">
        <v>36</v>
      </c>
      <c r="E90" s="77" t="s">
        <v>36</v>
      </c>
      <c r="F90" t="s">
        <v>820</v>
      </c>
      <c r="G90" s="77" t="s">
        <v>820</v>
      </c>
      <c r="H90" s="77" t="s">
        <v>36</v>
      </c>
      <c r="I90" s="77" t="s">
        <v>36</v>
      </c>
      <c r="K90" s="77" t="str">
        <f t="shared" si="16"/>
        <v xml:space="preserve">  </v>
      </c>
      <c r="L90" s="77">
        <f>IFERROR(VLOOKUP(K90,In!$A$2:$F$8018,6,FALSE),0)</f>
        <v>0</v>
      </c>
    </row>
    <row r="91" spans="1:12">
      <c r="A91" s="77" t="str">
        <f t="shared" si="15"/>
        <v xml:space="preserve"> </v>
      </c>
      <c r="B91" s="77" t="s">
        <v>568</v>
      </c>
      <c r="C91" s="77" t="s">
        <v>568</v>
      </c>
      <c r="D91" s="77" t="s">
        <v>568</v>
      </c>
      <c r="E91" s="77" t="s">
        <v>568</v>
      </c>
      <c r="F91" t="s">
        <v>568</v>
      </c>
      <c r="G91" s="77" t="s">
        <v>568</v>
      </c>
      <c r="H91" t="s">
        <v>568</v>
      </c>
      <c r="I91" s="77" t="s">
        <v>568</v>
      </c>
      <c r="K91" s="77" t="str">
        <f t="shared" si="16"/>
        <v xml:space="preserve">  </v>
      </c>
      <c r="L91" s="77">
        <f>IFERROR(VLOOKUP(K91,In!$A$2:$F$8018,6,FALSE),0)</f>
        <v>0</v>
      </c>
    </row>
    <row r="92" spans="1:12">
      <c r="A92" s="77" t="str">
        <f t="shared" si="15"/>
        <v xml:space="preserve"> </v>
      </c>
      <c r="B92" s="77" t="s">
        <v>1534</v>
      </c>
      <c r="C92" s="77" t="s">
        <v>1534</v>
      </c>
      <c r="D92" s="77" t="s">
        <v>1534</v>
      </c>
      <c r="E92" s="77" t="s">
        <v>1534</v>
      </c>
      <c r="F92" t="s">
        <v>1534</v>
      </c>
      <c r="G92" s="77" t="s">
        <v>1534</v>
      </c>
      <c r="H92" t="s">
        <v>1534</v>
      </c>
      <c r="I92" s="77" t="s">
        <v>1534</v>
      </c>
      <c r="K92" s="77" t="str">
        <f t="shared" si="16"/>
        <v xml:space="preserve">  </v>
      </c>
      <c r="L92" s="77">
        <f>IFERROR(VLOOKUP(K92,In!$A$2:$F$8018,6,FALSE),0)</f>
        <v>0</v>
      </c>
    </row>
    <row r="93" spans="1:12">
      <c r="A93" s="77" t="str">
        <f t="shared" si="15"/>
        <v xml:space="preserve"> </v>
      </c>
      <c r="B93" s="77" t="s">
        <v>190</v>
      </c>
      <c r="C93" s="77" t="s">
        <v>190</v>
      </c>
      <c r="D93" s="77" t="s">
        <v>190</v>
      </c>
      <c r="E93" s="77" t="s">
        <v>190</v>
      </c>
      <c r="F93" s="77" t="s">
        <v>190</v>
      </c>
      <c r="G93" s="77" t="s">
        <v>190</v>
      </c>
      <c r="H93" s="77" t="s">
        <v>190</v>
      </c>
      <c r="I93" s="77" t="s">
        <v>190</v>
      </c>
      <c r="K93" s="77" t="str">
        <f t="shared" si="16"/>
        <v xml:space="preserve">  </v>
      </c>
      <c r="L93" s="77">
        <f>IFERROR(VLOOKUP(K93,In!$A$2:$F$8018,6,FALSE),0)</f>
        <v>0</v>
      </c>
    </row>
    <row r="94" spans="1:12" s="77" customFormat="1">
      <c r="A94" s="77" t="str">
        <f t="shared" si="15"/>
        <v xml:space="preserve"> </v>
      </c>
      <c r="B94" s="77" t="s">
        <v>189</v>
      </c>
      <c r="C94" s="77" t="s">
        <v>189</v>
      </c>
      <c r="D94" s="77" t="s">
        <v>189</v>
      </c>
      <c r="E94" s="77" t="s">
        <v>189</v>
      </c>
      <c r="F94" s="77" t="s">
        <v>189</v>
      </c>
      <c r="G94" s="77" t="s">
        <v>189</v>
      </c>
      <c r="H94" s="77" t="s">
        <v>189</v>
      </c>
      <c r="I94" s="77" t="s">
        <v>189</v>
      </c>
      <c r="K94" s="77" t="str">
        <f t="shared" si="16"/>
        <v xml:space="preserve">  </v>
      </c>
      <c r="L94" s="77">
        <f>IFERROR(VLOOKUP(K94,In!$A$2:$F$8018,6,FALSE),0)</f>
        <v>0</v>
      </c>
    </row>
    <row r="95" spans="1:12">
      <c r="A95" s="77" t="str">
        <f t="shared" si="15"/>
        <v xml:space="preserve"> </v>
      </c>
      <c r="B95" s="77" t="s">
        <v>58</v>
      </c>
      <c r="C95" s="77" t="s">
        <v>58</v>
      </c>
      <c r="D95" s="77" t="s">
        <v>58</v>
      </c>
      <c r="E95" s="77" t="s">
        <v>58</v>
      </c>
      <c r="F95" s="77" t="s">
        <v>58</v>
      </c>
      <c r="G95" s="77" t="s">
        <v>58</v>
      </c>
      <c r="H95" s="77" t="s">
        <v>58</v>
      </c>
      <c r="I95" s="77" t="s">
        <v>58</v>
      </c>
      <c r="K95" s="77" t="str">
        <f t="shared" si="16"/>
        <v xml:space="preserve">  </v>
      </c>
      <c r="L95" s="77">
        <f>IFERROR(VLOOKUP(K95,In!$A$2:$F$8018,6,FALSE),0)</f>
        <v>0</v>
      </c>
    </row>
    <row r="96" spans="1:12">
      <c r="A96" s="77" t="str">
        <f t="shared" si="15"/>
        <v xml:space="preserve"> </v>
      </c>
      <c r="B96" s="77" t="s">
        <v>59</v>
      </c>
      <c r="C96" s="77" t="s">
        <v>59</v>
      </c>
      <c r="D96" s="77" t="s">
        <v>59</v>
      </c>
      <c r="E96" s="77" t="s">
        <v>59</v>
      </c>
      <c r="F96" t="s">
        <v>59</v>
      </c>
      <c r="G96" s="77" t="s">
        <v>59</v>
      </c>
      <c r="H96" s="77" t="s">
        <v>59</v>
      </c>
      <c r="I96" s="77" t="s">
        <v>59</v>
      </c>
      <c r="K96" s="77" t="str">
        <f t="shared" si="16"/>
        <v xml:space="preserve">  </v>
      </c>
      <c r="L96" s="77">
        <f>IFERROR(VLOOKUP(K96,In!$A$2:$F$8018,6,FALSE),0)</f>
        <v>0</v>
      </c>
    </row>
    <row r="97" spans="1:12">
      <c r="A97" s="77" t="str">
        <f t="shared" si="15"/>
        <v xml:space="preserve"> </v>
      </c>
      <c r="B97" s="77" t="s">
        <v>60</v>
      </c>
      <c r="C97" s="77" t="s">
        <v>60</v>
      </c>
      <c r="D97" s="77" t="s">
        <v>60</v>
      </c>
      <c r="E97" s="77" t="s">
        <v>60</v>
      </c>
      <c r="F97" t="s">
        <v>60</v>
      </c>
      <c r="G97" s="77" t="s">
        <v>60</v>
      </c>
      <c r="H97" s="77" t="s">
        <v>36</v>
      </c>
      <c r="I97" s="77" t="s">
        <v>36</v>
      </c>
      <c r="K97" s="77" t="str">
        <f t="shared" si="16"/>
        <v xml:space="preserve">  </v>
      </c>
      <c r="L97" s="77">
        <f>IFERROR(VLOOKUP(K97,In!$A$2:$F$8018,6,FALSE),0)</f>
        <v>0</v>
      </c>
    </row>
    <row r="98" spans="1:12">
      <c r="A98" s="77" t="str">
        <f t="shared" si="15"/>
        <v xml:space="preserve"> </v>
      </c>
      <c r="B98" s="77" t="s">
        <v>61</v>
      </c>
      <c r="C98" s="77" t="s">
        <v>61</v>
      </c>
      <c r="D98" s="77" t="s">
        <v>61</v>
      </c>
      <c r="E98" s="77" t="s">
        <v>61</v>
      </c>
      <c r="F98" t="s">
        <v>61</v>
      </c>
      <c r="G98" s="77" t="s">
        <v>61</v>
      </c>
      <c r="H98" s="77" t="s">
        <v>61</v>
      </c>
      <c r="I98" s="77" t="s">
        <v>61</v>
      </c>
      <c r="K98" s="77" t="str">
        <f t="shared" si="16"/>
        <v xml:space="preserve">  </v>
      </c>
      <c r="L98" s="77">
        <f>IFERROR(VLOOKUP(K98,In!$A$2:$F$8018,6,FALSE),0)</f>
        <v>0</v>
      </c>
    </row>
    <row r="99" spans="1:12">
      <c r="A99" s="77" t="str">
        <f t="shared" si="15"/>
        <v xml:space="preserve"> </v>
      </c>
      <c r="B99" s="77" t="s">
        <v>62</v>
      </c>
      <c r="C99" s="77" t="s">
        <v>62</v>
      </c>
      <c r="D99" s="77" t="s">
        <v>62</v>
      </c>
      <c r="E99" s="77" t="s">
        <v>62</v>
      </c>
      <c r="F99" t="s">
        <v>62</v>
      </c>
      <c r="G99" s="77" t="s">
        <v>62</v>
      </c>
      <c r="H99" s="77" t="s">
        <v>62</v>
      </c>
      <c r="I99" s="77" t="s">
        <v>62</v>
      </c>
      <c r="K99" s="77" t="str">
        <f t="shared" si="16"/>
        <v xml:space="preserve">  </v>
      </c>
      <c r="L99" s="77">
        <f>IFERROR(VLOOKUP(K99,In!$A$2:$F$8018,6,FALSE),0)</f>
        <v>0</v>
      </c>
    </row>
    <row r="100" spans="1:12">
      <c r="A100" s="77" t="str">
        <f t="shared" si="15"/>
        <v xml:space="preserve"> </v>
      </c>
      <c r="B100" s="77" t="s">
        <v>63</v>
      </c>
      <c r="C100" s="77" t="s">
        <v>63</v>
      </c>
      <c r="D100" s="77" t="s">
        <v>63</v>
      </c>
      <c r="E100" s="77" t="s">
        <v>63</v>
      </c>
      <c r="F100" t="s">
        <v>63</v>
      </c>
      <c r="G100" s="77" t="s">
        <v>63</v>
      </c>
      <c r="H100" s="77" t="s">
        <v>63</v>
      </c>
      <c r="I100" s="77" t="s">
        <v>63</v>
      </c>
      <c r="K100" s="77" t="str">
        <f t="shared" si="16"/>
        <v xml:space="preserve">  </v>
      </c>
      <c r="L100" s="77">
        <f>IFERROR(VLOOKUP(K100,In!$A$2:$F$8018,6,FALSE),0)</f>
        <v>0</v>
      </c>
    </row>
    <row r="101" spans="1:12">
      <c r="A101" s="77" t="str">
        <f t="shared" si="15"/>
        <v xml:space="preserve"> </v>
      </c>
      <c r="B101" s="77" t="s">
        <v>561</v>
      </c>
      <c r="C101" s="77" t="s">
        <v>561</v>
      </c>
      <c r="D101" s="77" t="s">
        <v>561</v>
      </c>
      <c r="E101" s="77" t="s">
        <v>561</v>
      </c>
      <c r="F101" t="s">
        <v>561</v>
      </c>
      <c r="G101" s="77" t="s">
        <v>561</v>
      </c>
      <c r="H101" s="77" t="s">
        <v>561</v>
      </c>
      <c r="I101" s="77" t="s">
        <v>561</v>
      </c>
      <c r="K101" s="77" t="str">
        <f t="shared" si="16"/>
        <v xml:space="preserve">  </v>
      </c>
      <c r="L101" s="77">
        <f>IFERROR(VLOOKUP(K101,In!$A$2:$F$8018,6,FALSE),0)</f>
        <v>0</v>
      </c>
    </row>
    <row r="102" spans="1:12">
      <c r="A102" s="77" t="str">
        <f t="shared" si="15"/>
        <v xml:space="preserve"> </v>
      </c>
      <c r="B102" s="77" t="s">
        <v>64</v>
      </c>
      <c r="C102" s="77" t="s">
        <v>64</v>
      </c>
      <c r="D102" s="77" t="s">
        <v>64</v>
      </c>
      <c r="E102" s="77" t="s">
        <v>64</v>
      </c>
      <c r="F102" t="s">
        <v>64</v>
      </c>
      <c r="G102" s="77" t="s">
        <v>64</v>
      </c>
      <c r="H102" s="77" t="s">
        <v>64</v>
      </c>
      <c r="I102" s="77" t="s">
        <v>64</v>
      </c>
      <c r="K102" s="77" t="str">
        <f t="shared" si="16"/>
        <v xml:space="preserve">  </v>
      </c>
      <c r="L102" s="77">
        <f>IFERROR(VLOOKUP(K102,In!$A$2:$F$8018,6,FALSE),0)</f>
        <v>0</v>
      </c>
    </row>
    <row r="103" spans="1:12">
      <c r="A103" s="77" t="str">
        <f t="shared" si="15"/>
        <v xml:space="preserve"> </v>
      </c>
      <c r="B103" s="77" t="s">
        <v>65</v>
      </c>
      <c r="C103" s="77" t="s">
        <v>65</v>
      </c>
      <c r="D103" s="77" t="s">
        <v>65</v>
      </c>
      <c r="E103" s="77" t="s">
        <v>65</v>
      </c>
      <c r="F103" t="s">
        <v>65</v>
      </c>
      <c r="G103" s="77" t="s">
        <v>65</v>
      </c>
      <c r="H103" s="77" t="s">
        <v>65</v>
      </c>
      <c r="I103" s="77" t="s">
        <v>65</v>
      </c>
      <c r="K103" s="77" t="str">
        <f t="shared" si="16"/>
        <v xml:space="preserve">  </v>
      </c>
      <c r="L103" s="77">
        <f>IFERROR(VLOOKUP(K103,In!$A$2:$F$8018,6,FALSE),0)</f>
        <v>0</v>
      </c>
    </row>
    <row r="104" spans="1:12">
      <c r="A104" s="77" t="str">
        <f t="shared" si="15"/>
        <v xml:space="preserve"> </v>
      </c>
      <c r="B104" s="77" t="s">
        <v>66</v>
      </c>
      <c r="C104" s="77" t="s">
        <v>66</v>
      </c>
      <c r="D104" s="77" t="s">
        <v>66</v>
      </c>
      <c r="E104" s="77" t="s">
        <v>66</v>
      </c>
      <c r="F104" t="s">
        <v>66</v>
      </c>
      <c r="G104" s="77" t="s">
        <v>66</v>
      </c>
      <c r="H104" s="77" t="s">
        <v>66</v>
      </c>
      <c r="I104" s="77" t="s">
        <v>66</v>
      </c>
      <c r="K104" s="77" t="str">
        <f t="shared" si="16"/>
        <v xml:space="preserve">  </v>
      </c>
      <c r="L104" s="77">
        <f>IFERROR(VLOOKUP(K104,In!$A$2:$F$8018,6,FALSE),0)</f>
        <v>0</v>
      </c>
    </row>
    <row r="105" spans="1:12">
      <c r="A105" s="77" t="str">
        <f t="shared" si="15"/>
        <v xml:space="preserve"> </v>
      </c>
      <c r="B105" s="77" t="s">
        <v>67</v>
      </c>
      <c r="C105" s="77" t="s">
        <v>67</v>
      </c>
      <c r="D105" s="77" t="s">
        <v>67</v>
      </c>
      <c r="E105" s="77" t="s">
        <v>67</v>
      </c>
      <c r="F105" t="s">
        <v>67</v>
      </c>
      <c r="G105" s="77" t="s">
        <v>67</v>
      </c>
      <c r="H105" s="77" t="s">
        <v>36</v>
      </c>
      <c r="I105" s="77" t="s">
        <v>36</v>
      </c>
      <c r="K105" s="77" t="str">
        <f t="shared" si="16"/>
        <v xml:space="preserve">  </v>
      </c>
      <c r="L105" s="77">
        <f>IFERROR(VLOOKUP(K105,In!$A$2:$F$8018,6,FALSE),0)</f>
        <v>0</v>
      </c>
    </row>
    <row r="108" spans="1:12">
      <c r="A108">
        <v>1</v>
      </c>
      <c r="B108" s="77" t="s">
        <v>2986</v>
      </c>
      <c r="C108" s="77" t="s">
        <v>2987</v>
      </c>
      <c r="D108" s="77" t="s">
        <v>2988</v>
      </c>
      <c r="E108" s="77" t="s">
        <v>2989</v>
      </c>
      <c r="F108" s="77" t="s">
        <v>2990</v>
      </c>
      <c r="G108" s="77" t="s">
        <v>2991</v>
      </c>
      <c r="H108" s="77" t="s">
        <v>2992</v>
      </c>
      <c r="I108" s="77" t="s">
        <v>2993</v>
      </c>
      <c r="J108" s="77"/>
    </row>
    <row r="109" spans="1:12">
      <c r="F109" s="77" t="s">
        <v>36</v>
      </c>
      <c r="G109" s="77" t="s">
        <v>36</v>
      </c>
    </row>
    <row r="110" spans="1:12">
      <c r="A110" s="77" t="str">
        <f>IF($A$68=2,B110,IF($A$68=3,C110,IF($A$68=4,D110,IF($A$68=5,E110,IF($A$68=6,F110,IF($A$68=7,G110,IF($A$68=8,H110,IF($A$68=9,I110," "))))))))</f>
        <v xml:space="preserve"> </v>
      </c>
      <c r="B110" s="517" t="s">
        <v>72</v>
      </c>
      <c r="C110" s="517" t="s">
        <v>72</v>
      </c>
      <c r="D110" s="517" t="s">
        <v>36</v>
      </c>
      <c r="E110" s="517" t="s">
        <v>36</v>
      </c>
      <c r="F110" s="77" t="s">
        <v>36</v>
      </c>
      <c r="G110" s="77" t="s">
        <v>36</v>
      </c>
      <c r="H110" s="517" t="s">
        <v>36</v>
      </c>
      <c r="I110" s="517" t="s">
        <v>36</v>
      </c>
    </row>
    <row r="111" spans="1:12">
      <c r="A111" s="77" t="str">
        <f t="shared" ref="A111:A129" si="17">IF($A$68=2,B111,IF($A$68=3,C111,IF($A$68=4,D111,IF($A$68=5,E111,IF($A$68=6,F111,IF($A$68=7,G111,IF($A$68=8,H111,IF($A$68=9,I111," "))))))))</f>
        <v xml:space="preserve"> </v>
      </c>
      <c r="B111" s="517" t="s">
        <v>36</v>
      </c>
      <c r="C111" s="517" t="s">
        <v>36</v>
      </c>
      <c r="D111" s="517" t="s">
        <v>36</v>
      </c>
      <c r="E111" s="517" t="s">
        <v>36</v>
      </c>
      <c r="F111" s="77" t="s">
        <v>36</v>
      </c>
      <c r="G111" s="77" t="s">
        <v>36</v>
      </c>
      <c r="H111" s="517" t="s">
        <v>36</v>
      </c>
      <c r="I111" s="517" t="s">
        <v>36</v>
      </c>
    </row>
    <row r="112" spans="1:12">
      <c r="A112" s="77" t="str">
        <f t="shared" si="17"/>
        <v xml:space="preserve"> </v>
      </c>
      <c r="B112" s="517" t="s">
        <v>74</v>
      </c>
      <c r="C112" s="517" t="s">
        <v>74</v>
      </c>
      <c r="D112" s="517" t="s">
        <v>36</v>
      </c>
      <c r="E112" s="517" t="s">
        <v>36</v>
      </c>
      <c r="F112" s="77" t="s">
        <v>36</v>
      </c>
      <c r="G112" s="77" t="s">
        <v>36</v>
      </c>
      <c r="H112" s="517" t="s">
        <v>36</v>
      </c>
      <c r="I112" s="517" t="s">
        <v>36</v>
      </c>
    </row>
    <row r="113" spans="1:9">
      <c r="A113" s="77" t="str">
        <f t="shared" si="17"/>
        <v xml:space="preserve"> </v>
      </c>
      <c r="B113" s="517" t="s">
        <v>36</v>
      </c>
      <c r="C113" s="517" t="s">
        <v>36</v>
      </c>
      <c r="D113" s="517" t="s">
        <v>36</v>
      </c>
      <c r="E113" s="517" t="s">
        <v>36</v>
      </c>
      <c r="F113" s="77" t="s">
        <v>36</v>
      </c>
      <c r="G113" s="77" t="s">
        <v>36</v>
      </c>
      <c r="H113" s="517">
        <v>3000</v>
      </c>
      <c r="I113" s="517">
        <v>3000</v>
      </c>
    </row>
    <row r="114" spans="1:9">
      <c r="A114" s="77" t="str">
        <f t="shared" si="17"/>
        <v xml:space="preserve"> </v>
      </c>
      <c r="B114" s="517">
        <v>3005</v>
      </c>
      <c r="C114" s="517">
        <v>3005</v>
      </c>
      <c r="D114" s="517" t="s">
        <v>36</v>
      </c>
      <c r="E114" s="517" t="s">
        <v>36</v>
      </c>
      <c r="F114" s="77" t="s">
        <v>36</v>
      </c>
      <c r="G114" s="77" t="s">
        <v>36</v>
      </c>
      <c r="H114" s="517" t="s">
        <v>36</v>
      </c>
      <c r="I114" s="517">
        <v>3005</v>
      </c>
    </row>
    <row r="115" spans="1:9">
      <c r="A115" s="77" t="str">
        <f t="shared" si="17"/>
        <v xml:space="preserve"> </v>
      </c>
      <c r="B115" s="517" t="s">
        <v>36</v>
      </c>
      <c r="C115" s="517" t="s">
        <v>36</v>
      </c>
      <c r="D115" s="517" t="s">
        <v>36</v>
      </c>
      <c r="E115" s="517" t="s">
        <v>36</v>
      </c>
      <c r="F115" s="77" t="s">
        <v>36</v>
      </c>
      <c r="G115" s="77" t="s">
        <v>36</v>
      </c>
      <c r="H115" s="517" t="s">
        <v>36</v>
      </c>
      <c r="I115" s="517" t="s">
        <v>36</v>
      </c>
    </row>
    <row r="116" spans="1:9">
      <c r="A116" s="77" t="str">
        <f t="shared" si="17"/>
        <v xml:space="preserve"> </v>
      </c>
      <c r="B116" s="517">
        <v>3011</v>
      </c>
      <c r="C116" s="517">
        <v>3011</v>
      </c>
      <c r="D116" s="517" t="s">
        <v>36</v>
      </c>
      <c r="E116" s="517" t="s">
        <v>36</v>
      </c>
      <c r="F116" s="77" t="s">
        <v>36</v>
      </c>
      <c r="G116" s="77" t="s">
        <v>36</v>
      </c>
      <c r="H116" s="517" t="s">
        <v>36</v>
      </c>
      <c r="I116" s="517" t="s">
        <v>36</v>
      </c>
    </row>
    <row r="117" spans="1:9">
      <c r="A117" s="77" t="str">
        <f t="shared" si="17"/>
        <v xml:space="preserve"> </v>
      </c>
      <c r="B117" s="517" t="s">
        <v>36</v>
      </c>
      <c r="C117" s="517" t="s">
        <v>36</v>
      </c>
      <c r="D117" s="517" t="s">
        <v>36</v>
      </c>
      <c r="E117" s="517" t="s">
        <v>36</v>
      </c>
      <c r="F117" s="77" t="s">
        <v>36</v>
      </c>
      <c r="G117" s="77" t="s">
        <v>36</v>
      </c>
      <c r="H117" s="517" t="s">
        <v>36</v>
      </c>
      <c r="I117" s="517" t="s">
        <v>36</v>
      </c>
    </row>
    <row r="118" spans="1:9">
      <c r="A118" s="77" t="str">
        <f t="shared" si="17"/>
        <v xml:space="preserve"> </v>
      </c>
      <c r="B118" s="517">
        <v>5010</v>
      </c>
      <c r="C118" s="517">
        <v>5010</v>
      </c>
      <c r="D118" s="517" t="s">
        <v>36</v>
      </c>
      <c r="E118" s="517" t="s">
        <v>36</v>
      </c>
      <c r="F118" s="77" t="s">
        <v>36</v>
      </c>
      <c r="G118" s="77" t="s">
        <v>36</v>
      </c>
      <c r="H118" s="517" t="s">
        <v>36</v>
      </c>
      <c r="I118" s="517">
        <v>5010</v>
      </c>
    </row>
    <row r="119" spans="1:9">
      <c r="A119" s="77" t="str">
        <f t="shared" si="17"/>
        <v xml:space="preserve"> </v>
      </c>
      <c r="B119" s="517" t="s">
        <v>36</v>
      </c>
      <c r="C119" s="517" t="s">
        <v>36</v>
      </c>
      <c r="D119" s="517" t="s">
        <v>36</v>
      </c>
      <c r="E119" s="517" t="s">
        <v>36</v>
      </c>
      <c r="F119" s="77" t="s">
        <v>36</v>
      </c>
      <c r="G119" s="77" t="s">
        <v>36</v>
      </c>
      <c r="H119" s="517" t="s">
        <v>36</v>
      </c>
      <c r="I119" s="517" t="s">
        <v>36</v>
      </c>
    </row>
    <row r="120" spans="1:9">
      <c r="A120" s="77" t="str">
        <f t="shared" si="17"/>
        <v xml:space="preserve"> </v>
      </c>
      <c r="B120" s="517">
        <v>6020</v>
      </c>
      <c r="C120" s="517">
        <v>6020</v>
      </c>
      <c r="D120" s="517" t="s">
        <v>36</v>
      </c>
      <c r="E120" s="517" t="s">
        <v>36</v>
      </c>
      <c r="F120" s="77" t="s">
        <v>36</v>
      </c>
      <c r="G120" s="77" t="s">
        <v>36</v>
      </c>
      <c r="H120" s="517" t="s">
        <v>36</v>
      </c>
      <c r="I120" s="517">
        <v>6020</v>
      </c>
    </row>
    <row r="121" spans="1:9">
      <c r="A121" s="77" t="str">
        <f t="shared" si="17"/>
        <v xml:space="preserve"> </v>
      </c>
      <c r="B121" s="517">
        <v>7016</v>
      </c>
      <c r="C121" s="517">
        <v>7016</v>
      </c>
      <c r="D121" s="517">
        <v>7016</v>
      </c>
      <c r="E121" s="517">
        <v>7016</v>
      </c>
      <c r="F121" s="77" t="s">
        <v>36</v>
      </c>
      <c r="G121" s="77" t="s">
        <v>36</v>
      </c>
      <c r="H121" s="517" t="s">
        <v>36</v>
      </c>
      <c r="I121" s="517" t="s">
        <v>36</v>
      </c>
    </row>
    <row r="122" spans="1:9">
      <c r="A122" s="77" t="str">
        <f t="shared" si="17"/>
        <v xml:space="preserve"> </v>
      </c>
      <c r="B122" s="517">
        <v>7024</v>
      </c>
      <c r="C122" s="517">
        <v>7024</v>
      </c>
      <c r="D122" s="517">
        <v>7024</v>
      </c>
      <c r="E122" s="517">
        <v>7024</v>
      </c>
      <c r="F122" s="77" t="s">
        <v>36</v>
      </c>
      <c r="G122" s="77" t="s">
        <v>36</v>
      </c>
      <c r="H122" s="517" t="s">
        <v>36</v>
      </c>
      <c r="I122" s="517" t="s">
        <v>36</v>
      </c>
    </row>
    <row r="123" spans="1:9">
      <c r="A123" s="77" t="str">
        <f t="shared" si="17"/>
        <v xml:space="preserve"> </v>
      </c>
      <c r="B123" s="517">
        <v>8004</v>
      </c>
      <c r="C123" s="517">
        <v>8004</v>
      </c>
      <c r="D123" s="517" t="s">
        <v>36</v>
      </c>
      <c r="E123" s="517" t="s">
        <v>36</v>
      </c>
      <c r="F123" s="77" t="s">
        <v>36</v>
      </c>
      <c r="G123" s="77" t="s">
        <v>36</v>
      </c>
      <c r="H123" s="517" t="s">
        <v>36</v>
      </c>
      <c r="I123" s="517" t="s">
        <v>36</v>
      </c>
    </row>
    <row r="124" spans="1:9">
      <c r="A124" s="77" t="str">
        <f t="shared" si="17"/>
        <v xml:space="preserve"> </v>
      </c>
      <c r="B124" s="517" t="s">
        <v>36</v>
      </c>
      <c r="C124" s="517" t="s">
        <v>36</v>
      </c>
      <c r="D124" s="517" t="s">
        <v>36</v>
      </c>
      <c r="E124" s="517" t="s">
        <v>36</v>
      </c>
      <c r="F124" s="77" t="s">
        <v>36</v>
      </c>
      <c r="G124" s="77" t="s">
        <v>36</v>
      </c>
      <c r="H124" s="517" t="s">
        <v>36</v>
      </c>
      <c r="I124" s="517" t="s">
        <v>36</v>
      </c>
    </row>
    <row r="125" spans="1:9">
      <c r="A125" s="77" t="str">
        <f t="shared" si="17"/>
        <v xml:space="preserve"> </v>
      </c>
      <c r="B125" s="517">
        <v>8017</v>
      </c>
      <c r="C125" s="517">
        <v>8017</v>
      </c>
      <c r="D125" s="517">
        <v>8017</v>
      </c>
      <c r="E125" s="517">
        <v>8017</v>
      </c>
      <c r="F125" s="77" t="s">
        <v>36</v>
      </c>
      <c r="G125" s="77" t="s">
        <v>36</v>
      </c>
      <c r="H125" s="517" t="s">
        <v>36</v>
      </c>
      <c r="I125" s="517" t="s">
        <v>36</v>
      </c>
    </row>
    <row r="126" spans="1:9">
      <c r="A126" s="77" t="str">
        <f t="shared" si="17"/>
        <v xml:space="preserve"> </v>
      </c>
      <c r="B126" s="517">
        <v>8019</v>
      </c>
      <c r="C126" s="517">
        <v>8019</v>
      </c>
      <c r="D126" s="517">
        <v>8019</v>
      </c>
      <c r="E126" s="517">
        <v>8019</v>
      </c>
      <c r="F126" s="77" t="s">
        <v>36</v>
      </c>
      <c r="G126" s="77" t="s">
        <v>36</v>
      </c>
      <c r="H126" s="517" t="s">
        <v>36</v>
      </c>
      <c r="I126" s="517" t="s">
        <v>36</v>
      </c>
    </row>
    <row r="127" spans="1:9">
      <c r="A127" s="77" t="str">
        <f t="shared" si="17"/>
        <v xml:space="preserve"> </v>
      </c>
      <c r="B127" s="517" t="s">
        <v>36</v>
      </c>
      <c r="C127" s="517" t="s">
        <v>36</v>
      </c>
      <c r="D127" s="517" t="s">
        <v>36</v>
      </c>
      <c r="E127" s="517" t="s">
        <v>36</v>
      </c>
      <c r="F127" s="77" t="s">
        <v>36</v>
      </c>
      <c r="G127" s="77" t="s">
        <v>36</v>
      </c>
      <c r="H127" s="517" t="s">
        <v>36</v>
      </c>
      <c r="I127" s="517" t="s">
        <v>36</v>
      </c>
    </row>
    <row r="128" spans="1:9">
      <c r="A128" s="77" t="str">
        <f t="shared" si="17"/>
        <v xml:space="preserve"> </v>
      </c>
      <c r="B128" s="517">
        <v>9005</v>
      </c>
      <c r="C128" s="517">
        <v>9005</v>
      </c>
      <c r="D128" s="517" t="s">
        <v>36</v>
      </c>
      <c r="E128" s="517" t="s">
        <v>36</v>
      </c>
      <c r="F128" s="77" t="s">
        <v>36</v>
      </c>
      <c r="G128" s="77" t="s">
        <v>36</v>
      </c>
      <c r="H128" s="517" t="s">
        <v>36</v>
      </c>
      <c r="I128" s="517" t="s">
        <v>36</v>
      </c>
    </row>
    <row r="129" spans="1:12">
      <c r="A129" s="77" t="str">
        <f t="shared" si="17"/>
        <v xml:space="preserve"> </v>
      </c>
      <c r="B129" s="77" t="s">
        <v>36</v>
      </c>
      <c r="C129" s="77" t="s">
        <v>36</v>
      </c>
      <c r="D129" s="77" t="s">
        <v>36</v>
      </c>
      <c r="E129" s="77" t="s">
        <v>36</v>
      </c>
      <c r="F129" s="77" t="s">
        <v>36</v>
      </c>
      <c r="G129" s="77" t="s">
        <v>36</v>
      </c>
      <c r="H129" s="517">
        <v>9006</v>
      </c>
      <c r="I129" s="517">
        <v>9006</v>
      </c>
    </row>
    <row r="131" spans="1:12" s="516" customFormat="1">
      <c r="A131" s="516">
        <f>INDEX(A133:A136,A132)</f>
        <v>0</v>
      </c>
      <c r="B131" s="516">
        <f>INDEX(A139:A150,A138)</f>
        <v>0</v>
      </c>
      <c r="C131" s="516" t="str">
        <f>INDEX(A153:A169,A152)</f>
        <v xml:space="preserve"> </v>
      </c>
      <c r="D131" s="516" t="str">
        <f>A131&amp;" "&amp;B131</f>
        <v>0 0</v>
      </c>
      <c r="E131" s="516">
        <f>IFERROR(VLOOKUP(D131,In!$A$2:$F$8018,6,FALSE),0)</f>
        <v>0</v>
      </c>
      <c r="F131" s="516" t="str">
        <f>D131&amp;" "&amp;C131</f>
        <v xml:space="preserve">0 0  </v>
      </c>
    </row>
    <row r="132" spans="1:12">
      <c r="A132">
        <v>1</v>
      </c>
      <c r="B132" s="77" t="str">
        <f>IF(A132=2,B134,IF(A132=3,B135,IF(A132=4,B136," ")))</f>
        <v xml:space="preserve"> </v>
      </c>
    </row>
    <row r="133" spans="1:12" s="77" customFormat="1"/>
    <row r="134" spans="1:12">
      <c r="A134" s="77" t="s">
        <v>1670</v>
      </c>
      <c r="B134" s="77">
        <v>105</v>
      </c>
    </row>
    <row r="135" spans="1:12">
      <c r="A135" s="77" t="s">
        <v>1709</v>
      </c>
      <c r="B135" s="77">
        <v>91</v>
      </c>
    </row>
    <row r="136" spans="1:12">
      <c r="A136" s="77" t="s">
        <v>3146</v>
      </c>
      <c r="B136" s="77">
        <v>91</v>
      </c>
    </row>
    <row r="137" spans="1:12">
      <c r="A137" s="518"/>
    </row>
    <row r="138" spans="1:12">
      <c r="A138">
        <v>1</v>
      </c>
      <c r="B138" s="77" t="str">
        <f>A134</f>
        <v>Sipca Rotunda</v>
      </c>
      <c r="C138" t="str">
        <f>A135</f>
        <v>Sipca Dreapta</v>
      </c>
      <c r="D138" t="str">
        <f>A136</f>
        <v>Sipca Dreapta ( drept la ambele capete )</v>
      </c>
    </row>
    <row r="139" spans="1:12">
      <c r="A139" s="515"/>
      <c r="B139" s="515"/>
      <c r="C139" s="515"/>
      <c r="D139" s="515"/>
      <c r="E139" s="515"/>
      <c r="F139" s="515"/>
      <c r="G139" s="515"/>
      <c r="H139" s="515"/>
      <c r="I139" s="515"/>
      <c r="J139" s="515"/>
      <c r="K139" s="515"/>
      <c r="L139" s="515"/>
    </row>
    <row r="140" spans="1:12">
      <c r="A140" s="515" t="s">
        <v>367</v>
      </c>
      <c r="B140" s="515" t="s">
        <v>367</v>
      </c>
      <c r="C140" s="515" t="s">
        <v>367</v>
      </c>
      <c r="D140" s="515" t="s">
        <v>367</v>
      </c>
      <c r="E140" s="515"/>
      <c r="F140" s="515"/>
      <c r="G140" s="515" t="str">
        <f>$A$136&amp;" "&amp;B140</f>
        <v>Sipca Dreapta ( drept la ambele capete ) LUCIOS 0.4</v>
      </c>
      <c r="H140" s="515"/>
      <c r="I140" s="515"/>
      <c r="J140" s="515"/>
      <c r="K140" s="515"/>
      <c r="L140" s="515"/>
    </row>
    <row r="141" spans="1:12">
      <c r="A141" s="515" t="s">
        <v>368</v>
      </c>
      <c r="B141" s="515" t="s">
        <v>368</v>
      </c>
      <c r="C141" s="515" t="s">
        <v>368</v>
      </c>
      <c r="D141" s="515" t="s">
        <v>368</v>
      </c>
      <c r="E141" s="515"/>
      <c r="F141" s="515"/>
      <c r="G141" s="515" t="str">
        <f t="shared" ref="G141:G150" si="18">$A$136&amp;" "&amp;B141</f>
        <v>Sipca Dreapta ( drept la ambele capete ) LUCIOS 0.45</v>
      </c>
      <c r="H141" s="515"/>
      <c r="I141" s="515"/>
      <c r="J141" s="515"/>
      <c r="K141" s="515"/>
      <c r="L141" s="515"/>
    </row>
    <row r="142" spans="1:12">
      <c r="A142" s="515" t="s">
        <v>369</v>
      </c>
      <c r="B142" s="515" t="s">
        <v>369</v>
      </c>
      <c r="C142" s="515" t="s">
        <v>369</v>
      </c>
      <c r="D142" s="515" t="s">
        <v>369</v>
      </c>
      <c r="E142" s="515"/>
      <c r="F142" s="515"/>
      <c r="G142" s="515" t="str">
        <f t="shared" si="18"/>
        <v>Sipca Dreapta ( drept la ambele capete ) LUCIOS 0.5</v>
      </c>
      <c r="H142" s="515"/>
      <c r="I142" s="515"/>
      <c r="J142" s="515"/>
      <c r="K142" s="515"/>
      <c r="L142" s="515"/>
    </row>
    <row r="143" spans="1:12">
      <c r="A143" s="515" t="s">
        <v>371</v>
      </c>
      <c r="B143" s="515" t="s">
        <v>371</v>
      </c>
      <c r="C143" s="515" t="s">
        <v>371</v>
      </c>
      <c r="D143" s="515" t="s">
        <v>371</v>
      </c>
      <c r="E143" s="515"/>
      <c r="F143" s="515"/>
      <c r="G143" s="515" t="str">
        <f t="shared" si="18"/>
        <v>Sipca Dreapta ( drept la ambele capete ) MAT 0.45</v>
      </c>
      <c r="H143" s="515"/>
      <c r="I143" s="515"/>
      <c r="J143" s="515"/>
      <c r="K143" s="515"/>
      <c r="L143" s="515"/>
    </row>
    <row r="144" spans="1:12">
      <c r="A144" s="515" t="s">
        <v>372</v>
      </c>
      <c r="B144" s="515" t="s">
        <v>372</v>
      </c>
      <c r="C144" s="515" t="s">
        <v>372</v>
      </c>
      <c r="D144" s="515" t="s">
        <v>372</v>
      </c>
      <c r="E144" s="515"/>
      <c r="F144" s="515"/>
      <c r="G144" s="515" t="str">
        <f t="shared" si="18"/>
        <v>Sipca Dreapta ( drept la ambele capete ) MAT 0.5</v>
      </c>
      <c r="H144" s="515"/>
      <c r="I144" s="515"/>
      <c r="J144" s="515"/>
      <c r="K144" s="515"/>
      <c r="L144" s="515"/>
    </row>
    <row r="145" spans="1:12">
      <c r="A145" s="515" t="s">
        <v>374</v>
      </c>
      <c r="B145" s="515" t="s">
        <v>374</v>
      </c>
      <c r="C145" s="515" t="s">
        <v>374</v>
      </c>
      <c r="D145" s="515" t="s">
        <v>374</v>
      </c>
      <c r="E145" s="515"/>
      <c r="F145" s="515"/>
      <c r="G145" s="515" t="str">
        <f t="shared" si="18"/>
        <v>Sipca Dreapta ( drept la ambele capete ) NEOMAT 30 0.5</v>
      </c>
      <c r="H145" s="515"/>
      <c r="I145" s="515"/>
      <c r="J145" s="515"/>
      <c r="K145" s="515"/>
      <c r="L145" s="515"/>
    </row>
    <row r="146" spans="1:12">
      <c r="A146" s="515" t="s">
        <v>545</v>
      </c>
      <c r="B146" s="515" t="s">
        <v>545</v>
      </c>
      <c r="C146" s="515" t="s">
        <v>545</v>
      </c>
      <c r="D146" s="515" t="s">
        <v>545</v>
      </c>
      <c r="E146" s="515"/>
      <c r="F146" s="515"/>
      <c r="G146" s="515" t="str">
        <f t="shared" si="18"/>
        <v>Sipca Dreapta ( drept la ambele capete ) Aluzinc 0.5</v>
      </c>
      <c r="H146" s="515"/>
      <c r="I146" s="515"/>
      <c r="J146" s="515"/>
      <c r="K146" s="515"/>
      <c r="L146" s="515"/>
    </row>
    <row r="147" spans="1:12">
      <c r="A147" s="77" t="s">
        <v>3147</v>
      </c>
      <c r="B147" s="77" t="s">
        <v>3147</v>
      </c>
      <c r="C147" s="77" t="s">
        <v>3147</v>
      </c>
      <c r="D147" s="77" t="s">
        <v>3147</v>
      </c>
      <c r="E147" s="515"/>
      <c r="F147" s="515"/>
      <c r="G147" s="515" t="str">
        <f t="shared" si="18"/>
        <v>Sipca Dreapta ( drept la ambele capete ) MAT DUBLU PREVOPSIT 0.5</v>
      </c>
      <c r="H147" s="515"/>
      <c r="I147" s="515"/>
      <c r="J147" s="515"/>
      <c r="K147" s="515"/>
      <c r="L147" s="515"/>
    </row>
    <row r="148" spans="1:12">
      <c r="A148" s="77" t="s">
        <v>3167</v>
      </c>
      <c r="B148" s="77" t="s">
        <v>3209</v>
      </c>
      <c r="C148" s="77" t="s">
        <v>3209</v>
      </c>
      <c r="D148" s="77" t="s">
        <v>3209</v>
      </c>
      <c r="E148" s="515"/>
      <c r="F148" s="515"/>
      <c r="G148" s="515" t="str">
        <f t="shared" si="18"/>
        <v>Sipca Dreapta ( drept la ambele capete ) LUCIOS DUBLU PREVOPSIT 0.5</v>
      </c>
      <c r="H148" s="515"/>
      <c r="I148" s="515"/>
      <c r="J148" s="515"/>
      <c r="K148" s="515"/>
      <c r="L148" s="515"/>
    </row>
    <row r="149" spans="1:12">
      <c r="A149" s="515" t="s">
        <v>3148</v>
      </c>
      <c r="B149" s="515" t="s">
        <v>3148</v>
      </c>
      <c r="C149" s="515" t="s">
        <v>3148</v>
      </c>
      <c r="D149" s="515" t="s">
        <v>3148</v>
      </c>
      <c r="E149" s="515"/>
      <c r="F149" s="515"/>
      <c r="G149" s="515" t="str">
        <f t="shared" si="18"/>
        <v>Sipca Dreapta ( drept la ambele capete ) Imitatie Lemn SP</v>
      </c>
      <c r="H149" s="515"/>
      <c r="I149" s="515"/>
      <c r="J149" s="515"/>
      <c r="K149" s="515"/>
      <c r="L149" s="515"/>
    </row>
    <row r="150" spans="1:12">
      <c r="A150" s="515" t="s">
        <v>506</v>
      </c>
      <c r="B150" s="515" t="s">
        <v>506</v>
      </c>
      <c r="C150" s="515" t="s">
        <v>506</v>
      </c>
      <c r="D150" s="515" t="s">
        <v>506</v>
      </c>
      <c r="E150" s="515"/>
      <c r="F150" s="515"/>
      <c r="G150" s="515" t="str">
        <f t="shared" si="18"/>
        <v>Sipca Dreapta ( drept la ambele capete ) Imitatie Lemn DP</v>
      </c>
      <c r="H150" s="515"/>
      <c r="I150" s="515"/>
      <c r="J150" s="515"/>
      <c r="K150" s="515"/>
      <c r="L150" s="515"/>
    </row>
    <row r="151" spans="1:12">
      <c r="A151" s="515"/>
      <c r="B151" s="515"/>
      <c r="C151" s="515"/>
      <c r="D151" s="515"/>
      <c r="E151" s="515"/>
      <c r="F151" s="515"/>
      <c r="G151" s="515"/>
      <c r="H151" s="515"/>
      <c r="I151" s="515"/>
      <c r="J151" s="515"/>
      <c r="K151" s="515"/>
      <c r="L151" s="515"/>
    </row>
    <row r="152" spans="1:12">
      <c r="A152" s="515">
        <v>1</v>
      </c>
      <c r="B152" s="77" t="str">
        <f>A140</f>
        <v>LUCIOS 0.4</v>
      </c>
      <c r="C152" s="515" t="str">
        <f>A141</f>
        <v>LUCIOS 0.45</v>
      </c>
      <c r="D152" s="515" t="str">
        <f>A142</f>
        <v>LUCIOS 0.5</v>
      </c>
      <c r="E152" s="515" t="str">
        <f>A143</f>
        <v>MAT 0.45</v>
      </c>
      <c r="F152" s="515" t="str">
        <f>A144</f>
        <v>MAT 0.5</v>
      </c>
      <c r="G152" s="515" t="str">
        <f>A145</f>
        <v>NEOMAT 30 0.5</v>
      </c>
      <c r="H152" s="515" t="str">
        <f>A146</f>
        <v>Aluzinc 0.5</v>
      </c>
      <c r="I152" s="515" t="str">
        <f>A147</f>
        <v>MAT DUBLU PREVOPSIT 0.5</v>
      </c>
      <c r="J152" s="515" t="str">
        <f>A148</f>
        <v>LUCIOS DUBLU PREVOPSIT 0.6</v>
      </c>
      <c r="K152" s="515" t="str">
        <f>A149</f>
        <v>Imitatie Lemn SP</v>
      </c>
      <c r="L152" s="515" t="str">
        <f>A150</f>
        <v>Imitatie Lemn DP</v>
      </c>
    </row>
    <row r="153" spans="1:12">
      <c r="A153" s="515" t="s">
        <v>36</v>
      </c>
      <c r="B153" s="515" t="s">
        <v>36</v>
      </c>
      <c r="C153" s="515" t="s">
        <v>36</v>
      </c>
      <c r="D153" s="515" t="s">
        <v>36</v>
      </c>
      <c r="E153" s="515" t="s">
        <v>36</v>
      </c>
      <c r="F153" s="515"/>
      <c r="G153" s="515"/>
      <c r="H153" s="515"/>
      <c r="I153" s="515"/>
      <c r="J153" s="515"/>
      <c r="K153" s="515"/>
      <c r="L153" s="515"/>
    </row>
    <row r="154" spans="1:12" s="77" customFormat="1">
      <c r="A154" s="515" t="str">
        <f>IF($A$138=2,B154,IF($A$138=3,C154,IF($A$138=4,D154,IF($A$138=5,E154,IF($A$138=6,F154,IF($A$138=7,G154,IF($A$138=8,H154,IF($A$138=9,I154,IF($A$138=10,J154,IF($A$138=11,K154,IF($A$138=12,L154," ")))))))))))</f>
        <v xml:space="preserve"> </v>
      </c>
      <c r="B154" s="515" t="s">
        <v>36</v>
      </c>
      <c r="C154" s="515" t="s">
        <v>36</v>
      </c>
      <c r="D154" s="515" t="s">
        <v>36</v>
      </c>
      <c r="E154" s="515" t="s">
        <v>36</v>
      </c>
      <c r="F154" s="515" t="s">
        <v>36</v>
      </c>
      <c r="G154" s="515" t="s">
        <v>36</v>
      </c>
      <c r="H154" s="515" t="s">
        <v>3165</v>
      </c>
      <c r="I154" s="515" t="s">
        <v>36</v>
      </c>
      <c r="J154" s="515" t="s">
        <v>36</v>
      </c>
      <c r="K154" s="515" t="s">
        <v>2981</v>
      </c>
      <c r="L154" s="515" t="s">
        <v>3166</v>
      </c>
    </row>
    <row r="155" spans="1:12" s="77" customFormat="1">
      <c r="A155" s="515" t="str">
        <f t="shared" ref="A155:A169" si="19">IF($A$138=2,B155,IF($A$138=3,C155,IF($A$138=4,D155,IF($A$138=5,E155,IF($A$138=6,F155,IF($A$138=7,G155,IF($A$138=8,H155,IF($A$138=9,I155,IF($A$138=10,J155,IF($A$138=11,K155,IF($A$138=12,L155," ")))))))))))</f>
        <v xml:space="preserve"> </v>
      </c>
      <c r="B155" s="515" t="s">
        <v>36</v>
      </c>
      <c r="C155" s="515" t="s">
        <v>36</v>
      </c>
      <c r="D155" s="515" t="s">
        <v>36</v>
      </c>
      <c r="E155" s="515" t="s">
        <v>36</v>
      </c>
      <c r="F155" s="515" t="s">
        <v>36</v>
      </c>
      <c r="G155" s="515" t="s">
        <v>36</v>
      </c>
      <c r="H155" s="515" t="s">
        <v>36</v>
      </c>
      <c r="I155" s="515" t="s">
        <v>36</v>
      </c>
      <c r="J155" s="515" t="s">
        <v>36</v>
      </c>
      <c r="K155" s="515" t="s">
        <v>2983</v>
      </c>
      <c r="L155" s="515" t="s">
        <v>36</v>
      </c>
    </row>
    <row r="156" spans="1:12">
      <c r="A156" s="515" t="str">
        <f t="shared" si="19"/>
        <v xml:space="preserve"> </v>
      </c>
      <c r="B156" s="515" t="s">
        <v>36</v>
      </c>
      <c r="C156" s="515" t="s">
        <v>36</v>
      </c>
      <c r="D156" s="515" t="s">
        <v>12</v>
      </c>
      <c r="E156" s="515" t="s">
        <v>36</v>
      </c>
      <c r="F156" s="515" t="s">
        <v>13</v>
      </c>
      <c r="G156" s="515" t="s">
        <v>36</v>
      </c>
      <c r="H156" s="515" t="s">
        <v>36</v>
      </c>
      <c r="I156" s="515" t="s">
        <v>36</v>
      </c>
      <c r="J156" s="515" t="s">
        <v>3154</v>
      </c>
      <c r="K156" s="515" t="s">
        <v>36</v>
      </c>
      <c r="L156" s="515" t="s">
        <v>36</v>
      </c>
    </row>
    <row r="157" spans="1:12">
      <c r="A157" s="515" t="str">
        <f t="shared" si="19"/>
        <v xml:space="preserve"> </v>
      </c>
      <c r="B157" s="515" t="s">
        <v>36</v>
      </c>
      <c r="C157" s="515" t="s">
        <v>36</v>
      </c>
      <c r="D157" s="515" t="s">
        <v>14</v>
      </c>
      <c r="E157" s="515" t="s">
        <v>36</v>
      </c>
      <c r="F157" s="515" t="s">
        <v>36</v>
      </c>
      <c r="G157" s="515" t="s">
        <v>36</v>
      </c>
      <c r="H157" s="515" t="s">
        <v>36</v>
      </c>
      <c r="I157" s="515" t="s">
        <v>36</v>
      </c>
      <c r="J157" s="515" t="s">
        <v>3155</v>
      </c>
      <c r="K157" s="515" t="s">
        <v>36</v>
      </c>
      <c r="L157" s="515" t="s">
        <v>36</v>
      </c>
    </row>
    <row r="158" spans="1:12">
      <c r="A158" s="515" t="str">
        <f t="shared" si="19"/>
        <v xml:space="preserve"> </v>
      </c>
      <c r="B158" s="515" t="s">
        <v>16</v>
      </c>
      <c r="C158" s="515" t="s">
        <v>36</v>
      </c>
      <c r="D158" s="515" t="s">
        <v>16</v>
      </c>
      <c r="E158" s="515" t="s">
        <v>36</v>
      </c>
      <c r="F158" s="515" t="s">
        <v>17</v>
      </c>
      <c r="G158" s="515" t="s">
        <v>36</v>
      </c>
      <c r="H158" s="515" t="s">
        <v>36</v>
      </c>
      <c r="I158" s="515" t="s">
        <v>36</v>
      </c>
      <c r="J158" s="515" t="s">
        <v>3156</v>
      </c>
      <c r="K158" s="515" t="s">
        <v>36</v>
      </c>
      <c r="L158" s="515" t="s">
        <v>36</v>
      </c>
    </row>
    <row r="159" spans="1:12">
      <c r="A159" s="515" t="str">
        <f t="shared" si="19"/>
        <v xml:space="preserve"> </v>
      </c>
      <c r="B159" s="515" t="s">
        <v>36</v>
      </c>
      <c r="C159" s="515" t="s">
        <v>36</v>
      </c>
      <c r="D159" s="515" t="s">
        <v>36</v>
      </c>
      <c r="E159" s="515" t="s">
        <v>36</v>
      </c>
      <c r="F159" s="515" t="s">
        <v>36</v>
      </c>
      <c r="G159" s="515" t="s">
        <v>36</v>
      </c>
      <c r="H159" s="515" t="s">
        <v>36</v>
      </c>
      <c r="I159" s="515" t="s">
        <v>36</v>
      </c>
      <c r="J159" s="515" t="s">
        <v>36</v>
      </c>
      <c r="K159" s="515" t="s">
        <v>36</v>
      </c>
      <c r="L159" s="515" t="s">
        <v>36</v>
      </c>
    </row>
    <row r="160" spans="1:12">
      <c r="A160" s="515" t="str">
        <f t="shared" si="19"/>
        <v xml:space="preserve"> </v>
      </c>
      <c r="B160" s="515" t="s">
        <v>36</v>
      </c>
      <c r="C160" s="515" t="s">
        <v>36</v>
      </c>
      <c r="D160" s="515" t="s">
        <v>19</v>
      </c>
      <c r="E160" s="515" t="s">
        <v>36</v>
      </c>
      <c r="F160" s="515" t="s">
        <v>20</v>
      </c>
      <c r="G160" s="515" t="s">
        <v>36</v>
      </c>
      <c r="H160" s="515" t="s">
        <v>36</v>
      </c>
      <c r="I160" s="515" t="s">
        <v>36</v>
      </c>
      <c r="J160" s="515" t="s">
        <v>36</v>
      </c>
      <c r="K160" s="515" t="s">
        <v>36</v>
      </c>
      <c r="L160" s="515" t="s">
        <v>36</v>
      </c>
    </row>
    <row r="161" spans="1:13">
      <c r="A161" s="515" t="str">
        <f t="shared" si="19"/>
        <v xml:space="preserve"> </v>
      </c>
      <c r="B161" s="515" t="s">
        <v>36</v>
      </c>
      <c r="C161" s="515" t="s">
        <v>36</v>
      </c>
      <c r="D161" s="515" t="s">
        <v>36</v>
      </c>
      <c r="E161" s="515" t="s">
        <v>36</v>
      </c>
      <c r="F161" s="515" t="s">
        <v>22</v>
      </c>
      <c r="G161" s="77" t="s">
        <v>36</v>
      </c>
      <c r="H161" s="77" t="s">
        <v>36</v>
      </c>
      <c r="I161" s="77" t="s">
        <v>36</v>
      </c>
      <c r="J161" s="515" t="s">
        <v>3157</v>
      </c>
      <c r="K161" s="77" t="s">
        <v>36</v>
      </c>
      <c r="L161" s="77" t="s">
        <v>36</v>
      </c>
    </row>
    <row r="162" spans="1:13">
      <c r="A162" s="515" t="str">
        <f t="shared" si="19"/>
        <v xml:space="preserve"> </v>
      </c>
      <c r="B162" s="515" t="s">
        <v>308</v>
      </c>
      <c r="C162" s="515" t="s">
        <v>36</v>
      </c>
      <c r="D162" s="515" t="s">
        <v>308</v>
      </c>
      <c r="E162" s="515" t="s">
        <v>275</v>
      </c>
      <c r="F162" s="515" t="s">
        <v>275</v>
      </c>
      <c r="G162" s="77" t="s">
        <v>36</v>
      </c>
      <c r="H162" s="77" t="s">
        <v>36</v>
      </c>
      <c r="I162" s="515" t="s">
        <v>3151</v>
      </c>
      <c r="J162" s="515" t="s">
        <v>3158</v>
      </c>
      <c r="K162" s="77" t="s">
        <v>36</v>
      </c>
      <c r="L162" s="77" t="s">
        <v>36</v>
      </c>
    </row>
    <row r="163" spans="1:13">
      <c r="A163" s="515" t="str">
        <f t="shared" si="19"/>
        <v xml:space="preserve"> </v>
      </c>
      <c r="B163" s="515" t="s">
        <v>36</v>
      </c>
      <c r="C163" s="515" t="s">
        <v>23</v>
      </c>
      <c r="D163" s="515" t="s">
        <v>23</v>
      </c>
      <c r="E163" s="515" t="s">
        <v>24</v>
      </c>
      <c r="F163" s="515" t="s">
        <v>24</v>
      </c>
      <c r="G163" s="515" t="s">
        <v>3150</v>
      </c>
      <c r="H163" s="77" t="s">
        <v>36</v>
      </c>
      <c r="I163" s="515" t="s">
        <v>36</v>
      </c>
      <c r="J163" s="515" t="s">
        <v>3159</v>
      </c>
      <c r="K163" s="77" t="s">
        <v>36</v>
      </c>
      <c r="L163" s="77" t="s">
        <v>36</v>
      </c>
    </row>
    <row r="164" spans="1:13">
      <c r="A164" s="515" t="str">
        <f t="shared" si="19"/>
        <v xml:space="preserve"> </v>
      </c>
      <c r="B164" s="515" t="s">
        <v>36</v>
      </c>
      <c r="C164" s="515" t="s">
        <v>36</v>
      </c>
      <c r="D164" s="515" t="s">
        <v>25</v>
      </c>
      <c r="E164" s="515" t="s">
        <v>36</v>
      </c>
      <c r="F164" s="515" t="s">
        <v>26</v>
      </c>
      <c r="G164" s="77" t="s">
        <v>36</v>
      </c>
      <c r="H164" s="77" t="s">
        <v>36</v>
      </c>
      <c r="I164" s="77" t="s">
        <v>36</v>
      </c>
      <c r="J164" s="515" t="s">
        <v>3160</v>
      </c>
      <c r="K164" s="77" t="s">
        <v>36</v>
      </c>
      <c r="L164" s="77" t="s">
        <v>36</v>
      </c>
    </row>
    <row r="165" spans="1:13">
      <c r="A165" s="515" t="str">
        <f t="shared" si="19"/>
        <v xml:space="preserve"> </v>
      </c>
      <c r="B165" s="515" t="s">
        <v>28</v>
      </c>
      <c r="C165" s="515" t="s">
        <v>28</v>
      </c>
      <c r="D165" s="515" t="s">
        <v>28</v>
      </c>
      <c r="E165" s="515" t="s">
        <v>29</v>
      </c>
      <c r="F165" s="515" t="s">
        <v>29</v>
      </c>
      <c r="G165" s="77" t="s">
        <v>36</v>
      </c>
      <c r="H165" s="77" t="s">
        <v>36</v>
      </c>
      <c r="I165" s="515" t="s">
        <v>3152</v>
      </c>
      <c r="J165" s="515" t="s">
        <v>3161</v>
      </c>
      <c r="K165" s="77" t="s">
        <v>36</v>
      </c>
      <c r="L165" s="77" t="s">
        <v>36</v>
      </c>
    </row>
    <row r="166" spans="1:13">
      <c r="A166" s="515" t="str">
        <f t="shared" si="19"/>
        <v xml:space="preserve"> </v>
      </c>
      <c r="B166" s="515" t="s">
        <v>36</v>
      </c>
      <c r="C166" s="515" t="s">
        <v>36</v>
      </c>
      <c r="D166" s="515" t="s">
        <v>36</v>
      </c>
      <c r="E166" s="515" t="s">
        <v>31</v>
      </c>
      <c r="F166" s="515" t="s">
        <v>31</v>
      </c>
      <c r="G166" s="515" t="s">
        <v>3149</v>
      </c>
      <c r="H166" s="77" t="s">
        <v>36</v>
      </c>
      <c r="I166" s="77" t="s">
        <v>36</v>
      </c>
      <c r="J166" s="515" t="s">
        <v>3162</v>
      </c>
      <c r="K166" s="77" t="s">
        <v>36</v>
      </c>
      <c r="L166" s="77" t="s">
        <v>36</v>
      </c>
    </row>
    <row r="167" spans="1:13">
      <c r="A167" s="515" t="str">
        <f t="shared" si="19"/>
        <v xml:space="preserve"> </v>
      </c>
      <c r="B167" s="515" t="s">
        <v>36</v>
      </c>
      <c r="C167" s="515" t="s">
        <v>32</v>
      </c>
      <c r="D167" s="515" t="s">
        <v>32</v>
      </c>
      <c r="E167" s="515" t="s">
        <v>36</v>
      </c>
      <c r="F167" s="515" t="s">
        <v>36</v>
      </c>
      <c r="G167" s="77" t="s">
        <v>36</v>
      </c>
      <c r="H167" s="77" t="s">
        <v>36</v>
      </c>
      <c r="I167" s="77" t="s">
        <v>36</v>
      </c>
      <c r="J167" s="515" t="s">
        <v>36</v>
      </c>
      <c r="K167" s="77" t="s">
        <v>36</v>
      </c>
      <c r="L167" s="77" t="s">
        <v>36</v>
      </c>
    </row>
    <row r="168" spans="1:13">
      <c r="A168" s="515" t="str">
        <f t="shared" si="19"/>
        <v xml:space="preserve"> </v>
      </c>
      <c r="B168" s="515" t="s">
        <v>36</v>
      </c>
      <c r="C168" s="515" t="s">
        <v>36</v>
      </c>
      <c r="D168" s="515" t="s">
        <v>36</v>
      </c>
      <c r="E168" s="515" t="s">
        <v>34</v>
      </c>
      <c r="F168" s="515" t="s">
        <v>34</v>
      </c>
      <c r="G168" s="77" t="s">
        <v>36</v>
      </c>
      <c r="H168" s="77" t="s">
        <v>36</v>
      </c>
      <c r="I168" s="515" t="s">
        <v>3153</v>
      </c>
      <c r="J168" s="515" t="s">
        <v>3163</v>
      </c>
      <c r="K168" s="77" t="s">
        <v>36</v>
      </c>
      <c r="L168" s="77" t="s">
        <v>36</v>
      </c>
    </row>
    <row r="169" spans="1:13">
      <c r="A169" s="515" t="str">
        <f t="shared" si="19"/>
        <v xml:space="preserve"> </v>
      </c>
      <c r="B169" s="515" t="s">
        <v>36</v>
      </c>
      <c r="C169" s="515" t="s">
        <v>35</v>
      </c>
      <c r="D169" s="515" t="s">
        <v>35</v>
      </c>
      <c r="E169" s="77" t="s">
        <v>36</v>
      </c>
      <c r="F169" s="77" t="s">
        <v>36</v>
      </c>
      <c r="G169" s="77" t="s">
        <v>36</v>
      </c>
      <c r="H169" s="77" t="s">
        <v>36</v>
      </c>
      <c r="I169" s="77" t="s">
        <v>36</v>
      </c>
      <c r="J169" s="515" t="s">
        <v>3164</v>
      </c>
      <c r="K169" s="77" t="s">
        <v>36</v>
      </c>
      <c r="L169" s="77" t="s">
        <v>36</v>
      </c>
      <c r="M169" s="77" t="s">
        <v>36</v>
      </c>
    </row>
    <row r="170" spans="1:13">
      <c r="B170" s="515" t="s">
        <v>36</v>
      </c>
      <c r="C170" s="515" t="s">
        <v>36</v>
      </c>
      <c r="E170" s="515" t="s">
        <v>36</v>
      </c>
      <c r="H170" s="77" t="s">
        <v>36</v>
      </c>
      <c r="I170" s="77" t="s">
        <v>36</v>
      </c>
      <c r="J170" s="77" t="s">
        <v>36</v>
      </c>
      <c r="K170" s="515"/>
      <c r="L170" s="77" t="s">
        <v>36</v>
      </c>
    </row>
    <row r="171" spans="1:13">
      <c r="E171" s="515" t="s">
        <v>36</v>
      </c>
      <c r="K171" s="515"/>
    </row>
  </sheetData>
  <mergeCells count="22">
    <mergeCell ref="M34:N34"/>
    <mergeCell ref="O34:P34"/>
    <mergeCell ref="Q34:R34"/>
    <mergeCell ref="S34:T34"/>
    <mergeCell ref="U34:V34"/>
    <mergeCell ref="W34:X34"/>
    <mergeCell ref="O16:P16"/>
    <mergeCell ref="Q16:R16"/>
    <mergeCell ref="S16:T16"/>
    <mergeCell ref="U16:V16"/>
    <mergeCell ref="W16:X16"/>
    <mergeCell ref="C34:D34"/>
    <mergeCell ref="E34:F34"/>
    <mergeCell ref="G34:H34"/>
    <mergeCell ref="I34:J34"/>
    <mergeCell ref="K34:L34"/>
    <mergeCell ref="M16:N16"/>
    <mergeCell ref="C16:D16"/>
    <mergeCell ref="E16:F16"/>
    <mergeCell ref="G16:H16"/>
    <mergeCell ref="I16:J16"/>
    <mergeCell ref="K16:L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C2052"/>
  <sheetViews>
    <sheetView topLeftCell="B455" workbookViewId="0">
      <selection activeCell="M480" sqref="M480"/>
    </sheetView>
  </sheetViews>
  <sheetFormatPr defaultColWidth="9.109375" defaultRowHeight="14.4"/>
  <cols>
    <col min="1" max="1" width="9.109375" style="507"/>
    <col min="2" max="2" width="36.6640625" style="146" customWidth="1"/>
    <col min="3" max="3" width="40.44140625" style="146" customWidth="1"/>
    <col min="4" max="4" width="14.6640625" style="146" customWidth="1"/>
    <col min="5" max="5" width="15.109375" style="146" customWidth="1"/>
    <col min="6" max="6" width="9.109375" style="146"/>
    <col min="7" max="7" width="12" style="146" customWidth="1"/>
    <col min="8" max="8" width="11.33203125" style="146" customWidth="1"/>
    <col min="9" max="9" width="11.5546875" style="146" customWidth="1"/>
    <col min="10" max="10" width="10" style="146" customWidth="1"/>
    <col min="11" max="11" width="14.5546875" style="146" customWidth="1"/>
    <col min="12" max="12" width="17" style="146" customWidth="1"/>
    <col min="13" max="13" width="12.88671875" style="146" customWidth="1"/>
    <col min="14" max="15" width="9.109375" style="146"/>
    <col min="16" max="16" width="16.109375" style="146" customWidth="1"/>
    <col min="17" max="20" width="9.109375" style="146"/>
    <col min="21" max="22" width="14.88671875" style="146" customWidth="1"/>
    <col min="23" max="23" width="7.88671875" style="146" customWidth="1"/>
    <col min="24" max="24" width="7.33203125" style="146" customWidth="1"/>
    <col min="25" max="25" width="11.44140625" style="146" customWidth="1"/>
    <col min="26" max="26" width="12.6640625" style="146" customWidth="1"/>
    <col min="27" max="27" width="7.88671875" style="146" customWidth="1"/>
    <col min="28" max="28" width="9.109375" style="146" customWidth="1"/>
    <col min="29" max="29" width="11.33203125" style="146" customWidth="1"/>
    <col min="30" max="30" width="9.5546875" style="146" customWidth="1"/>
    <col min="31" max="31" width="10.88671875" style="146" customWidth="1"/>
    <col min="32" max="32" width="11.5546875" style="146" customWidth="1"/>
    <col min="33" max="33" width="14.5546875" style="146" customWidth="1"/>
    <col min="34" max="34" width="3.6640625" style="146" customWidth="1"/>
    <col min="35" max="35" width="6.88671875" style="146" customWidth="1"/>
    <col min="36" max="36" width="10.44140625" style="146" customWidth="1"/>
    <col min="37" max="37" width="3.6640625" style="146" customWidth="1"/>
    <col min="38" max="38" width="30.5546875" style="146" customWidth="1"/>
    <col min="39" max="40" width="3.6640625" style="146" customWidth="1"/>
    <col min="41" max="41" width="6.33203125" style="146" customWidth="1"/>
    <col min="42" max="49" width="3.6640625" style="146" customWidth="1"/>
    <col min="50" max="66" width="9.109375" style="146"/>
    <col min="67" max="68" width="15.5546875" style="146" customWidth="1"/>
    <col min="69" max="69" width="20.6640625" style="146" customWidth="1"/>
    <col min="70" max="99" width="9.109375" style="146"/>
    <col min="100" max="100" width="13.6640625" style="146" customWidth="1"/>
    <col min="101" max="16384" width="9.109375" style="146"/>
  </cols>
  <sheetData>
    <row r="1" spans="2:101">
      <c r="B1" s="146" t="s">
        <v>2</v>
      </c>
      <c r="D1" s="146" t="s">
        <v>5</v>
      </c>
      <c r="E1" s="146" t="s">
        <v>6</v>
      </c>
      <c r="F1" s="146" t="s">
        <v>7</v>
      </c>
      <c r="G1" s="146" t="s">
        <v>8</v>
      </c>
      <c r="H1" s="146" t="s">
        <v>6</v>
      </c>
      <c r="I1" s="146" t="s">
        <v>7</v>
      </c>
      <c r="J1" s="146" t="s">
        <v>5</v>
      </c>
      <c r="K1" s="146" t="s">
        <v>68</v>
      </c>
      <c r="T1" s="146" t="s">
        <v>288</v>
      </c>
      <c r="BN1" s="146">
        <v>3</v>
      </c>
      <c r="BO1" s="146">
        <v>3</v>
      </c>
      <c r="BQ1" s="146">
        <v>1</v>
      </c>
      <c r="BR1" s="146">
        <v>2</v>
      </c>
      <c r="BS1" s="146">
        <v>7</v>
      </c>
      <c r="BU1" s="146">
        <v>3</v>
      </c>
      <c r="BY1" s="146">
        <v>1</v>
      </c>
      <c r="CA1" s="146">
        <v>1</v>
      </c>
      <c r="CE1" s="146">
        <v>1</v>
      </c>
      <c r="CL1" s="146">
        <v>1</v>
      </c>
      <c r="CN1" s="146">
        <v>1</v>
      </c>
      <c r="CO1" s="146">
        <v>1</v>
      </c>
      <c r="CV1" s="146">
        <v>1</v>
      </c>
      <c r="CW1" s="146">
        <v>1</v>
      </c>
    </row>
    <row r="2" spans="2:101">
      <c r="B2" s="146">
        <v>9</v>
      </c>
      <c r="D2" s="146">
        <v>1</v>
      </c>
      <c r="E2" s="146">
        <v>2</v>
      </c>
      <c r="F2" s="146">
        <f>SELNEW!A47</f>
        <v>1</v>
      </c>
      <c r="G2" s="146">
        <v>2</v>
      </c>
      <c r="H2" s="146">
        <v>2</v>
      </c>
      <c r="I2" s="146">
        <v>1</v>
      </c>
      <c r="J2" s="146">
        <v>10</v>
      </c>
      <c r="K2" s="146">
        <v>1</v>
      </c>
      <c r="L2" s="146">
        <v>1</v>
      </c>
      <c r="M2" s="146">
        <v>1</v>
      </c>
      <c r="P2" s="146">
        <v>2</v>
      </c>
      <c r="Q2" s="146">
        <v>1</v>
      </c>
      <c r="R2" s="146">
        <v>7</v>
      </c>
      <c r="S2" s="146">
        <v>2</v>
      </c>
      <c r="T2" s="146">
        <v>1</v>
      </c>
      <c r="V2" s="146" t="s">
        <v>289</v>
      </c>
      <c r="W2" s="146" t="s">
        <v>290</v>
      </c>
      <c r="X2" s="146" t="s">
        <v>291</v>
      </c>
      <c r="Y2" s="146" t="s">
        <v>292</v>
      </c>
      <c r="Z2" s="146" t="s">
        <v>293</v>
      </c>
      <c r="AA2" s="146" t="s">
        <v>294</v>
      </c>
      <c r="AB2" s="146" t="s">
        <v>295</v>
      </c>
      <c r="AC2" s="146" t="s">
        <v>296</v>
      </c>
      <c r="AD2" s="146" t="s">
        <v>297</v>
      </c>
      <c r="AE2" s="146" t="s">
        <v>298</v>
      </c>
      <c r="AF2" s="146" t="s">
        <v>299</v>
      </c>
      <c r="AG2" s="146" t="s">
        <v>300</v>
      </c>
      <c r="AJ2" s="146">
        <v>1</v>
      </c>
      <c r="AK2" s="146">
        <v>6</v>
      </c>
      <c r="AL2" s="146">
        <v>5</v>
      </c>
      <c r="AM2" s="146">
        <v>2</v>
      </c>
      <c r="AW2" s="146">
        <v>2</v>
      </c>
      <c r="AY2" s="146">
        <v>2</v>
      </c>
      <c r="BA2" s="146">
        <v>3</v>
      </c>
      <c r="BB2" s="146">
        <v>13</v>
      </c>
      <c r="BC2" s="146">
        <v>14</v>
      </c>
      <c r="BD2" s="146">
        <v>1</v>
      </c>
      <c r="BE2" s="146">
        <v>1</v>
      </c>
      <c r="BF2" s="146">
        <v>1</v>
      </c>
      <c r="BG2" s="146">
        <v>1</v>
      </c>
      <c r="BH2" s="146">
        <v>1</v>
      </c>
      <c r="BI2" s="146">
        <v>1</v>
      </c>
      <c r="BJ2" s="146">
        <v>1</v>
      </c>
      <c r="BK2" s="146">
        <v>1</v>
      </c>
      <c r="BL2" s="146">
        <v>1</v>
      </c>
      <c r="BY2" s="146" t="str">
        <f>IF(AND(OR(Select!S2=2,Select!S2=3),OR(Select!R2=4,Select!R2=5,Select!R2=6,Select!R2=7)),"NU","")</f>
        <v>NU</v>
      </c>
      <c r="CA2" s="195" t="s">
        <v>557</v>
      </c>
      <c r="CL2" s="146" t="str">
        <f>IF(OR(Select!C166=3,Select!C166=6,Select!C166=7),"NU"," ")</f>
        <v xml:space="preserve"> </v>
      </c>
      <c r="CV2" s="255" t="s">
        <v>36</v>
      </c>
      <c r="CW2" s="255"/>
    </row>
    <row r="3" spans="2:101">
      <c r="G3" s="146" t="s">
        <v>36</v>
      </c>
      <c r="T3" s="146" t="s">
        <v>36</v>
      </c>
      <c r="U3" s="149" t="s">
        <v>286</v>
      </c>
      <c r="V3" s="149"/>
      <c r="W3" s="149"/>
      <c r="X3" s="149"/>
      <c r="Y3" s="149"/>
      <c r="Z3" s="149"/>
      <c r="BN3" s="146" t="str">
        <f>Lang!A267</f>
        <v>Factura</v>
      </c>
      <c r="BO3" s="475" t="s">
        <v>2232</v>
      </c>
      <c r="BP3" s="146" t="b">
        <f>IF(BQ1=2,BO3,IF(BQ1=3,BO4,IF(BQ1=4,BO5,IF(BQ1=5,BO6,IF(BQ1=6,BO7,IF(BQ1=7,BO8,IF(BQ1=8,BO9,IF(BQ1=9,BO10,IF(BQ1=10,BO11,IF(BQ1=11,BO12,IF(BQ1=12,BO13,IF(BQ1=13,BO14,IF(BQ1=14,BO15,IF(BQ1=15,BO16,IF(BQ1=16,BO17,IF(BQ1=17,BO18,IF(BQ1=18,BO19,IF(BQ1=19,BO20,IF(BQ1=20,BO22,IF(BQ1=21,BO23,IF(BQ1=22,BO24,IF(BQ1=23,BO25,IF(BQ1=24,BO26)))))))))))))))))))))))</f>
        <v>0</v>
      </c>
      <c r="BR3" s="146" t="str">
        <f>Lang!A263</f>
        <v>OP (ordin de plata)</v>
      </c>
      <c r="BS3" s="146" t="str">
        <f t="shared" ref="BS3:BS14" si="0">IF($BR$1=5,BY3,IF($BR$1=2,BX3,BW3))</f>
        <v>AVANS</v>
      </c>
      <c r="BU3" s="146" t="str">
        <f>Lang!A270</f>
        <v>Document plata</v>
      </c>
      <c r="BW3" s="146">
        <v>1</v>
      </c>
      <c r="BX3" s="146" t="s">
        <v>185</v>
      </c>
      <c r="BY3" s="146" t="str">
        <f>IF(AND(OR(Select!S2=2,Select!S2=3),OR(Select!R2=4,Select!R2=5,Select!R2=6,Select!R2=7)),"DA","")</f>
        <v>DA</v>
      </c>
      <c r="CA3" s="195" t="s">
        <v>1663</v>
      </c>
      <c r="CE3" s="202" t="s">
        <v>1672</v>
      </c>
      <c r="CL3" s="146" t="str">
        <f>IF(OR(Select!C166=3,Select!C166=6,Select!C166=7),"DA"," ")</f>
        <v xml:space="preserve"> </v>
      </c>
      <c r="CN3" s="253" t="s">
        <v>1763</v>
      </c>
      <c r="CO3" s="253" t="s">
        <v>1763</v>
      </c>
      <c r="CV3" s="473" t="s">
        <v>2207</v>
      </c>
      <c r="CW3" s="261" t="s">
        <v>53</v>
      </c>
    </row>
    <row r="4" spans="2:101">
      <c r="B4" s="146" t="s">
        <v>3</v>
      </c>
      <c r="D4" s="146" t="str">
        <f>IF(B2=2,"0.4"," ")</f>
        <v xml:space="preserve"> </v>
      </c>
      <c r="E4" s="146" t="str">
        <f>IF(D2&gt;5,"","Lucios")</f>
        <v>Lucios</v>
      </c>
      <c r="F4" s="146" t="str">
        <f>Select!B214</f>
        <v xml:space="preserve"> </v>
      </c>
      <c r="H4" s="146" t="s">
        <v>53</v>
      </c>
      <c r="I4" s="146" t="str">
        <f>B261</f>
        <v/>
      </c>
      <c r="J4" s="146">
        <v>0.4</v>
      </c>
      <c r="K4" s="146" t="str">
        <f>Lang!A72</f>
        <v>Colorat</v>
      </c>
      <c r="L4" s="146" t="s">
        <v>178</v>
      </c>
      <c r="M4" s="146" t="str">
        <f t="shared" ref="M4:M20" si="1">IF(AND($K$2=2,$L$2=2),B51,IF(AND($K$2=2,$L$2=3),C51,IF(AND($K$2=5,$L$2=2),D51,IF(AND($K$2=5,$L$2=3),E51," "))))</f>
        <v xml:space="preserve"> </v>
      </c>
      <c r="P4" s="146" t="s">
        <v>155</v>
      </c>
      <c r="Q4" s="146" t="str">
        <f t="shared" ref="Q4:Q20" si="2">IF($P$2=2,H23,I23)</f>
        <v>3000-L</v>
      </c>
      <c r="R4" s="146" t="s">
        <v>158</v>
      </c>
      <c r="S4" s="146" t="s">
        <v>53</v>
      </c>
      <c r="T4" s="146" t="str">
        <f t="shared" ref="T4:T15" si="3">IF(AND($R$2=2,$S$2=2),V4,IF(AND($R$2=2,$S$2=3),W4,IF(AND($R$2=3,$S$2=2),X4,IF(AND($R$2=3,$S$2=3),Y4,IF(AND($R$2=4,$S$2=2),X4,IF(AND($R$2=4,$S$2=3),Y4,IF(AND($R$2=5,$S$2=2),Z4,IF(AND($R$2=5,$S$2=3),AA4,IF(AND($R$2=6,$S$2=2),AB4,IF(AND($R$2=6,$S$2=3),AC4,IF(AND($R$2=7,$S$2=2),AB4,IF(AND($R$2=7,$S$2=3),AC4,IF(AND($R$2=2,$S$2=4),AD4,IF(AND($R$2=3,$S$2=4),AE4,IF(AND($R$2=4,$S$2=4),AE4,IF(AND($R$2=5,$S$2=4),AF4,IF(AND($R$2=6,$S$2=4),AG4,IF(AND($R$2=7,$S$2=4),AG4))))))))))))))))))</f>
        <v xml:space="preserve"> </v>
      </c>
      <c r="U4" s="149">
        <v>0.35</v>
      </c>
      <c r="V4" s="149">
        <v>0.35</v>
      </c>
      <c r="W4" s="149" t="s">
        <v>36</v>
      </c>
      <c r="X4" s="149">
        <v>0.35</v>
      </c>
      <c r="Y4" s="149" t="s">
        <v>36</v>
      </c>
      <c r="Z4" s="149" t="s">
        <v>36</v>
      </c>
      <c r="AA4" s="149" t="s">
        <v>36</v>
      </c>
      <c r="AB4" s="149" t="s">
        <v>36</v>
      </c>
      <c r="AC4" s="149" t="s">
        <v>36</v>
      </c>
      <c r="AD4" s="149" t="s">
        <v>36</v>
      </c>
      <c r="AE4" s="149" t="s">
        <v>36</v>
      </c>
      <c r="AF4" s="149" t="s">
        <v>36</v>
      </c>
      <c r="AG4" s="149" t="s">
        <v>36</v>
      </c>
      <c r="AJ4" s="146" t="str">
        <f>IF($S$2=2,AN4,IF($S$2=3,AO4,IF($S$2=4,AQ4,IF(S2=5,"Aluzn"," "))))</f>
        <v>3000-L</v>
      </c>
      <c r="AK4" s="146" t="s">
        <v>165</v>
      </c>
      <c r="AM4" s="146" t="str">
        <f t="shared" ref="AM4:AM24" si="4">IF($AK$2=2,AN4,IF($AK$2=3,AO4,IF($AK$2=4,AQ4,IF($AK$2=5,AR4,IF($AK$2=6,AS4,IF($AK$2=7,AP4))))))</f>
        <v>Aluzinc</v>
      </c>
      <c r="AN4" s="146" t="s">
        <v>10</v>
      </c>
      <c r="AO4" s="146" t="s">
        <v>11</v>
      </c>
      <c r="AP4" s="146" t="s">
        <v>36</v>
      </c>
      <c r="AQ4" s="146" t="s">
        <v>54</v>
      </c>
      <c r="AR4" s="146" t="s">
        <v>70</v>
      </c>
      <c r="AS4" s="146" t="s">
        <v>71</v>
      </c>
      <c r="AT4" s="146" t="s">
        <v>36</v>
      </c>
      <c r="AU4" s="146" t="s">
        <v>36</v>
      </c>
      <c r="AV4" s="146" t="s">
        <v>169</v>
      </c>
      <c r="AW4" s="146" t="s">
        <v>170</v>
      </c>
      <c r="AY4" s="146" t="s">
        <v>172</v>
      </c>
      <c r="BA4" s="146" t="s">
        <v>165</v>
      </c>
      <c r="BC4" s="146" t="str">
        <f>IF($BA$2=2,AN4,IF($BA$2=3,AO4,IF($BA$2=4,"Zincat",IF($BA$2=5,"Magnelis",IF($BA$2=6,"Aluzinc")))))</f>
        <v/>
      </c>
      <c r="BD4" s="146" t="s">
        <v>165</v>
      </c>
      <c r="BE4" s="146" t="str">
        <f>IF(OR(BD2=2,BD2=3,BD2=4),"0.4"," ")</f>
        <v xml:space="preserve"> </v>
      </c>
      <c r="BF4" s="146" t="b">
        <f>IF($BD$2=2,AN4,IF(AND($BD$2=3,$BE$2=5),"",IF(AND($BD$2=3,$BE$2&lt;5),AO4,IF($BD$2=4,"Zincat",IF($BD$2=5,"Magnelis",IF($BD$2=6,"Aluzinc"))))))</f>
        <v>0</v>
      </c>
      <c r="BG4" s="146" t="s">
        <v>165</v>
      </c>
      <c r="BH4" s="146" t="str">
        <f>IF(OR(BG2=2,BG2=3,BG2=4),"0.4"," ")</f>
        <v xml:space="preserve"> </v>
      </c>
      <c r="BI4" s="146" t="b">
        <f>IF($BG$2=2,AN4,IF(AND($BG$2=3,$BH$2=5),"",IF(AND($BG$2=3,$BH$2&lt;5),AO4,IF($BG$2=4,"Zincat",IF($BG$2=5,"Magnelis",IF($BG$2=6,"Aluzinc"))))))</f>
        <v>0</v>
      </c>
      <c r="BJ4" s="146" t="s">
        <v>165</v>
      </c>
      <c r="BK4" s="146" t="str">
        <f>IF(OR(BJ2=2,BJ2=3,BJ2=4),"0.4"," ")</f>
        <v xml:space="preserve"> </v>
      </c>
      <c r="BL4" s="146" t="b">
        <f>IF($BJ$2=2,AN4,IF(AND($BJ$2=3,$BK$2=5),"",IF(AND($BJ$2=3,$BK$2&lt;5),AO4,IF($BJ$2=4,"Zincat",IF($BJ$2=5,"Magnelis",IF($BJ$2=6,"Aluzinc"))))))</f>
        <v>0</v>
      </c>
      <c r="BN4" s="146" t="str">
        <f>Lang!A268</f>
        <v>Aviz</v>
      </c>
      <c r="BO4" s="475" t="s">
        <v>2233</v>
      </c>
      <c r="BR4" s="146" t="str">
        <f>Lang!A264</f>
        <v>BO (bilet al ordin)</v>
      </c>
      <c r="BS4" s="146">
        <f t="shared" si="0"/>
        <v>1</v>
      </c>
      <c r="BU4" s="146" t="str">
        <f>Lang!A271</f>
        <v>Incaseaza cash</v>
      </c>
      <c r="BW4" s="146">
        <v>3</v>
      </c>
      <c r="BX4" s="146">
        <v>1</v>
      </c>
      <c r="BY4" s="146" t="s">
        <v>36</v>
      </c>
      <c r="CE4" s="202" t="s">
        <v>1673</v>
      </c>
      <c r="CN4" s="253" t="s">
        <v>1764</v>
      </c>
      <c r="CO4" s="253" t="s">
        <v>1764</v>
      </c>
      <c r="CV4" s="489" t="s">
        <v>2355</v>
      </c>
      <c r="CW4" s="261" t="s">
        <v>9</v>
      </c>
    </row>
    <row r="5" spans="2:101">
      <c r="B5" s="146" t="s">
        <v>4</v>
      </c>
      <c r="D5" s="146" t="str">
        <f>IF(OR(B2&gt;8,B2=6),"",IF(AND(B2=8,E2=2)," ","0.45"))</f>
        <v/>
      </c>
      <c r="E5" s="146" t="s">
        <v>9</v>
      </c>
      <c r="F5" s="146" t="str">
        <f>Select!B215</f>
        <v xml:space="preserve"> </v>
      </c>
      <c r="H5" s="146" t="s">
        <v>9</v>
      </c>
      <c r="I5" s="146" t="str">
        <f t="shared" ref="I5:I21" si="5">B262</f>
        <v/>
      </c>
      <c r="J5" s="146">
        <v>0.45</v>
      </c>
      <c r="K5" s="146" t="str">
        <f>Lang!A73</f>
        <v>Aluzinc</v>
      </c>
      <c r="L5" s="146" t="str">
        <f>IF(OR(K2=1,K2=4)," ","150/97")</f>
        <v xml:space="preserve"> </v>
      </c>
      <c r="M5" s="146" t="str">
        <f t="shared" si="1"/>
        <v xml:space="preserve"> </v>
      </c>
      <c r="P5" s="146" t="s">
        <v>156</v>
      </c>
      <c r="Q5" s="146" t="str">
        <f t="shared" si="2"/>
        <v>3005-L</v>
      </c>
      <c r="R5" s="146" t="s">
        <v>285</v>
      </c>
      <c r="S5" s="146" t="s">
        <v>9</v>
      </c>
      <c r="T5" s="146" t="str">
        <f t="shared" si="3"/>
        <v xml:space="preserve"> </v>
      </c>
      <c r="U5" s="149">
        <v>0.4</v>
      </c>
      <c r="V5" s="149">
        <v>0.4</v>
      </c>
      <c r="W5" s="149">
        <v>0.4</v>
      </c>
      <c r="X5" s="149">
        <v>0.4</v>
      </c>
      <c r="Y5" s="149">
        <v>0.4</v>
      </c>
      <c r="Z5" s="149" t="s">
        <v>36</v>
      </c>
      <c r="AA5" s="149" t="s">
        <v>36</v>
      </c>
      <c r="AB5" s="149" t="s">
        <v>36</v>
      </c>
      <c r="AC5" s="149" t="s">
        <v>36</v>
      </c>
      <c r="AD5" s="149">
        <v>0.4</v>
      </c>
      <c r="AE5" s="149">
        <v>0.4</v>
      </c>
      <c r="AF5" s="149" t="s">
        <v>36</v>
      </c>
      <c r="AG5" s="149" t="s">
        <v>36</v>
      </c>
      <c r="AJ5" s="146" t="str">
        <f t="shared" ref="AJ5:AJ20" si="6">IF($S$2=2,AN5,IF($S$2=3,AO5,IF($S$2=4,AQ5)))</f>
        <v>3005-L</v>
      </c>
      <c r="AK5" s="146" t="s">
        <v>166</v>
      </c>
      <c r="AL5" s="146" t="str">
        <f>IF(AK2&lt;5,"0.4"," ")</f>
        <v xml:space="preserve"> </v>
      </c>
      <c r="AM5" s="146" t="str">
        <f t="shared" si="4"/>
        <v xml:space="preserve"> </v>
      </c>
      <c r="AN5" s="146" t="s">
        <v>12</v>
      </c>
      <c r="AO5" s="146" t="s">
        <v>13</v>
      </c>
      <c r="AP5" s="146">
        <v>3005</v>
      </c>
      <c r="AQ5" s="146" t="s">
        <v>36</v>
      </c>
      <c r="AR5" s="146" t="s">
        <v>36</v>
      </c>
      <c r="AS5" s="146" t="s">
        <v>36</v>
      </c>
      <c r="AT5" s="146" t="s">
        <v>36</v>
      </c>
      <c r="AU5" s="146" t="s">
        <v>36</v>
      </c>
      <c r="AV5" s="146" t="s">
        <v>36</v>
      </c>
      <c r="AW5" s="146" t="s">
        <v>171</v>
      </c>
      <c r="AY5" s="146" t="s">
        <v>173</v>
      </c>
      <c r="BA5" s="146" t="s">
        <v>166</v>
      </c>
      <c r="BB5" s="146" t="str">
        <f>IF(BA2&lt;5,"0.4"," ")</f>
        <v>0.4</v>
      </c>
      <c r="BC5" s="146" t="str">
        <f t="shared" ref="BC5:BC20" si="7">IF($BA$2=2,AN5,IF($BA$2=3,AO5,IF($BA$2=4,"",IF($BA$2=5,"",IF($BA$2=6,"")))))</f>
        <v>3005-M</v>
      </c>
      <c r="BD5" s="146" t="s">
        <v>166</v>
      </c>
      <c r="BE5" s="146" t="str">
        <f>IF(OR(BD2=2,BD2=3,BD2=4),"0.45"," ")</f>
        <v xml:space="preserve"> </v>
      </c>
      <c r="BF5" s="146" t="b">
        <f t="shared" ref="BF5:BF15" si="8">IF($BD$2=2,AN5,IF(AND($BD$2=3,$BE$2=5),"",IF(AND($BD$2=3,$BE$2&lt;5),AO5,IF($BD$2=4,"",IF($BD$2=5,"",IF($BD$2=6,""))))))</f>
        <v>0</v>
      </c>
      <c r="BG5" s="146" t="s">
        <v>166</v>
      </c>
      <c r="BH5" s="146" t="str">
        <f>IF(OR(BG2=2,BG2=3,BG2=4),"0.45"," ")</f>
        <v xml:space="preserve"> </v>
      </c>
      <c r="BI5" s="146" t="b">
        <f t="shared" ref="BI5:BI15" si="9">IF($BG$2=2,AN5,IF(AND($BG$2=3,$BH$2=5),"",IF(AND($BG$2=3,$BH$2&lt;5),AO5,IF($BG$2=4,"",IF($BG$2=5,"s",IF($BG$2=6,""))))))</f>
        <v>0</v>
      </c>
      <c r="BJ5" s="146" t="s">
        <v>166</v>
      </c>
      <c r="BK5" s="146" t="str">
        <f>IF(OR(BJ2=2,BJ2=3,BJ2=4),"0.45"," ")</f>
        <v xml:space="preserve"> </v>
      </c>
      <c r="BL5" s="146" t="b">
        <f t="shared" ref="BL5:BL15" si="10">IF($BJ$2=2,AN5,IF(AND($BJ$2=3,$BK$2=5),"",IF(AND($BJ$2=3,$BK$2&lt;5),AO5,IF($BJ$2=4,"",IF($BJ$2=5,"Magnelis",IF($BJ$2=6,"Aluzinc"))))))</f>
        <v>0</v>
      </c>
      <c r="BR5" s="146" t="str">
        <f>Lang!A265</f>
        <v>CEC</v>
      </c>
      <c r="BS5" s="146">
        <f t="shared" si="0"/>
        <v>3</v>
      </c>
      <c r="BU5" s="146" t="str">
        <f>Lang!A272</f>
        <v>Nu ridica</v>
      </c>
      <c r="BW5" s="146">
        <v>5</v>
      </c>
      <c r="BX5" s="146">
        <v>3</v>
      </c>
      <c r="BY5" s="146" t="s">
        <v>36</v>
      </c>
      <c r="CE5" s="147" t="s">
        <v>1674</v>
      </c>
      <c r="CV5" s="489" t="s">
        <v>2303</v>
      </c>
      <c r="CW5" s="261" t="s">
        <v>1169</v>
      </c>
    </row>
    <row r="6" spans="2:101">
      <c r="B6" s="146" t="s">
        <v>36</v>
      </c>
      <c r="D6" s="146" t="str">
        <f>IF(B2=9," ","0.5")</f>
        <v xml:space="preserve"> </v>
      </c>
      <c r="F6" s="146" t="str">
        <f>Select!B216</f>
        <v xml:space="preserve"> </v>
      </c>
      <c r="H6" s="146" t="s">
        <v>36</v>
      </c>
      <c r="I6" s="146" t="str">
        <f t="shared" si="5"/>
        <v/>
      </c>
      <c r="J6" s="146">
        <v>0.5</v>
      </c>
      <c r="K6" s="146" t="s">
        <v>36</v>
      </c>
      <c r="M6" s="146" t="str">
        <f t="shared" si="1"/>
        <v xml:space="preserve"> </v>
      </c>
      <c r="P6" s="146" t="s">
        <v>261</v>
      </c>
      <c r="Q6" s="146" t="str">
        <f t="shared" si="2"/>
        <v>3009-L</v>
      </c>
      <c r="R6" s="146" t="s">
        <v>159</v>
      </c>
      <c r="S6" s="146" t="s">
        <v>54</v>
      </c>
      <c r="T6" s="146" t="str">
        <f t="shared" si="3"/>
        <v xml:space="preserve"> </v>
      </c>
      <c r="U6" s="149">
        <v>0.45</v>
      </c>
      <c r="V6" s="149">
        <v>0.45</v>
      </c>
      <c r="W6" s="149">
        <v>0.45</v>
      </c>
      <c r="X6" s="149">
        <v>0.45</v>
      </c>
      <c r="Y6" s="149">
        <v>0.45</v>
      </c>
      <c r="Z6" s="149">
        <v>0.45</v>
      </c>
      <c r="AA6" s="149">
        <v>0.45</v>
      </c>
      <c r="AB6" s="149" t="s">
        <v>36</v>
      </c>
      <c r="AC6" s="149" t="s">
        <v>36</v>
      </c>
      <c r="AD6" s="149"/>
      <c r="AE6" s="149"/>
      <c r="AF6" s="149">
        <v>0.45</v>
      </c>
      <c r="AG6" s="149" t="s">
        <v>36</v>
      </c>
      <c r="AJ6" s="146" t="str">
        <f t="shared" si="6"/>
        <v>3009-L</v>
      </c>
      <c r="AK6" s="146" t="s">
        <v>54</v>
      </c>
      <c r="AL6" s="146" t="str">
        <f>IF(AK2&lt;5,"0.45"," ")</f>
        <v xml:space="preserve"> </v>
      </c>
      <c r="AM6" s="146" t="str">
        <f t="shared" si="4"/>
        <v xml:space="preserve"> </v>
      </c>
      <c r="AN6" s="146" t="s">
        <v>14</v>
      </c>
      <c r="AO6" s="146" t="s">
        <v>15</v>
      </c>
      <c r="AP6" s="146" t="s">
        <v>36</v>
      </c>
      <c r="AQ6" s="146" t="s">
        <v>36</v>
      </c>
      <c r="AR6" s="146" t="s">
        <v>36</v>
      </c>
      <c r="AS6" s="146" t="s">
        <v>36</v>
      </c>
      <c r="AT6" s="146" t="s">
        <v>36</v>
      </c>
      <c r="AU6" s="146" t="s">
        <v>36</v>
      </c>
      <c r="AV6" s="146" t="s">
        <v>36</v>
      </c>
      <c r="AY6" s="146" t="s">
        <v>174</v>
      </c>
      <c r="BA6" s="146" t="s">
        <v>54</v>
      </c>
      <c r="BB6" s="146" t="str">
        <f>IF(BA2&lt;5,"0.45"," ")</f>
        <v>0.45</v>
      </c>
      <c r="BC6" s="146" t="str">
        <f t="shared" si="7"/>
        <v>3009-M</v>
      </c>
      <c r="BD6" s="146" t="s">
        <v>54</v>
      </c>
      <c r="BE6" s="146">
        <v>0.5</v>
      </c>
      <c r="BF6" s="146" t="b">
        <f t="shared" si="8"/>
        <v>0</v>
      </c>
      <c r="BG6" s="146" t="s">
        <v>54</v>
      </c>
      <c r="BH6" s="146">
        <v>0.5</v>
      </c>
      <c r="BI6" s="146" t="b">
        <f t="shared" si="9"/>
        <v>0</v>
      </c>
      <c r="BJ6" s="146" t="s">
        <v>54</v>
      </c>
      <c r="BK6" s="146">
        <v>0.5</v>
      </c>
      <c r="BL6" s="146" t="b">
        <f t="shared" si="10"/>
        <v>0</v>
      </c>
      <c r="BR6" s="146" t="str">
        <f>Lang!A266</f>
        <v>CASH</v>
      </c>
      <c r="BS6" s="146">
        <f t="shared" si="0"/>
        <v>5</v>
      </c>
      <c r="BW6" s="146">
        <v>7</v>
      </c>
      <c r="BX6" s="146">
        <v>5</v>
      </c>
      <c r="BY6" s="146" t="s">
        <v>36</v>
      </c>
      <c r="CE6" s="234" t="s">
        <v>36</v>
      </c>
      <c r="CW6" s="261" t="s">
        <v>1171</v>
      </c>
    </row>
    <row r="7" spans="2:101">
      <c r="B7" s="146" t="s">
        <v>303</v>
      </c>
      <c r="D7" s="146" t="str">
        <f>IF(AND(B2=2,E2=2),"0.35"," ")</f>
        <v xml:space="preserve"> </v>
      </c>
      <c r="F7" s="146" t="str">
        <f>Select!B217</f>
        <v xml:space="preserve"> </v>
      </c>
      <c r="I7" s="146" t="str">
        <f t="shared" si="5"/>
        <v/>
      </c>
      <c r="J7" s="146" t="str">
        <f>IF(H2=4,"",IF(H2=2,""," "))</f>
        <v/>
      </c>
      <c r="K7" s="146" t="str">
        <f>Lang!A74</f>
        <v>Culori speciale</v>
      </c>
      <c r="M7" s="146" t="str">
        <f t="shared" si="1"/>
        <v xml:space="preserve"> </v>
      </c>
      <c r="P7" s="146" t="s">
        <v>36</v>
      </c>
      <c r="Q7" s="146" t="str">
        <f t="shared" si="2"/>
        <v>3011-L</v>
      </c>
      <c r="R7" s="146" t="s">
        <v>160</v>
      </c>
      <c r="T7" s="146">
        <f t="shared" si="3"/>
        <v>0.5</v>
      </c>
      <c r="U7" s="149">
        <v>0.5</v>
      </c>
      <c r="V7" s="149">
        <v>0.5</v>
      </c>
      <c r="W7" s="149">
        <v>0.5</v>
      </c>
      <c r="X7" s="149">
        <v>0.5</v>
      </c>
      <c r="Y7" s="149">
        <v>0.5</v>
      </c>
      <c r="Z7" s="149">
        <v>0.5</v>
      </c>
      <c r="AA7" s="149">
        <v>0.5</v>
      </c>
      <c r="AB7" s="149">
        <v>0.5</v>
      </c>
      <c r="AC7" s="149">
        <v>0.5</v>
      </c>
      <c r="AD7" s="149">
        <v>0.5</v>
      </c>
      <c r="AE7" s="149">
        <v>0.5</v>
      </c>
      <c r="AF7" s="149">
        <v>0.5</v>
      </c>
      <c r="AG7" s="149">
        <v>0.5</v>
      </c>
      <c r="AJ7" s="146" t="str">
        <f t="shared" si="6"/>
        <v>3011-L</v>
      </c>
      <c r="AL7" s="146" t="str">
        <f>IF(AK2&lt;7,"0.5"," ")</f>
        <v>0.5</v>
      </c>
      <c r="AM7" s="146" t="str">
        <f t="shared" si="4"/>
        <v xml:space="preserve"> </v>
      </c>
      <c r="AN7" s="146" t="s">
        <v>16</v>
      </c>
      <c r="AO7" s="146" t="s">
        <v>17</v>
      </c>
      <c r="AP7" s="146">
        <v>3011</v>
      </c>
      <c r="AQ7" s="146" t="s">
        <v>36</v>
      </c>
      <c r="AR7" s="146" t="s">
        <v>36</v>
      </c>
      <c r="AS7" s="146" t="s">
        <v>36</v>
      </c>
      <c r="AT7" s="146" t="s">
        <v>16</v>
      </c>
      <c r="AU7" s="146" t="s">
        <v>36</v>
      </c>
      <c r="AV7" s="146" t="s">
        <v>36</v>
      </c>
      <c r="AY7" s="146" t="s">
        <v>175</v>
      </c>
      <c r="BA7" s="146" t="s">
        <v>70</v>
      </c>
      <c r="BB7" s="146" t="str">
        <f>IF(BA2&lt;7,"0.5"," ")</f>
        <v>0.5</v>
      </c>
      <c r="BC7" s="146" t="str">
        <f t="shared" si="7"/>
        <v>3011-M</v>
      </c>
      <c r="BD7" s="146" t="s">
        <v>70</v>
      </c>
      <c r="BE7" s="146" t="str">
        <f>IF(BD2=3,"0.55 AG","")</f>
        <v/>
      </c>
      <c r="BF7" s="146" t="b">
        <f t="shared" si="8"/>
        <v>0</v>
      </c>
      <c r="BG7" s="146" t="s">
        <v>70</v>
      </c>
      <c r="BH7" s="146" t="str">
        <f>IF(BG2=3,"0.55 AG","")</f>
        <v/>
      </c>
      <c r="BI7" s="146" t="b">
        <f t="shared" si="9"/>
        <v>0</v>
      </c>
      <c r="BJ7" s="146" t="s">
        <v>70</v>
      </c>
      <c r="BK7" s="146" t="str">
        <f>IF(BJ2=3,"0.55 AG","")</f>
        <v/>
      </c>
      <c r="BL7" s="146" t="b">
        <f t="shared" si="10"/>
        <v>0</v>
      </c>
      <c r="BS7" s="146">
        <f t="shared" si="0"/>
        <v>7</v>
      </c>
      <c r="BW7" s="146">
        <v>15</v>
      </c>
      <c r="BX7" s="146">
        <v>7</v>
      </c>
      <c r="BY7" s="146" t="s">
        <v>36</v>
      </c>
      <c r="CW7" s="261" t="s">
        <v>507</v>
      </c>
    </row>
    <row r="8" spans="2:101">
      <c r="D8" s="146" t="str">
        <f>IF(E2=3,"0.5 Suprem 50"," ")</f>
        <v xml:space="preserve"> </v>
      </c>
      <c r="F8" s="146" t="str">
        <f>Select!B218</f>
        <v xml:space="preserve"> </v>
      </c>
      <c r="H8" s="146" t="s">
        <v>36</v>
      </c>
      <c r="I8" s="146" t="str">
        <f t="shared" si="5"/>
        <v/>
      </c>
      <c r="J8" s="146" t="str">
        <f>IF(H2=4,"",IF(H2=2,""," "))</f>
        <v/>
      </c>
      <c r="M8" s="146" t="str">
        <f t="shared" si="1"/>
        <v xml:space="preserve"> </v>
      </c>
      <c r="P8" s="146" t="s">
        <v>417</v>
      </c>
      <c r="Q8" s="146" t="str">
        <f t="shared" si="2"/>
        <v xml:space="preserve"> </v>
      </c>
      <c r="R8" s="146" t="s">
        <v>161</v>
      </c>
      <c r="T8" s="146">
        <f t="shared" si="3"/>
        <v>0.6</v>
      </c>
      <c r="U8" s="149">
        <v>0.6</v>
      </c>
      <c r="V8" s="149" t="s">
        <v>36</v>
      </c>
      <c r="W8" s="149" t="s">
        <v>336</v>
      </c>
      <c r="X8" s="149">
        <v>0.6</v>
      </c>
      <c r="Y8" s="149" t="s">
        <v>335</v>
      </c>
      <c r="Z8" s="149">
        <v>0.6</v>
      </c>
      <c r="AA8" s="149" t="s">
        <v>335</v>
      </c>
      <c r="AB8" s="149">
        <v>0.6</v>
      </c>
      <c r="AC8" s="149" t="s">
        <v>336</v>
      </c>
      <c r="AD8" s="149" t="s">
        <v>36</v>
      </c>
      <c r="AE8" s="149" t="s">
        <v>36</v>
      </c>
      <c r="AF8" s="149">
        <v>0.6</v>
      </c>
      <c r="AG8" s="149">
        <v>0.6</v>
      </c>
      <c r="AJ8" s="146">
        <f t="shared" si="6"/>
        <v>0</v>
      </c>
      <c r="AK8" s="146" t="s">
        <v>71</v>
      </c>
      <c r="AL8" s="146" t="str">
        <f>IF(AK2=3,"0.5  Suprem 50"," ")</f>
        <v xml:space="preserve"> </v>
      </c>
      <c r="AM8" s="146" t="str">
        <f t="shared" si="4"/>
        <v xml:space="preserve"> </v>
      </c>
      <c r="AO8" s="146" t="s">
        <v>36</v>
      </c>
      <c r="AP8" s="146" t="s">
        <v>36</v>
      </c>
      <c r="AQ8" s="146" t="s">
        <v>36</v>
      </c>
      <c r="AR8" s="146" t="s">
        <v>36</v>
      </c>
      <c r="AS8" s="146" t="s">
        <v>36</v>
      </c>
      <c r="AT8" s="146" t="s">
        <v>36</v>
      </c>
      <c r="AU8" s="146" t="s">
        <v>36</v>
      </c>
      <c r="AV8" s="146" t="s">
        <v>36</v>
      </c>
      <c r="AY8" s="146" t="s">
        <v>176</v>
      </c>
      <c r="BA8" s="146" t="s">
        <v>71</v>
      </c>
      <c r="BB8" s="146" t="str">
        <f>IF(BA2=3," "," ")</f>
        <v xml:space="preserve"> </v>
      </c>
      <c r="BC8" s="146" t="str">
        <f t="shared" si="7"/>
        <v xml:space="preserve"> </v>
      </c>
      <c r="BD8" s="146" t="s">
        <v>71</v>
      </c>
      <c r="BE8" s="146" t="str">
        <f>IF(BD2=4,"0.7","")</f>
        <v/>
      </c>
      <c r="BF8" s="146" t="b">
        <f t="shared" si="8"/>
        <v>0</v>
      </c>
      <c r="BG8" s="146" t="s">
        <v>71</v>
      </c>
      <c r="BH8" s="146" t="str">
        <f>IF(BG2=4,"0.7","")</f>
        <v/>
      </c>
      <c r="BI8" s="146" t="b">
        <f t="shared" si="9"/>
        <v>0</v>
      </c>
      <c r="BJ8" s="146" t="s">
        <v>71</v>
      </c>
      <c r="BK8" s="146" t="str">
        <f>IF(BJ2=4,"0.7","")</f>
        <v/>
      </c>
      <c r="BL8" s="146" t="b">
        <f t="shared" si="10"/>
        <v>0</v>
      </c>
      <c r="BS8" s="146">
        <f t="shared" si="0"/>
        <v>15</v>
      </c>
      <c r="BW8" s="146">
        <v>20</v>
      </c>
      <c r="BX8" s="146">
        <v>15</v>
      </c>
      <c r="BY8" s="146" t="s">
        <v>36</v>
      </c>
      <c r="CW8" s="512" t="s">
        <v>2982</v>
      </c>
    </row>
    <row r="9" spans="2:101">
      <c r="B9" s="146" t="s">
        <v>267</v>
      </c>
      <c r="D9" s="146" t="str">
        <f>IF(B2=9," ","")</f>
        <v xml:space="preserve"> </v>
      </c>
      <c r="F9" s="146" t="str">
        <f>Select!B219</f>
        <v xml:space="preserve"> </v>
      </c>
      <c r="I9" s="146" t="str">
        <f t="shared" si="5"/>
        <v/>
      </c>
      <c r="J9" s="146" t="str">
        <f>IF(H2=4,"",IF(H2=2,""," "))</f>
        <v/>
      </c>
      <c r="M9" s="146" t="str">
        <f t="shared" si="1"/>
        <v xml:space="preserve"> </v>
      </c>
      <c r="P9" s="146" t="s">
        <v>335</v>
      </c>
      <c r="Q9" s="146" t="str">
        <f t="shared" si="2"/>
        <v>5010-L</v>
      </c>
      <c r="R9" s="146" t="s">
        <v>162</v>
      </c>
      <c r="T9" s="146" t="str">
        <f t="shared" si="3"/>
        <v xml:space="preserve">  </v>
      </c>
      <c r="U9" s="149">
        <v>0.7</v>
      </c>
      <c r="V9" s="149" t="s">
        <v>36</v>
      </c>
      <c r="W9" s="149" t="s">
        <v>36</v>
      </c>
      <c r="X9" s="149" t="s">
        <v>36</v>
      </c>
      <c r="Y9" s="149" t="s">
        <v>36</v>
      </c>
      <c r="Z9" s="149" t="s">
        <v>36</v>
      </c>
      <c r="AA9" s="149" t="s">
        <v>36</v>
      </c>
      <c r="AB9" s="149" t="s">
        <v>137</v>
      </c>
      <c r="AC9" s="149" t="s">
        <v>36</v>
      </c>
      <c r="AD9" s="149" t="s">
        <v>36</v>
      </c>
      <c r="AE9" s="149" t="s">
        <v>36</v>
      </c>
      <c r="AF9" s="149">
        <v>0.7</v>
      </c>
      <c r="AG9" s="149">
        <v>0.7</v>
      </c>
      <c r="AJ9" s="146" t="str">
        <f t="shared" si="6"/>
        <v>5010-L</v>
      </c>
      <c r="AK9" s="146" t="s">
        <v>164</v>
      </c>
      <c r="AL9" s="146" t="str">
        <f>IF(AK2=7,"&gt;0.52"," ")</f>
        <v xml:space="preserve"> </v>
      </c>
      <c r="AM9" s="146" t="str">
        <f t="shared" si="4"/>
        <v xml:space="preserve"> </v>
      </c>
      <c r="AN9" s="146" t="s">
        <v>18</v>
      </c>
      <c r="AO9" s="146" t="s">
        <v>36</v>
      </c>
      <c r="AP9" s="146" t="s">
        <v>36</v>
      </c>
      <c r="AQ9" s="146" t="s">
        <v>36</v>
      </c>
      <c r="AR9" s="146" t="s">
        <v>36</v>
      </c>
      <c r="AS9" s="146" t="s">
        <v>36</v>
      </c>
      <c r="AT9" s="146" t="s">
        <v>36</v>
      </c>
      <c r="AU9" s="146" t="s">
        <v>36</v>
      </c>
      <c r="AV9" s="146" t="s">
        <v>36</v>
      </c>
      <c r="AY9" s="146" t="s">
        <v>177</v>
      </c>
      <c r="BB9" s="146" t="str">
        <f>IF(BA2=7,"&gt;0.52"," ")</f>
        <v xml:space="preserve"> </v>
      </c>
      <c r="BC9" s="146" t="str">
        <f t="shared" si="7"/>
        <v xml:space="preserve"> </v>
      </c>
      <c r="BE9" s="146" t="str">
        <f>IF(BD2=4,"1","")</f>
        <v/>
      </c>
      <c r="BF9" s="146" t="b">
        <f t="shared" si="8"/>
        <v>0</v>
      </c>
      <c r="BH9" s="146" t="str">
        <f>IF(BG2=4,"1","")</f>
        <v/>
      </c>
      <c r="BI9" s="146" t="b">
        <f t="shared" si="9"/>
        <v>0</v>
      </c>
      <c r="BK9" s="146" t="str">
        <f>IF(BJ2=4,"1","")</f>
        <v/>
      </c>
      <c r="BL9" s="146" t="b">
        <f t="shared" si="10"/>
        <v>0</v>
      </c>
      <c r="BS9" s="146">
        <f t="shared" si="0"/>
        <v>20</v>
      </c>
      <c r="BW9" s="146">
        <v>25</v>
      </c>
      <c r="BX9" s="146">
        <v>20</v>
      </c>
      <c r="BY9" s="146" t="s">
        <v>36</v>
      </c>
      <c r="CW9" s="261" t="s">
        <v>544</v>
      </c>
    </row>
    <row r="10" spans="2:101">
      <c r="B10" s="146" t="s">
        <v>260</v>
      </c>
      <c r="D10" s="146" t="str">
        <f>IF(B2=9," ","")</f>
        <v xml:space="preserve"> </v>
      </c>
      <c r="F10" s="146" t="str">
        <f>Select!B220</f>
        <v xml:space="preserve"> </v>
      </c>
      <c r="I10" s="146" t="str">
        <f t="shared" si="5"/>
        <v/>
      </c>
      <c r="J10" s="146" t="s">
        <v>36</v>
      </c>
      <c r="M10" s="146" t="str">
        <f t="shared" si="1"/>
        <v xml:space="preserve"> </v>
      </c>
      <c r="Q10" s="146" t="str">
        <f t="shared" si="2"/>
        <v>6005-L</v>
      </c>
      <c r="T10" s="146">
        <f t="shared" si="3"/>
        <v>0.75</v>
      </c>
      <c r="U10" s="149">
        <v>0.75</v>
      </c>
      <c r="V10" s="149" t="s">
        <v>36</v>
      </c>
      <c r="W10" s="149" t="s">
        <v>36</v>
      </c>
      <c r="X10" s="149" t="s">
        <v>36</v>
      </c>
      <c r="Y10" s="149" t="s">
        <v>36</v>
      </c>
      <c r="Z10" s="149">
        <v>0.75</v>
      </c>
      <c r="AA10" s="149" t="s">
        <v>36</v>
      </c>
      <c r="AB10" s="149">
        <v>0.75</v>
      </c>
      <c r="AC10" s="149" t="s">
        <v>36</v>
      </c>
      <c r="AD10" s="149" t="s">
        <v>36</v>
      </c>
      <c r="AE10" s="149" t="s">
        <v>36</v>
      </c>
      <c r="AF10" s="149" t="s">
        <v>36</v>
      </c>
      <c r="AG10" s="149" t="s">
        <v>36</v>
      </c>
      <c r="AJ10" s="146" t="str">
        <f t="shared" si="6"/>
        <v>6005-L</v>
      </c>
      <c r="AL10" s="146" t="str">
        <f>IF(AK2=3," "," ")</f>
        <v xml:space="preserve"> </v>
      </c>
      <c r="AM10" s="146" t="str">
        <f t="shared" si="4"/>
        <v xml:space="preserve"> </v>
      </c>
      <c r="AN10" s="146" t="s">
        <v>19</v>
      </c>
      <c r="AO10" s="146" t="s">
        <v>20</v>
      </c>
      <c r="AP10" s="146">
        <v>6005</v>
      </c>
      <c r="AQ10" s="146" t="s">
        <v>36</v>
      </c>
      <c r="AR10" s="146" t="s">
        <v>36</v>
      </c>
      <c r="AS10" s="146" t="s">
        <v>36</v>
      </c>
      <c r="AT10" s="146" t="s">
        <v>36</v>
      </c>
      <c r="AU10" s="146" t="s">
        <v>36</v>
      </c>
      <c r="AV10" s="146" t="s">
        <v>36</v>
      </c>
      <c r="BB10" s="146" t="str">
        <f>IF(BA2=3," "," ")</f>
        <v xml:space="preserve"> </v>
      </c>
      <c r="BC10" s="146" t="str">
        <f t="shared" si="7"/>
        <v>6005-M</v>
      </c>
      <c r="BF10" s="146" t="b">
        <f t="shared" si="8"/>
        <v>0</v>
      </c>
      <c r="BI10" s="146" t="b">
        <f t="shared" si="9"/>
        <v>0</v>
      </c>
      <c r="BL10" s="146" t="b">
        <f t="shared" si="10"/>
        <v>0</v>
      </c>
      <c r="BS10" s="146">
        <f t="shared" si="0"/>
        <v>25</v>
      </c>
      <c r="BW10" s="146">
        <v>30</v>
      </c>
      <c r="BX10" s="146">
        <v>25</v>
      </c>
      <c r="BY10" s="146" t="s">
        <v>36</v>
      </c>
      <c r="CW10" s="515" t="s">
        <v>3195</v>
      </c>
    </row>
    <row r="11" spans="2:101">
      <c r="B11" s="146" t="s">
        <v>341</v>
      </c>
      <c r="D11" s="146" t="str">
        <f>IF(E2=3,"0.5 Neomat 30"," ")</f>
        <v xml:space="preserve"> </v>
      </c>
      <c r="F11" s="146" t="str">
        <f>Select!B221</f>
        <v xml:space="preserve"> </v>
      </c>
      <c r="I11" s="146" t="str">
        <f t="shared" si="5"/>
        <v/>
      </c>
      <c r="J11" s="146" t="str">
        <f>IF(H2=3,"0.5 Neomat 30"," ")</f>
        <v xml:space="preserve"> </v>
      </c>
      <c r="M11" s="146" t="str">
        <f t="shared" si="1"/>
        <v xml:space="preserve"> </v>
      </c>
      <c r="Q11" s="146" t="str">
        <f t="shared" si="2"/>
        <v>6020-L</v>
      </c>
      <c r="T11" s="146" t="str">
        <f t="shared" si="3"/>
        <v xml:space="preserve"> </v>
      </c>
      <c r="U11" s="149">
        <v>0.8</v>
      </c>
      <c r="V11" s="149" t="s">
        <v>36</v>
      </c>
      <c r="W11" s="149" t="s">
        <v>36</v>
      </c>
      <c r="X11" s="149" t="s">
        <v>36</v>
      </c>
      <c r="Y11" s="149" t="s">
        <v>36</v>
      </c>
      <c r="Z11" s="149" t="s">
        <v>36</v>
      </c>
      <c r="AA11" s="149" t="s">
        <v>36</v>
      </c>
      <c r="AB11" s="149" t="s">
        <v>36</v>
      </c>
      <c r="AC11" s="149" t="s">
        <v>36</v>
      </c>
      <c r="AD11" s="149" t="s">
        <v>36</v>
      </c>
      <c r="AE11" s="149" t="s">
        <v>36</v>
      </c>
      <c r="AF11" s="149">
        <v>0.8</v>
      </c>
      <c r="AG11" s="149">
        <v>0.8</v>
      </c>
      <c r="AJ11" s="146" t="str">
        <f t="shared" si="6"/>
        <v>6020-L</v>
      </c>
      <c r="AL11" s="146" t="str">
        <f>IF(AK2=3," "," ")</f>
        <v xml:space="preserve"> </v>
      </c>
      <c r="AM11" s="146" t="str">
        <f t="shared" si="4"/>
        <v xml:space="preserve"> </v>
      </c>
      <c r="AN11" s="146" t="s">
        <v>21</v>
      </c>
      <c r="AO11" s="146" t="s">
        <v>22</v>
      </c>
      <c r="AP11" s="146" t="s">
        <v>36</v>
      </c>
      <c r="AQ11" s="146" t="s">
        <v>36</v>
      </c>
      <c r="AR11" s="146" t="s">
        <v>36</v>
      </c>
      <c r="AS11" s="146" t="s">
        <v>36</v>
      </c>
      <c r="AT11" s="146" t="s">
        <v>36</v>
      </c>
      <c r="AU11" s="146" t="s">
        <v>36</v>
      </c>
      <c r="AV11" s="146" t="s">
        <v>36</v>
      </c>
      <c r="BB11" s="146" t="str">
        <f>IF(BA2=3," "," ")</f>
        <v xml:space="preserve"> </v>
      </c>
      <c r="BC11" s="146" t="str">
        <f t="shared" si="7"/>
        <v>6020-M</v>
      </c>
      <c r="BF11" s="146" t="b">
        <f t="shared" si="8"/>
        <v>0</v>
      </c>
      <c r="BI11" s="146" t="b">
        <f t="shared" si="9"/>
        <v>0</v>
      </c>
      <c r="BL11" s="146" t="b">
        <f t="shared" si="10"/>
        <v>0</v>
      </c>
      <c r="BS11" s="146">
        <f t="shared" si="0"/>
        <v>30</v>
      </c>
      <c r="BW11" s="146">
        <v>35</v>
      </c>
      <c r="BX11" s="146">
        <v>30</v>
      </c>
      <c r="BY11" s="146" t="s">
        <v>36</v>
      </c>
    </row>
    <row r="12" spans="2:101">
      <c r="D12" s="146" t="str">
        <f>IF(AND(B2&lt;9,E2=3)," ","")</f>
        <v/>
      </c>
      <c r="F12" s="146" t="str">
        <f>Select!B222</f>
        <v>7016-M</v>
      </c>
      <c r="I12" s="146" t="str">
        <f t="shared" si="5"/>
        <v/>
      </c>
      <c r="J12" s="146" t="str">
        <f>IF(H2=3,"0.5  Suprem 50"," ")</f>
        <v xml:space="preserve"> </v>
      </c>
      <c r="M12" s="146" t="str">
        <f t="shared" si="1"/>
        <v xml:space="preserve"> </v>
      </c>
      <c r="Q12" s="146" t="str">
        <f t="shared" si="2"/>
        <v xml:space="preserve"> </v>
      </c>
      <c r="T12" s="146" t="str">
        <f t="shared" si="3"/>
        <v xml:space="preserve"> </v>
      </c>
      <c r="U12" s="149">
        <v>1</v>
      </c>
      <c r="V12" s="149" t="s">
        <v>36</v>
      </c>
      <c r="W12" s="149" t="s">
        <v>36</v>
      </c>
      <c r="X12" s="149" t="s">
        <v>36</v>
      </c>
      <c r="Y12" s="149" t="s">
        <v>36</v>
      </c>
      <c r="Z12" s="149" t="s">
        <v>36</v>
      </c>
      <c r="AA12" s="149" t="s">
        <v>36</v>
      </c>
      <c r="AB12" s="149" t="s">
        <v>36</v>
      </c>
      <c r="AC12" s="149" t="s">
        <v>36</v>
      </c>
      <c r="AD12" s="149" t="s">
        <v>36</v>
      </c>
      <c r="AE12" s="149" t="s">
        <v>36</v>
      </c>
      <c r="AF12" s="149">
        <v>1</v>
      </c>
      <c r="AG12" s="149">
        <v>1</v>
      </c>
      <c r="AJ12" s="146" t="str">
        <f t="shared" si="6"/>
        <v xml:space="preserve"> </v>
      </c>
      <c r="AL12" s="146" t="str">
        <f>IF(AK2=3," "," ")</f>
        <v xml:space="preserve"> </v>
      </c>
      <c r="AM12" s="146" t="str">
        <f t="shared" si="4"/>
        <v xml:space="preserve"> </v>
      </c>
      <c r="AN12" s="146" t="s">
        <v>36</v>
      </c>
      <c r="AO12" s="146" t="s">
        <v>275</v>
      </c>
      <c r="AP12" s="146" t="s">
        <v>36</v>
      </c>
      <c r="AQ12" s="146" t="s">
        <v>36</v>
      </c>
      <c r="AR12" s="146" t="s">
        <v>36</v>
      </c>
      <c r="AS12" s="146" t="s">
        <v>36</v>
      </c>
      <c r="AT12" s="146" t="s">
        <v>36</v>
      </c>
      <c r="AU12" s="146" t="s">
        <v>36</v>
      </c>
      <c r="AV12" s="146" t="s">
        <v>36</v>
      </c>
      <c r="BB12" s="146" t="str">
        <f>IF(BA2=3," "," ")</f>
        <v xml:space="preserve"> </v>
      </c>
      <c r="BC12" s="146" t="str">
        <f t="shared" si="7"/>
        <v>7016-M</v>
      </c>
      <c r="BF12" s="146" t="b">
        <f t="shared" si="8"/>
        <v>0</v>
      </c>
      <c r="BI12" s="146" t="b">
        <f t="shared" si="9"/>
        <v>0</v>
      </c>
      <c r="BL12" s="146" t="b">
        <f t="shared" si="10"/>
        <v>0</v>
      </c>
      <c r="BS12" s="146">
        <f t="shared" si="0"/>
        <v>35</v>
      </c>
      <c r="BW12" s="146">
        <v>45</v>
      </c>
      <c r="BX12" s="146">
        <v>35</v>
      </c>
      <c r="BY12" s="146" t="s">
        <v>36</v>
      </c>
    </row>
    <row r="13" spans="2:101">
      <c r="D13" s="146" t="str">
        <f>IF(AND(B2&lt;9,E2=3),"","")</f>
        <v/>
      </c>
      <c r="F13" s="146" t="str">
        <f>Select!B223</f>
        <v>7024-M</v>
      </c>
      <c r="I13" s="146" t="str">
        <f t="shared" si="5"/>
        <v/>
      </c>
      <c r="J13" s="146" t="s">
        <v>36</v>
      </c>
      <c r="M13" s="146" t="str">
        <f t="shared" si="1"/>
        <v xml:space="preserve"> </v>
      </c>
      <c r="Q13" s="146" t="str">
        <f t="shared" si="2"/>
        <v>7024-L</v>
      </c>
      <c r="T13" s="146" t="str">
        <f t="shared" si="3"/>
        <v xml:space="preserve"> </v>
      </c>
      <c r="U13" s="149" t="s">
        <v>271</v>
      </c>
      <c r="V13" s="149" t="s">
        <v>36</v>
      </c>
      <c r="W13" s="149" t="s">
        <v>427</v>
      </c>
      <c r="X13" s="149" t="s">
        <v>36</v>
      </c>
      <c r="Y13" s="149" t="s">
        <v>427</v>
      </c>
      <c r="Z13" s="149" t="s">
        <v>36</v>
      </c>
      <c r="AA13" s="149" t="s">
        <v>427</v>
      </c>
      <c r="AB13" s="149" t="s">
        <v>36</v>
      </c>
      <c r="AC13" s="149" t="s">
        <v>427</v>
      </c>
      <c r="AD13" s="149" t="s">
        <v>36</v>
      </c>
      <c r="AE13" s="149" t="s">
        <v>36</v>
      </c>
      <c r="AF13" s="149" t="s">
        <v>36</v>
      </c>
      <c r="AG13" s="149" t="s">
        <v>36</v>
      </c>
      <c r="AJ13" s="146" t="str">
        <f t="shared" si="6"/>
        <v>7024-L</v>
      </c>
      <c r="AL13" s="146" t="str">
        <f>IF(AK2=4,"0.7",IF(AK2=3,"0.5 Neomat 30"," "))</f>
        <v xml:space="preserve"> </v>
      </c>
      <c r="AM13" s="146" t="str">
        <f t="shared" si="4"/>
        <v xml:space="preserve"> </v>
      </c>
      <c r="AN13" s="146" t="s">
        <v>23</v>
      </c>
      <c r="AO13" s="146" t="s">
        <v>24</v>
      </c>
      <c r="AP13" s="146">
        <v>7024</v>
      </c>
      <c r="AQ13" s="146" t="s">
        <v>36</v>
      </c>
      <c r="AR13" s="146" t="s">
        <v>36</v>
      </c>
      <c r="AS13" s="146" t="s">
        <v>36</v>
      </c>
      <c r="AT13" s="146" t="s">
        <v>36</v>
      </c>
      <c r="AU13" s="146" t="s">
        <v>36</v>
      </c>
      <c r="AV13" s="146" t="s">
        <v>36</v>
      </c>
      <c r="BB13" s="146" t="str">
        <f>IF(BA2=4,"0.7"," ")</f>
        <v xml:space="preserve"> </v>
      </c>
      <c r="BC13" s="146" t="str">
        <f t="shared" si="7"/>
        <v>7024-M</v>
      </c>
      <c r="BF13" s="146" t="b">
        <f t="shared" si="8"/>
        <v>0</v>
      </c>
      <c r="BI13" s="146" t="b">
        <f t="shared" si="9"/>
        <v>0</v>
      </c>
      <c r="BL13" s="146" t="b">
        <f t="shared" si="10"/>
        <v>0</v>
      </c>
      <c r="BS13" s="146">
        <f t="shared" si="0"/>
        <v>45</v>
      </c>
      <c r="BW13" s="146">
        <v>60</v>
      </c>
      <c r="BX13" s="146">
        <v>45</v>
      </c>
      <c r="BY13" s="146" t="s">
        <v>36</v>
      </c>
    </row>
    <row r="14" spans="2:101">
      <c r="F14" s="146" t="str">
        <f>Select!B224</f>
        <v xml:space="preserve"> </v>
      </c>
      <c r="I14" s="146" t="str">
        <f t="shared" si="5"/>
        <v/>
      </c>
      <c r="M14" s="146" t="str">
        <f t="shared" si="1"/>
        <v xml:space="preserve"> </v>
      </c>
      <c r="Q14" s="146" t="str">
        <f t="shared" si="2"/>
        <v>8004-L</v>
      </c>
      <c r="T14" s="146" t="str">
        <f t="shared" si="3"/>
        <v xml:space="preserve"> </v>
      </c>
      <c r="U14" s="149" t="s">
        <v>284</v>
      </c>
      <c r="V14" s="149" t="s">
        <v>36</v>
      </c>
      <c r="W14" s="149" t="s">
        <v>36</v>
      </c>
      <c r="X14" s="149" t="s">
        <v>36</v>
      </c>
      <c r="Y14" s="149" t="s">
        <v>36</v>
      </c>
      <c r="Z14" s="149" t="s">
        <v>36</v>
      </c>
      <c r="AA14" s="149" t="s">
        <v>36</v>
      </c>
      <c r="AB14" s="149" t="s">
        <v>36</v>
      </c>
      <c r="AC14" s="149" t="s">
        <v>36</v>
      </c>
      <c r="AD14" s="149" t="s">
        <v>36</v>
      </c>
      <c r="AE14" s="149" t="s">
        <v>36</v>
      </c>
      <c r="AF14" s="149" t="s">
        <v>36</v>
      </c>
      <c r="AG14" s="149" t="s">
        <v>36</v>
      </c>
      <c r="AJ14" s="146" t="str">
        <f t="shared" si="6"/>
        <v>8004-L</v>
      </c>
      <c r="AL14" s="146" t="str">
        <f>IF(AK2=4,"1.00",IF(AK2=3," "," "))</f>
        <v xml:space="preserve"> </v>
      </c>
      <c r="AM14" s="146" t="str">
        <f t="shared" si="4"/>
        <v xml:space="preserve"> </v>
      </c>
      <c r="AN14" s="146" t="s">
        <v>25</v>
      </c>
      <c r="AO14" s="146" t="s">
        <v>26</v>
      </c>
      <c r="AP14" s="146">
        <v>8004</v>
      </c>
      <c r="AQ14" s="146" t="s">
        <v>36</v>
      </c>
      <c r="AR14" s="146" t="s">
        <v>36</v>
      </c>
      <c r="AS14" s="146" t="s">
        <v>36</v>
      </c>
      <c r="AT14" s="146" t="s">
        <v>36</v>
      </c>
      <c r="AU14" s="146" t="s">
        <v>36</v>
      </c>
      <c r="AV14" s="146" t="s">
        <v>36</v>
      </c>
      <c r="BB14" s="146" t="str">
        <f>IF(BA2=4,"1.00"," ")</f>
        <v xml:space="preserve"> </v>
      </c>
      <c r="BC14" s="146" t="str">
        <f t="shared" si="7"/>
        <v>8004-M</v>
      </c>
      <c r="BF14" s="146" t="b">
        <f t="shared" si="8"/>
        <v>0</v>
      </c>
      <c r="BI14" s="146" t="b">
        <f t="shared" si="9"/>
        <v>0</v>
      </c>
      <c r="BL14" s="146" t="b">
        <f t="shared" si="10"/>
        <v>0</v>
      </c>
      <c r="BS14" s="146">
        <f t="shared" si="0"/>
        <v>60</v>
      </c>
      <c r="BW14" s="146" t="s">
        <v>36</v>
      </c>
      <c r="BX14" s="146">
        <v>60</v>
      </c>
      <c r="BY14" s="146" t="s">
        <v>36</v>
      </c>
    </row>
    <row r="15" spans="2:101">
      <c r="F15" s="146" t="str">
        <f>Select!B225</f>
        <v xml:space="preserve"> </v>
      </c>
      <c r="I15" s="146" t="str">
        <f t="shared" si="5"/>
        <v/>
      </c>
      <c r="M15" s="146" t="str">
        <f t="shared" si="1"/>
        <v xml:space="preserve"> </v>
      </c>
      <c r="N15" s="146" t="s">
        <v>36</v>
      </c>
      <c r="Q15" s="146" t="str">
        <f t="shared" si="2"/>
        <v xml:space="preserve"> </v>
      </c>
      <c r="T15" s="146" t="str">
        <f t="shared" si="3"/>
        <v xml:space="preserve"> </v>
      </c>
      <c r="U15" s="149" t="s">
        <v>287</v>
      </c>
      <c r="V15" s="149" t="s">
        <v>36</v>
      </c>
      <c r="W15" s="149" t="s">
        <v>287</v>
      </c>
      <c r="X15" s="149" t="s">
        <v>36</v>
      </c>
      <c r="Y15" s="149" t="s">
        <v>287</v>
      </c>
      <c r="Z15" s="149" t="s">
        <v>36</v>
      </c>
      <c r="AA15" s="149" t="s">
        <v>36</v>
      </c>
      <c r="AB15" s="149" t="s">
        <v>36</v>
      </c>
      <c r="AC15" s="149" t="s">
        <v>36</v>
      </c>
      <c r="AD15" s="149" t="s">
        <v>36</v>
      </c>
      <c r="AE15" s="149" t="s">
        <v>36</v>
      </c>
      <c r="AF15" s="149" t="s">
        <v>36</v>
      </c>
      <c r="AG15" s="149" t="s">
        <v>36</v>
      </c>
      <c r="AJ15" s="146" t="str">
        <f t="shared" si="6"/>
        <v xml:space="preserve"> </v>
      </c>
      <c r="AL15" s="146" t="s">
        <v>36</v>
      </c>
      <c r="AM15" s="146" t="str">
        <f t="shared" si="4"/>
        <v xml:space="preserve"> </v>
      </c>
      <c r="AN15" s="146" t="s">
        <v>36</v>
      </c>
      <c r="AO15" s="146" t="s">
        <v>27</v>
      </c>
      <c r="AP15" s="146" t="s">
        <v>36</v>
      </c>
      <c r="AQ15" s="146" t="s">
        <v>36</v>
      </c>
      <c r="AR15" s="146" t="s">
        <v>36</v>
      </c>
      <c r="AS15" s="146" t="s">
        <v>36</v>
      </c>
      <c r="AT15" s="146" t="s">
        <v>36</v>
      </c>
      <c r="AU15" s="146" t="s">
        <v>36</v>
      </c>
      <c r="AV15" s="146" t="s">
        <v>36</v>
      </c>
      <c r="BB15" s="146" t="str">
        <f>IF(BA2&lt;7,"0.5 - 20"," ")</f>
        <v>0.5 - 20</v>
      </c>
      <c r="BC15" s="146" t="str">
        <f t="shared" si="7"/>
        <v>8014 -M</v>
      </c>
      <c r="BF15" s="146" t="b">
        <f t="shared" si="8"/>
        <v>0</v>
      </c>
      <c r="BI15" s="146" t="b">
        <f t="shared" si="9"/>
        <v>0</v>
      </c>
      <c r="BL15" s="146" t="b">
        <f t="shared" si="10"/>
        <v>0</v>
      </c>
    </row>
    <row r="16" spans="2:101">
      <c r="F16" s="146" t="str">
        <f>Select!B226</f>
        <v>8017-M</v>
      </c>
      <c r="I16" s="146" t="str">
        <f t="shared" si="5"/>
        <v/>
      </c>
      <c r="M16" s="146" t="str">
        <f t="shared" si="1"/>
        <v xml:space="preserve"> </v>
      </c>
      <c r="Q16" s="146" t="str">
        <f t="shared" si="2"/>
        <v>8017-L</v>
      </c>
      <c r="AF16" s="149"/>
      <c r="AJ16" s="146" t="str">
        <f t="shared" si="6"/>
        <v>8017-L</v>
      </c>
      <c r="AM16" s="146" t="str">
        <f t="shared" si="4"/>
        <v xml:space="preserve"> </v>
      </c>
      <c r="AN16" s="146" t="s">
        <v>28</v>
      </c>
      <c r="AO16" s="146" t="s">
        <v>29</v>
      </c>
      <c r="AP16" s="146">
        <v>8017</v>
      </c>
      <c r="AQ16" s="146" t="s">
        <v>36</v>
      </c>
      <c r="AR16" s="146" t="s">
        <v>36</v>
      </c>
      <c r="AS16" s="146" t="s">
        <v>36</v>
      </c>
      <c r="AT16" s="146" t="s">
        <v>28</v>
      </c>
      <c r="AU16" s="146" t="s">
        <v>29</v>
      </c>
      <c r="AV16" s="146" t="s">
        <v>36</v>
      </c>
      <c r="BC16" s="146" t="str">
        <f t="shared" si="7"/>
        <v>8017-M</v>
      </c>
      <c r="BF16" s="146" t="b">
        <f>IF($BD$2=2,AN16,IF(AND($BD$2=3,$BE$2=5),"8017-M",IF(AND($BD$2=3,$BE$2&lt;5),AO16,IF($BD$2=4,"",IF($BD$2=5,"",IF($BD$2=6,""))))))</f>
        <v>0</v>
      </c>
      <c r="BI16" s="146" t="b">
        <f>IF($BG$2=2,AN16,IF(AND($BG$2=3,$BH$2=5),"8017-M",IF(AND($BG$2=3,$BH$2&lt;5),AO16,IF($BG$2=4,"",IF($BG$2=5,"s",IF($BG$2=6,""))))))</f>
        <v>0</v>
      </c>
      <c r="BL16" s="146" t="b">
        <f>IF($BJ$2=2,AN16,IF(AND($BJ$2=3,$BK$2=5),"8017-M",IF(AND($BJ$2=3,$BK$2&lt;5),AO16,IF($BJ$2=4,"",IF($BJ$2=5,"Magnelis",IF($BJ$2=6,"Aluzinc"))))))</f>
        <v>0</v>
      </c>
    </row>
    <row r="17" spans="2:64">
      <c r="F17" s="146" t="str">
        <f>Select!B227</f>
        <v xml:space="preserve"> </v>
      </c>
      <c r="I17" s="146" t="str">
        <f t="shared" si="5"/>
        <v/>
      </c>
      <c r="M17" s="146" t="str">
        <f t="shared" si="1"/>
        <v xml:space="preserve"> </v>
      </c>
      <c r="Q17" s="146" t="str">
        <f t="shared" si="2"/>
        <v>8019-L</v>
      </c>
      <c r="AJ17" s="146" t="str">
        <f t="shared" si="6"/>
        <v>8019-L</v>
      </c>
      <c r="AM17" s="146" t="str">
        <f t="shared" si="4"/>
        <v xml:space="preserve"> </v>
      </c>
      <c r="AN17" s="146" t="s">
        <v>30</v>
      </c>
      <c r="AO17" s="146" t="s">
        <v>31</v>
      </c>
      <c r="AP17" s="146">
        <v>8019</v>
      </c>
      <c r="AQ17" s="146" t="s">
        <v>36</v>
      </c>
      <c r="AR17" s="146" t="s">
        <v>36</v>
      </c>
      <c r="AS17" s="146" t="s">
        <v>36</v>
      </c>
      <c r="AT17" s="146" t="s">
        <v>36</v>
      </c>
      <c r="AU17" s="146" t="s">
        <v>31</v>
      </c>
      <c r="AV17" s="146" t="s">
        <v>36</v>
      </c>
      <c r="BC17" s="146" t="str">
        <f t="shared" si="7"/>
        <v>8019-M</v>
      </c>
      <c r="BF17" s="146" t="b">
        <f>IF($BD$2=2,AN17,IF(AND($BD$2=3,$BE$2=5),"8019-M",IF(AND($BD$2=3,$BE$2&lt;5),AO17,IF($BD$2=4,"",IF($BD$2=5,"",IF($BD$2=6,""))))))</f>
        <v>0</v>
      </c>
      <c r="BI17" s="146" t="b">
        <f>IF($BG$2=2,AN17,IF(AND($BG$2=3,$BH$2=5),"8019-M",IF(AND($BG$2=3,$BH$2&lt;5),AO17,IF($BG$2=4,"",IF($BG$2=5,"s",IF($BG$2=6,""))))))</f>
        <v>0</v>
      </c>
      <c r="BL17" s="146" t="b">
        <f>IF($BJ$2=2,AN17,IF(AND($BJ$2=3,$BK$2=5),"8019-M",IF(AND($BJ$2=3,$BK$2&lt;5),AO17,IF($BJ$2=4,"",IF($BJ$2=5,"Magnelis",IF($BJ$2=6,"Aluzinc"))))))</f>
        <v>0</v>
      </c>
    </row>
    <row r="18" spans="2:64">
      <c r="F18" s="146" t="str">
        <f>Select!B228</f>
        <v xml:space="preserve"> </v>
      </c>
      <c r="I18" s="146" t="str">
        <f t="shared" si="5"/>
        <v/>
      </c>
      <c r="M18" s="146" t="str">
        <f t="shared" si="1"/>
        <v xml:space="preserve"> </v>
      </c>
      <c r="Q18" s="146" t="str">
        <f t="shared" si="2"/>
        <v>9002-L</v>
      </c>
      <c r="AJ18" s="146" t="str">
        <f t="shared" si="6"/>
        <v>9002-L</v>
      </c>
      <c r="AM18" s="146" t="str">
        <f t="shared" si="4"/>
        <v xml:space="preserve"> </v>
      </c>
      <c r="AN18" s="146" t="s">
        <v>32</v>
      </c>
      <c r="AO18" s="146" t="s">
        <v>36</v>
      </c>
      <c r="AP18" s="146" t="s">
        <v>36</v>
      </c>
      <c r="AQ18" s="146" t="s">
        <v>36</v>
      </c>
      <c r="AR18" s="146" t="s">
        <v>36</v>
      </c>
      <c r="AS18" s="146" t="s">
        <v>36</v>
      </c>
      <c r="AT18" s="146" t="s">
        <v>36</v>
      </c>
      <c r="AU18" s="146" t="s">
        <v>36</v>
      </c>
      <c r="AV18" s="146" t="s">
        <v>36</v>
      </c>
      <c r="BC18" s="146" t="str">
        <f t="shared" si="7"/>
        <v xml:space="preserve"> </v>
      </c>
      <c r="BF18" s="146" t="b">
        <f>IF($BD$2=2,AN18,IF(AND($BD$2=3,$BE$2=5),"",IF(AND($BD$2=3,$BE$2&lt;5),AO18,IF($BD$2=4,"",IF($BD$2=5,"",IF($BD$2=6,""))))))</f>
        <v>0</v>
      </c>
      <c r="BI18" s="146" t="b">
        <f>IF($BG$2=2,AN18,IF(AND($BG$2=3,$BH$2=5),"",IF(AND($BG$2=3,$BH$2&lt;5),AO18,IF($BG$2=4,"",IF($BG$2=5,"s",IF($BG$2=6,""))))))</f>
        <v>0</v>
      </c>
      <c r="BL18" s="146" t="b">
        <f>IF($BJ$2=2,AN18,IF(AND($BJ$2=3,$BK$2=5),"",IF(AND($BJ$2=3,$BK$2&lt;5),AO18,IF($BJ$2=4,"",IF($BJ$2=5,"Magnelis",IF($BJ$2=6,"Aluzinc"))))))</f>
        <v>0</v>
      </c>
    </row>
    <row r="19" spans="2:64">
      <c r="F19" s="146" t="str">
        <f>Select!B229</f>
        <v>9005-M</v>
      </c>
      <c r="I19" s="146" t="str">
        <f t="shared" si="5"/>
        <v/>
      </c>
      <c r="M19" s="146" t="str">
        <f t="shared" si="1"/>
        <v xml:space="preserve"> </v>
      </c>
      <c r="Q19" s="146" t="str">
        <f t="shared" si="2"/>
        <v>9005-L</v>
      </c>
      <c r="AJ19" s="146" t="str">
        <f t="shared" si="6"/>
        <v>9005-L</v>
      </c>
      <c r="AM19" s="146" t="str">
        <f t="shared" si="4"/>
        <v xml:space="preserve"> </v>
      </c>
      <c r="AN19" s="146" t="s">
        <v>33</v>
      </c>
      <c r="AO19" s="146" t="s">
        <v>34</v>
      </c>
      <c r="AP19" s="146">
        <v>9005</v>
      </c>
      <c r="AQ19" s="146" t="s">
        <v>36</v>
      </c>
      <c r="AR19" s="146" t="s">
        <v>36</v>
      </c>
      <c r="AS19" s="146" t="s">
        <v>36</v>
      </c>
      <c r="AT19" s="146" t="s">
        <v>36</v>
      </c>
      <c r="AU19" s="146" t="s">
        <v>36</v>
      </c>
      <c r="AV19" s="146" t="s">
        <v>36</v>
      </c>
      <c r="BC19" s="146" t="str">
        <f t="shared" si="7"/>
        <v>9005-M</v>
      </c>
      <c r="BF19" s="146" t="b">
        <f>IF($BD$2=2,AN19,IF(AND($BD$2=3,$BE$2=5),"",IF(AND($BD$2=3,$BE$2&lt;5),AO19,IF($BD$2=4,"",IF($BD$2=5,"",IF($BD$2=6,""))))))</f>
        <v>0</v>
      </c>
      <c r="BI19" s="146" t="b">
        <f>IF($BG$2=2,AN19,IF(AND($BG$2=3,$BH$2=5),"",IF(AND($BG$2=3,$BH$2&lt;5),AO19,IF($BG$2=4,"",IF($BG$2=5,"s",IF($BG$2=6,""))))))</f>
        <v>0</v>
      </c>
      <c r="BL19" s="146" t="b">
        <f>IF($BJ$2=2,AN19,IF(AND($BJ$2=3,$BK$2=5),"",IF(AND($BJ$2=3,$BK$2&lt;5),AO19,IF($BJ$2=4,"",IF($BJ$2=5,"Magnelis",IF($BJ$2=6,"Aluzinc"))))))</f>
        <v>0</v>
      </c>
    </row>
    <row r="20" spans="2:64">
      <c r="F20" s="146" t="str">
        <f>Select!B230</f>
        <v xml:space="preserve"> </v>
      </c>
      <c r="I20" s="146" t="str">
        <f t="shared" si="5"/>
        <v/>
      </c>
      <c r="M20" s="146" t="str">
        <f t="shared" si="1"/>
        <v xml:space="preserve"> </v>
      </c>
      <c r="Q20" s="146" t="str">
        <f t="shared" si="2"/>
        <v>9006-L</v>
      </c>
      <c r="AJ20" s="146" t="str">
        <f t="shared" si="6"/>
        <v>9006-L</v>
      </c>
      <c r="AM20" s="146" t="str">
        <f t="shared" si="4"/>
        <v xml:space="preserve"> </v>
      </c>
      <c r="AN20" s="146" t="s">
        <v>35</v>
      </c>
      <c r="AO20" s="146" t="s">
        <v>36</v>
      </c>
      <c r="AP20" s="146" t="s">
        <v>36</v>
      </c>
      <c r="AQ20" s="146" t="s">
        <v>36</v>
      </c>
      <c r="AR20" s="146" t="s">
        <v>36</v>
      </c>
      <c r="AS20" s="146" t="s">
        <v>36</v>
      </c>
      <c r="AT20" s="146" t="s">
        <v>36</v>
      </c>
      <c r="AU20" s="146" t="s">
        <v>36</v>
      </c>
      <c r="AV20" s="146" t="s">
        <v>36</v>
      </c>
      <c r="BC20" s="146" t="str">
        <f t="shared" si="7"/>
        <v xml:space="preserve"> </v>
      </c>
      <c r="BF20" s="146" t="b">
        <f>IF($BD$2=2,AN20,IF(AND($BD$2=3,$BE$2=5),"",IF(AND($BD$2=3,$BE$2&lt;5),AO20,IF($BD$2=4,"",IF($BD$2=5,"",IF($BD$2=6,""))))))</f>
        <v>0</v>
      </c>
      <c r="BI20" s="146" t="b">
        <f>IF($BG$2=2,AN20,IF(AND($BG$2=3,$BH$2=5),"",IF(AND($BG$2=3,$BH$2&lt;5),AO20,IF($BG$2=4,"",IF($BG$2=5,"s",IF($BG$2=6,""))))))</f>
        <v>0</v>
      </c>
      <c r="BL20" s="146" t="b">
        <f>IF($BJ$2=2,AN20,IF(AND($BJ$2=3,$BK$2=5),"",IF(AND($BJ$2=3,$BK$2&lt;5),AO20,IF($BJ$2=4,"",IF($BJ$2=5,"Magnelis",IF($BJ$2=6,"Aluzinc"))))))</f>
        <v>0</v>
      </c>
    </row>
    <row r="21" spans="2:64">
      <c r="F21" s="146" t="str">
        <f>Select!B231</f>
        <v xml:space="preserve"> </v>
      </c>
      <c r="I21" s="146" t="str">
        <f t="shared" si="5"/>
        <v/>
      </c>
      <c r="M21" s="146" t="str">
        <f>IF(AND($K$2=2,$L$2=2),B68,IF(AND($K$2=2,$L$2=3),C68,IF(AND($K$2=5,$L$2=2),D68,IF(AND($K$2=5,$L$2=3),E68," "))))</f>
        <v xml:space="preserve"> </v>
      </c>
    </row>
    <row r="22" spans="2:64">
      <c r="B22" s="146">
        <v>2</v>
      </c>
      <c r="I22" s="146">
        <f>IF($H$2=2,O40,IF($H$2=3,P40,IF($H$2=4,O40)))</f>
        <v>0</v>
      </c>
      <c r="M22" s="146" t="str">
        <f>IF(AND($K$2=2,$L$2=2),B69,IF(AND($K$2=2,$L$2=3),C69,IF(AND($K$2=5,$L$2=2),D69,IF(AND($K$2=5,$L$2=3),E69," "))))</f>
        <v xml:space="preserve"> </v>
      </c>
      <c r="AM22" s="146" t="str">
        <f t="shared" si="4"/>
        <v xml:space="preserve"> </v>
      </c>
      <c r="AN22" s="146" t="s">
        <v>36</v>
      </c>
      <c r="AO22" s="146" t="s">
        <v>36</v>
      </c>
      <c r="AP22" s="146" t="s">
        <v>72</v>
      </c>
      <c r="AQ22" s="146" t="s">
        <v>36</v>
      </c>
      <c r="AR22" s="146" t="s">
        <v>36</v>
      </c>
      <c r="AS22" s="146" t="s">
        <v>36</v>
      </c>
      <c r="AT22" s="146" t="s">
        <v>36</v>
      </c>
      <c r="AU22" s="146" t="s">
        <v>36</v>
      </c>
      <c r="AV22" s="146" t="s">
        <v>36</v>
      </c>
    </row>
    <row r="23" spans="2:64">
      <c r="B23" s="146" t="str">
        <f t="shared" ref="B23:B39" si="11">IF($B$2&gt;8,"",H23)</f>
        <v/>
      </c>
      <c r="C23" s="146" t="str">
        <f>IF(AND($B$2=9,$D$2=6),"",IF(AND($B$2=9,$D$2=7),"",IF(AND($B$2=9,$D$2=8),"",IF($D$2=5,"",IF($D$2=9,"",IF($D$2=11,"",I23))))))</f>
        <v/>
      </c>
      <c r="E23" s="154">
        <f>Formular!AU48</f>
        <v>2</v>
      </c>
      <c r="F23" s="146">
        <v>1</v>
      </c>
      <c r="H23" s="146" t="s">
        <v>10</v>
      </c>
      <c r="I23" s="146" t="s">
        <v>11</v>
      </c>
      <c r="O23" s="146" t="str">
        <f>IF(H2=4,"Zincat",H23)</f>
        <v>3000-L</v>
      </c>
      <c r="P23" s="146" t="str">
        <f t="shared" ref="P23:P34" si="12">IF(AND($H$2=3,$J$2=5),"",IF(AND($H$2=3,$J$2=6),"",IF(AND($H$2=3,$J$2=7),"",IF(AND($H$2=3,$J$2=8),"",I23))))</f>
        <v/>
      </c>
      <c r="AM23" s="146" t="str">
        <f t="shared" si="4"/>
        <v xml:space="preserve"> </v>
      </c>
      <c r="AN23" s="146" t="s">
        <v>36</v>
      </c>
      <c r="AO23" s="146" t="s">
        <v>36</v>
      </c>
      <c r="AP23" s="146" t="s">
        <v>73</v>
      </c>
      <c r="AQ23" s="146" t="s">
        <v>36</v>
      </c>
      <c r="AR23" s="146" t="s">
        <v>36</v>
      </c>
      <c r="AS23" s="146" t="s">
        <v>36</v>
      </c>
      <c r="AT23" s="146" t="s">
        <v>36</v>
      </c>
      <c r="AU23" s="146" t="s">
        <v>36</v>
      </c>
      <c r="AV23" s="146" t="s">
        <v>36</v>
      </c>
    </row>
    <row r="24" spans="2:64">
      <c r="B24" s="146" t="str">
        <f t="shared" si="11"/>
        <v/>
      </c>
      <c r="C24" s="146" t="str">
        <f>IF(AND($B$2=9,$D$2=6),"",IF(AND($B$2=9,$D$2=7),"",IF(AND($B$2=9,$D$2=8),"",IF($D$2=5,"",IF($D$2=9,"",IF($D$2=10,"",IF($D$2=11,"",I24)))))))</f>
        <v>3005-M</v>
      </c>
      <c r="H24" s="146" t="s">
        <v>12</v>
      </c>
      <c r="I24" s="146" t="s">
        <v>13</v>
      </c>
      <c r="M24" s="146" t="str">
        <f t="shared" ref="M24" si="13">IF(AND($K$2=2,$L$2=2),B70,IF(AND($K$2=2,$L$2=3),C70,IF(AND($K$2=5,$L$2=2),D70,IF(AND($K$2=5,$L$2=3),E70," "))))</f>
        <v xml:space="preserve"> </v>
      </c>
      <c r="O24" s="146" t="str">
        <f t="shared" ref="O24:O39" si="14">IF($H$2=4,"",H24)</f>
        <v>3005-L</v>
      </c>
      <c r="P24" s="146" t="str">
        <f t="shared" si="12"/>
        <v>3005-M</v>
      </c>
      <c r="AM24" s="146" t="str">
        <f t="shared" si="4"/>
        <v xml:space="preserve"> </v>
      </c>
      <c r="AN24" s="146" t="s">
        <v>36</v>
      </c>
      <c r="AO24" s="146" t="s">
        <v>36</v>
      </c>
      <c r="AP24" s="146" t="s">
        <v>74</v>
      </c>
      <c r="AQ24" s="146" t="s">
        <v>36</v>
      </c>
      <c r="AR24" s="146" t="s">
        <v>36</v>
      </c>
      <c r="AS24" s="146" t="s">
        <v>36</v>
      </c>
      <c r="AT24" s="146" t="s">
        <v>36</v>
      </c>
      <c r="AU24" s="146" t="s">
        <v>36</v>
      </c>
      <c r="AV24" s="146" t="s">
        <v>36</v>
      </c>
    </row>
    <row r="25" spans="2:64">
      <c r="B25" s="146" t="str">
        <f t="shared" si="11"/>
        <v/>
      </c>
      <c r="C25" s="146" t="str">
        <f>IF(AND($B$2=9,$D$2=6),"",IF(AND($B$2=9,$D$2=7),"",IF(AND($B$2=9,$D$2=8),"",IF($D$2=5,"",IF($D$2=10,"",IF($D$2=9,I25,IF($D$2=11,I25,I25)))))))</f>
        <v>3009-M</v>
      </c>
      <c r="F25" s="146" t="s">
        <v>37</v>
      </c>
      <c r="H25" s="146" t="s">
        <v>14</v>
      </c>
      <c r="I25" s="146" t="s">
        <v>15</v>
      </c>
      <c r="K25" s="146" t="s">
        <v>72</v>
      </c>
      <c r="L25" s="146" t="s">
        <v>75</v>
      </c>
      <c r="M25" s="146" t="s">
        <v>36</v>
      </c>
      <c r="O25" s="146" t="str">
        <f t="shared" si="14"/>
        <v>3009-L</v>
      </c>
      <c r="P25" s="146" t="str">
        <f t="shared" si="12"/>
        <v>3009-M</v>
      </c>
    </row>
    <row r="26" spans="2:64">
      <c r="B26" s="146" t="str">
        <f t="shared" si="11"/>
        <v/>
      </c>
      <c r="C26" s="146" t="str">
        <f>IF(AND($B$2=9,$D$2=6),"",IF(AND($B$2=9,$D$2=7),"",IF(AND($B$2=9,$D$2=8),"",IF($D$2=5,"",IF($D$2=10,"",IF($D$2=9,"",IF($D$2=11,"",I26)))))))</f>
        <v>3011-M</v>
      </c>
      <c r="H26" s="146" t="s">
        <v>16</v>
      </c>
      <c r="I26" s="146" t="s">
        <v>17</v>
      </c>
      <c r="K26" s="146" t="s">
        <v>73</v>
      </c>
      <c r="L26" s="146" t="s">
        <v>76</v>
      </c>
      <c r="M26" s="146" t="s">
        <v>36</v>
      </c>
      <c r="N26" s="146" t="s">
        <v>36</v>
      </c>
      <c r="O26" s="146" t="str">
        <f t="shared" si="14"/>
        <v>3011-L</v>
      </c>
      <c r="P26" s="146" t="str">
        <f t="shared" si="12"/>
        <v>3011-M</v>
      </c>
    </row>
    <row r="27" spans="2:64">
      <c r="B27" s="146" t="str">
        <f t="shared" si="11"/>
        <v/>
      </c>
      <c r="C27" s="146" t="str">
        <f>IF(AND($B$2=9,$D$2=6),"",IF(AND($B$2=9,$D$2=7),"",IF(AND($B$2=9,$D$2=8),"",IF($D$2=5,"",I27))))</f>
        <v xml:space="preserve"> </v>
      </c>
      <c r="F27" s="146">
        <v>2</v>
      </c>
      <c r="H27" s="146" t="s">
        <v>36</v>
      </c>
      <c r="I27" s="146" t="s">
        <v>36</v>
      </c>
      <c r="K27" s="146" t="s">
        <v>74</v>
      </c>
      <c r="L27" s="146" t="s">
        <v>77</v>
      </c>
      <c r="M27" s="146" t="s">
        <v>36</v>
      </c>
      <c r="N27" s="146" t="s">
        <v>36</v>
      </c>
      <c r="O27" s="146" t="str">
        <f t="shared" si="14"/>
        <v xml:space="preserve"> </v>
      </c>
      <c r="P27" s="146" t="str">
        <f t="shared" si="12"/>
        <v xml:space="preserve"> </v>
      </c>
    </row>
    <row r="28" spans="2:64">
      <c r="B28" s="146" t="str">
        <f t="shared" si="11"/>
        <v/>
      </c>
      <c r="C28" s="146" t="str">
        <f>IF(AND($B$2=9,$D$2=6),"",IF(AND($B$2=9,$D$2=7),"",IF(AND($B$2=9,$D$2=8),"",IF($D$2=5,"",I28))))</f>
        <v xml:space="preserve"> </v>
      </c>
      <c r="F28" s="146" t="s">
        <v>130</v>
      </c>
      <c r="H28" s="146" t="s">
        <v>18</v>
      </c>
      <c r="I28" s="146" t="s">
        <v>36</v>
      </c>
      <c r="L28" s="146" t="s">
        <v>36</v>
      </c>
      <c r="N28" s="146">
        <v>3000</v>
      </c>
      <c r="O28" s="146" t="str">
        <f t="shared" si="14"/>
        <v>5010-L</v>
      </c>
      <c r="P28" s="146" t="str">
        <f t="shared" si="12"/>
        <v xml:space="preserve"> </v>
      </c>
    </row>
    <row r="29" spans="2:64">
      <c r="B29" s="146" t="str">
        <f t="shared" si="11"/>
        <v/>
      </c>
      <c r="C29" s="146" t="str">
        <f>IF(AND($B$2=9,$D$2=6),"",IF(AND($B$2=9,$D$2=7),"",IF(AND($B$2=9,$D$2=8),"",IF($D$2=5,"",IF($D$2=10,"",IF($D$2=9,"",IF($D$2=11,"",I29)))))))</f>
        <v>6005-M</v>
      </c>
      <c r="F29" s="146" t="s">
        <v>131</v>
      </c>
      <c r="H29" s="146" t="s">
        <v>19</v>
      </c>
      <c r="I29" s="146" t="s">
        <v>20</v>
      </c>
      <c r="K29" s="146">
        <v>3005</v>
      </c>
      <c r="L29" s="146" t="s">
        <v>36</v>
      </c>
      <c r="M29" s="146" t="s">
        <v>36</v>
      </c>
      <c r="N29" s="146">
        <v>3005</v>
      </c>
      <c r="O29" s="146" t="str">
        <f t="shared" si="14"/>
        <v>6005-L</v>
      </c>
      <c r="P29" s="146" t="str">
        <f t="shared" si="12"/>
        <v>6005-M</v>
      </c>
    </row>
    <row r="30" spans="2:64">
      <c r="B30" s="146" t="str">
        <f t="shared" si="11"/>
        <v/>
      </c>
      <c r="C30" s="146" t="str">
        <f>IF(AND($B$2=9,$D$2=6),"",IF(AND($B$2=9,$D$2=7),"",IF(AND($B$2=9,$D$2=8),"",IF($D$2=5,"",IF($D$2=10,"",IF($D$2=9,"",IF($D$2=11,"",I30)))))))</f>
        <v>6020-M</v>
      </c>
      <c r="H30" s="146" t="s">
        <v>21</v>
      </c>
      <c r="I30" s="146" t="s">
        <v>22</v>
      </c>
      <c r="K30" s="146" t="s">
        <v>36</v>
      </c>
      <c r="L30" s="146" t="s">
        <v>36</v>
      </c>
      <c r="M30" s="146" t="s">
        <v>36</v>
      </c>
      <c r="N30" s="146">
        <v>3009</v>
      </c>
      <c r="O30" s="146" t="str">
        <f t="shared" si="14"/>
        <v>6020-L</v>
      </c>
      <c r="P30" s="146" t="str">
        <f t="shared" si="12"/>
        <v>6020-M</v>
      </c>
    </row>
    <row r="31" spans="2:64">
      <c r="B31" s="146" t="str">
        <f t="shared" si="11"/>
        <v/>
      </c>
      <c r="C31" s="146" t="str">
        <f>IF(AND($B$2=9,$D$2=6),"",IF(AND($B$2=9,$D$2=7),"",IF(AND($B$2=9,$D$2=8),"",IF($D$2=5,"",I31))))</f>
        <v xml:space="preserve"> </v>
      </c>
      <c r="H31" s="146" t="s">
        <v>36</v>
      </c>
      <c r="I31" s="146" t="s">
        <v>36</v>
      </c>
      <c r="K31" s="146">
        <v>3011</v>
      </c>
      <c r="L31" s="146" t="s">
        <v>36</v>
      </c>
      <c r="M31" s="146" t="s">
        <v>36</v>
      </c>
      <c r="N31" s="146" t="s">
        <v>36</v>
      </c>
      <c r="O31" s="146" t="str">
        <f t="shared" si="14"/>
        <v xml:space="preserve"> </v>
      </c>
      <c r="P31" s="146" t="str">
        <f t="shared" si="12"/>
        <v xml:space="preserve"> </v>
      </c>
    </row>
    <row r="32" spans="2:64">
      <c r="B32" s="146" t="str">
        <f t="shared" si="11"/>
        <v/>
      </c>
      <c r="C32" s="146" t="str">
        <f>IF(AND($B$2=9,$D$2=6),"",IF(AND($B$2=9,$D$2=7),"",IF(AND($B$2=9,$D$2=8),"",IF($D$2=5,"",IF($D$2=9,"",IF($D$2=11,I32,I32))))))</f>
        <v>7024-M</v>
      </c>
      <c r="H32" s="146" t="s">
        <v>23</v>
      </c>
      <c r="I32" s="146" t="s">
        <v>24</v>
      </c>
      <c r="K32" s="146" t="s">
        <v>36</v>
      </c>
      <c r="L32" s="146" t="s">
        <v>36</v>
      </c>
      <c r="M32" s="146" t="s">
        <v>36</v>
      </c>
      <c r="N32" s="146" t="s">
        <v>36</v>
      </c>
      <c r="O32" s="146" t="str">
        <f t="shared" si="14"/>
        <v>7024-L</v>
      </c>
      <c r="P32" s="146" t="str">
        <f t="shared" si="12"/>
        <v>7024-M</v>
      </c>
    </row>
    <row r="33" spans="2:16">
      <c r="B33" s="146" t="str">
        <f t="shared" si="11"/>
        <v/>
      </c>
      <c r="C33" s="146" t="str">
        <f>IF(AND($B$2=9,$D$2=6),"",IF(AND($B$2=9,$D$2=7),"",IF(AND($B$2=9,$D$2=8),"",IF($D$2=5,"",IF($D$2=10,"",IF($D$2=9,"",IF($D$2=11,"",I33)))))))</f>
        <v>8004-M</v>
      </c>
      <c r="H33" s="146" t="s">
        <v>25</v>
      </c>
      <c r="I33" s="146" t="s">
        <v>26</v>
      </c>
      <c r="K33" s="146">
        <v>5010</v>
      </c>
      <c r="L33" s="146" t="s">
        <v>36</v>
      </c>
      <c r="M33" s="146" t="s">
        <v>36</v>
      </c>
      <c r="N33" s="146" t="s">
        <v>36</v>
      </c>
      <c r="O33" s="146" t="str">
        <f t="shared" si="14"/>
        <v>8004-L</v>
      </c>
      <c r="P33" s="146" t="str">
        <f t="shared" si="12"/>
        <v>8004-M</v>
      </c>
    </row>
    <row r="34" spans="2:16">
      <c r="B34" s="146" t="str">
        <f t="shared" si="11"/>
        <v/>
      </c>
      <c r="C34" s="146" t="str">
        <f>IF(AND($B$2=9,$D$2=6),"",IF(AND($B$2=9,$D$2=7),"",IF(AND($B$2=9,$D$2=8),"",IF($D$2=5,"",IF($D$2=10,"",IF($D$2=9,"",IF($D$2=11,"",I34)))))))</f>
        <v xml:space="preserve"> </v>
      </c>
      <c r="H34" s="146" t="s">
        <v>36</v>
      </c>
      <c r="I34" s="146" t="s">
        <v>36</v>
      </c>
      <c r="K34" s="426" t="s">
        <v>36</v>
      </c>
      <c r="L34" s="146" t="s">
        <v>36</v>
      </c>
      <c r="M34" s="146" t="s">
        <v>36</v>
      </c>
      <c r="N34" s="426" t="s">
        <v>36</v>
      </c>
      <c r="O34" s="146" t="str">
        <f t="shared" si="14"/>
        <v xml:space="preserve"> </v>
      </c>
      <c r="P34" s="146" t="str">
        <f t="shared" si="12"/>
        <v xml:space="preserve"> </v>
      </c>
    </row>
    <row r="35" spans="2:16">
      <c r="B35" s="146" t="str">
        <f t="shared" si="11"/>
        <v/>
      </c>
      <c r="C35" s="146" t="str">
        <f>IF(AND($B$2=9,$D$2=6),"",IF(AND($B$2=9,$D$2=7),"",IF(AND($B$2=9,$D$2=8),I35,IF(D2=9,I35,IF($D$2=5,I35,I35)))))</f>
        <v>8017-M</v>
      </c>
      <c r="H35" s="146" t="s">
        <v>28</v>
      </c>
      <c r="I35" s="146" t="s">
        <v>29</v>
      </c>
      <c r="K35" s="146">
        <v>6020</v>
      </c>
      <c r="L35" s="146" t="s">
        <v>36</v>
      </c>
      <c r="M35" s="146" t="s">
        <v>36</v>
      </c>
      <c r="N35" s="146" t="s">
        <v>36</v>
      </c>
      <c r="O35" s="146" t="str">
        <f t="shared" si="14"/>
        <v>8017-L</v>
      </c>
      <c r="P35" s="146" t="str">
        <f>IF(AND($H$2=3,$J$2=5),I35,IF(AND($H$2=3,$J$2=6),"",IF(AND($H$2=3,$J$2=7),"",IF(AND($H$2=3,$J$2=8),I35,I35))))</f>
        <v>8017-M</v>
      </c>
    </row>
    <row r="36" spans="2:16">
      <c r="B36" s="146" t="str">
        <f t="shared" si="11"/>
        <v/>
      </c>
      <c r="C36" s="146" t="str">
        <f>IF(AND($B$2=9,$D$2=6),I36,IF(AND($B$2=9,$D$2=7),I36,IF(AND($B$2=9,$D$2=8),"",IF($D$2=5,"",I36))))</f>
        <v>8019-M</v>
      </c>
      <c r="H36" s="146" t="s">
        <v>30</v>
      </c>
      <c r="I36" s="146" t="s">
        <v>31</v>
      </c>
      <c r="K36" s="146" t="s">
        <v>36</v>
      </c>
      <c r="L36" s="146" t="s">
        <v>36</v>
      </c>
      <c r="M36" s="146" t="s">
        <v>36</v>
      </c>
      <c r="N36" s="146" t="s">
        <v>36</v>
      </c>
      <c r="O36" s="146" t="str">
        <f t="shared" si="14"/>
        <v>8019-L</v>
      </c>
      <c r="P36" s="146" t="str">
        <f>IF(AND($H$2=3,$J$2=5),"",IF(AND($H$2=3,$J$2=6),I36,IF(AND($H$2=3,$J$2=7),I36,IF(AND($H$2=3,$J$2=8),"",I36))))</f>
        <v>8019-M</v>
      </c>
    </row>
    <row r="37" spans="2:16">
      <c r="B37" s="146" t="str">
        <f t="shared" si="11"/>
        <v/>
      </c>
      <c r="C37" s="146" t="str">
        <f>IF(AND($B$2=9,$D$2=6),"",IF(AND($B$2=9,$D$2=7),"",IF(AND($B$2=9,$D$2=8),"",IF($D$2=5,"",I37))))</f>
        <v xml:space="preserve"> </v>
      </c>
      <c r="H37" s="146" t="s">
        <v>32</v>
      </c>
      <c r="I37" s="146" t="s">
        <v>36</v>
      </c>
      <c r="K37" s="146">
        <v>7024</v>
      </c>
      <c r="L37" s="146" t="s">
        <v>36</v>
      </c>
      <c r="M37" s="146" t="s">
        <v>36</v>
      </c>
      <c r="N37" s="146">
        <v>7024</v>
      </c>
      <c r="O37" s="146" t="str">
        <f t="shared" si="14"/>
        <v>9002-L</v>
      </c>
      <c r="P37" s="146" t="str">
        <f>IF(AND($H$2=3,$J$2=5),"",IF(AND($H$2=3,$J$2=6),"",IF(AND($H$2=3,$J$2=7),"",IF(AND($H$2=3,$J$2=8),"",I37))))</f>
        <v xml:space="preserve"> </v>
      </c>
    </row>
    <row r="38" spans="2:16">
      <c r="B38" s="146" t="str">
        <f t="shared" si="11"/>
        <v/>
      </c>
      <c r="C38" s="146" t="str">
        <f>IF(AND($B$2=9,$D$2=6),"",IF(AND($B$2=9,$D$2=7),"",IF(AND($B$2=9,$D$2=8),"",IF($D$2=5,"",I38))))</f>
        <v>9005-M</v>
      </c>
      <c r="H38" s="146" t="s">
        <v>33</v>
      </c>
      <c r="I38" s="146" t="s">
        <v>34</v>
      </c>
      <c r="K38" s="146">
        <v>8004</v>
      </c>
      <c r="L38" s="146" t="s">
        <v>36</v>
      </c>
      <c r="M38" s="146" t="s">
        <v>36</v>
      </c>
      <c r="N38" s="146">
        <v>8004</v>
      </c>
      <c r="O38" s="146" t="str">
        <f t="shared" si="14"/>
        <v>9005-L</v>
      </c>
      <c r="P38" s="146" t="str">
        <f>IF(AND($H$2=3,$J$2=5),"",IF(AND($H$2=3,$J$2=6),"",IF(AND($H$2=3,$J$2=7),"",IF(AND($H$2=3,$J$2=8),"",I38))))</f>
        <v>9005-M</v>
      </c>
    </row>
    <row r="39" spans="2:16">
      <c r="B39" s="146" t="str">
        <f t="shared" si="11"/>
        <v/>
      </c>
      <c r="C39" s="146" t="str">
        <f>IF(AND($B$2=9,$D$2=6),"",IF(AND($B$2=9,$D$2=7),"",IF(AND($B$2=9,$D$2=8),"",IF($D$2=5,"",I39))))</f>
        <v xml:space="preserve"> </v>
      </c>
      <c r="H39" s="146" t="s">
        <v>35</v>
      </c>
      <c r="I39" s="146" t="s">
        <v>36</v>
      </c>
      <c r="K39" s="146" t="s">
        <v>36</v>
      </c>
      <c r="L39" s="146" t="s">
        <v>36</v>
      </c>
      <c r="M39" s="146" t="s">
        <v>36</v>
      </c>
      <c r="N39" s="146" t="s">
        <v>36</v>
      </c>
      <c r="O39" s="146" t="str">
        <f t="shared" si="14"/>
        <v>9006-L</v>
      </c>
      <c r="P39" s="146" t="str">
        <f>IF(AND($H$2=3,$J$2=5),"",IF(AND($H$2=3,$J$2=6),"",IF(AND($H$2=3,$J$2=7),"",IF(AND($H$2=3,$J$2=8),"",I39))))</f>
        <v xml:space="preserve"> </v>
      </c>
    </row>
    <row r="40" spans="2:16">
      <c r="B40" s="146">
        <v>1</v>
      </c>
      <c r="C40" s="146" t="str">
        <f>IF(AND($B$2&gt;7,$D$2=5,$G$2=2),"",IF(AND($B$2&gt;7,$D$2=5,$G$2=3),"",IF(AND($B$2&gt;7,$D$2=4,$G$2=2),"",I40)))</f>
        <v xml:space="preserve"> </v>
      </c>
      <c r="H40" s="146" t="s">
        <v>36</v>
      </c>
      <c r="I40" s="146" t="s">
        <v>36</v>
      </c>
      <c r="K40" s="146">
        <v>8017</v>
      </c>
      <c r="L40" s="146" t="s">
        <v>36</v>
      </c>
      <c r="M40" s="146" t="s">
        <v>36</v>
      </c>
      <c r="N40" s="146" t="s">
        <v>36</v>
      </c>
      <c r="P40" s="146" t="str">
        <f>IF(AND($H$2=3,$J$2=5),I40,IF(AND($H$2=3,$J$2=6),I40,IF(AND($H$2=3,$J$2=7),"",I40)))</f>
        <v xml:space="preserve"> </v>
      </c>
    </row>
    <row r="41" spans="2:16">
      <c r="B41" s="146" t="str">
        <f>IF($B$2&gt;7,"",H41)</f>
        <v/>
      </c>
      <c r="C41" s="146" t="s">
        <v>36</v>
      </c>
      <c r="H41" s="146" t="s">
        <v>36</v>
      </c>
      <c r="I41" s="146" t="s">
        <v>137</v>
      </c>
      <c r="K41" s="146">
        <v>8019</v>
      </c>
      <c r="L41" s="146" t="s">
        <v>36</v>
      </c>
      <c r="M41" s="146" t="s">
        <v>36</v>
      </c>
      <c r="N41" s="146">
        <v>8019</v>
      </c>
    </row>
    <row r="42" spans="2:16">
      <c r="B42" s="146" t="str">
        <f>IF($B$2&gt;7,"",H42)</f>
        <v/>
      </c>
      <c r="C42" s="146" t="s">
        <v>36</v>
      </c>
      <c r="H42" s="146" t="s">
        <v>36</v>
      </c>
      <c r="I42" s="146" t="s">
        <v>137</v>
      </c>
      <c r="K42" s="146" t="s">
        <v>36</v>
      </c>
      <c r="L42" s="146" t="s">
        <v>36</v>
      </c>
      <c r="M42" s="146" t="s">
        <v>137</v>
      </c>
      <c r="N42" s="146" t="s">
        <v>36</v>
      </c>
    </row>
    <row r="43" spans="2:16">
      <c r="I43" s="146" t="s">
        <v>36</v>
      </c>
      <c r="K43" s="146">
        <v>9005</v>
      </c>
      <c r="L43" s="146" t="s">
        <v>36</v>
      </c>
      <c r="M43" s="146" t="s">
        <v>36</v>
      </c>
      <c r="N43" s="146">
        <v>9005</v>
      </c>
    </row>
    <row r="44" spans="2:16">
      <c r="K44" s="146" t="s">
        <v>36</v>
      </c>
      <c r="M44" s="146">
        <v>9006</v>
      </c>
      <c r="N44" s="146">
        <v>9006</v>
      </c>
    </row>
    <row r="48" spans="2:16">
      <c r="B48" s="146">
        <v>125</v>
      </c>
      <c r="C48" s="146">
        <v>150</v>
      </c>
      <c r="D48" s="146" t="s">
        <v>276</v>
      </c>
      <c r="E48" s="146" t="s">
        <v>277</v>
      </c>
    </row>
    <row r="51" spans="2:5">
      <c r="B51" s="146" t="s">
        <v>72</v>
      </c>
      <c r="C51" s="146" t="s">
        <v>72</v>
      </c>
      <c r="D51" s="146" t="s">
        <v>36</v>
      </c>
      <c r="E51" s="146" t="s">
        <v>36</v>
      </c>
    </row>
    <row r="52" spans="2:5">
      <c r="B52" s="146" t="s">
        <v>36</v>
      </c>
      <c r="C52" s="146" t="s">
        <v>36</v>
      </c>
      <c r="D52" s="146" t="s">
        <v>36</v>
      </c>
      <c r="E52" s="146" t="s">
        <v>36</v>
      </c>
    </row>
    <row r="53" spans="2:5">
      <c r="B53" s="146" t="s">
        <v>74</v>
      </c>
      <c r="C53" s="146" t="s">
        <v>74</v>
      </c>
      <c r="D53" s="146" t="s">
        <v>36</v>
      </c>
      <c r="E53" s="146" t="s">
        <v>36</v>
      </c>
    </row>
    <row r="54" spans="2:5">
      <c r="B54" s="146" t="s">
        <v>36</v>
      </c>
      <c r="C54" s="146" t="s">
        <v>36</v>
      </c>
      <c r="D54" s="146">
        <v>3000</v>
      </c>
      <c r="E54" s="146">
        <v>3000</v>
      </c>
    </row>
    <row r="55" spans="2:5">
      <c r="B55" s="146">
        <v>3005</v>
      </c>
      <c r="C55" s="146">
        <v>3005</v>
      </c>
      <c r="D55" s="426" t="s">
        <v>36</v>
      </c>
      <c r="E55" s="146">
        <v>3005</v>
      </c>
    </row>
    <row r="56" spans="2:5">
      <c r="B56" s="146" t="s">
        <v>36</v>
      </c>
      <c r="C56" s="146" t="s">
        <v>36</v>
      </c>
      <c r="D56" s="146" t="s">
        <v>36</v>
      </c>
      <c r="E56" s="146" t="s">
        <v>36</v>
      </c>
    </row>
    <row r="57" spans="2:5">
      <c r="B57" s="146">
        <v>3011</v>
      </c>
      <c r="C57" s="146">
        <v>3011</v>
      </c>
      <c r="D57" s="146" t="s">
        <v>36</v>
      </c>
      <c r="E57" s="146" t="s">
        <v>36</v>
      </c>
    </row>
    <row r="58" spans="2:5">
      <c r="B58" s="146" t="s">
        <v>36</v>
      </c>
      <c r="C58" s="146" t="s">
        <v>36</v>
      </c>
      <c r="D58" s="146" t="s">
        <v>36</v>
      </c>
      <c r="E58" s="146" t="s">
        <v>36</v>
      </c>
    </row>
    <row r="59" spans="2:5">
      <c r="B59" s="146">
        <v>5010</v>
      </c>
      <c r="C59" s="146" t="s">
        <v>36</v>
      </c>
      <c r="D59" s="146" t="s">
        <v>36</v>
      </c>
      <c r="E59" s="146">
        <v>5010</v>
      </c>
    </row>
    <row r="60" spans="2:5">
      <c r="B60" s="426" t="s">
        <v>36</v>
      </c>
      <c r="C60" s="177" t="s">
        <v>36</v>
      </c>
      <c r="D60" s="471" t="s">
        <v>36</v>
      </c>
      <c r="E60" s="471" t="s">
        <v>36</v>
      </c>
    </row>
    <row r="61" spans="2:5">
      <c r="B61" s="146">
        <v>6020</v>
      </c>
      <c r="C61" s="146" t="s">
        <v>36</v>
      </c>
      <c r="D61" s="146" t="s">
        <v>36</v>
      </c>
      <c r="E61" s="146">
        <v>6020</v>
      </c>
    </row>
    <row r="62" spans="2:5">
      <c r="B62" s="146">
        <v>7016</v>
      </c>
      <c r="C62" s="146">
        <v>7016</v>
      </c>
      <c r="D62" s="146" t="s">
        <v>36</v>
      </c>
      <c r="E62" s="146" t="s">
        <v>36</v>
      </c>
    </row>
    <row r="63" spans="2:5">
      <c r="B63" s="146">
        <v>7024</v>
      </c>
      <c r="C63" s="146">
        <v>7024</v>
      </c>
      <c r="D63" s="146" t="s">
        <v>36</v>
      </c>
      <c r="E63" s="146" t="s">
        <v>36</v>
      </c>
    </row>
    <row r="64" spans="2:5">
      <c r="B64" s="146">
        <v>8004</v>
      </c>
      <c r="C64" s="146">
        <v>8004</v>
      </c>
      <c r="D64" s="146" t="s">
        <v>36</v>
      </c>
      <c r="E64" s="146" t="s">
        <v>36</v>
      </c>
    </row>
    <row r="65" spans="2:9">
      <c r="B65" s="146" t="s">
        <v>36</v>
      </c>
      <c r="C65" s="146" t="s">
        <v>36</v>
      </c>
      <c r="D65" s="146" t="s">
        <v>36</v>
      </c>
      <c r="E65" s="146" t="s">
        <v>36</v>
      </c>
    </row>
    <row r="66" spans="2:9">
      <c r="B66" s="146">
        <v>8017</v>
      </c>
      <c r="C66" s="146">
        <v>8017</v>
      </c>
      <c r="D66" s="146" t="s">
        <v>36</v>
      </c>
      <c r="E66" s="146" t="s">
        <v>36</v>
      </c>
    </row>
    <row r="67" spans="2:9">
      <c r="B67" s="146">
        <v>8019</v>
      </c>
      <c r="C67" s="146">
        <v>8019</v>
      </c>
      <c r="D67" s="146" t="s">
        <v>36</v>
      </c>
      <c r="E67" s="146" t="s">
        <v>36</v>
      </c>
    </row>
    <row r="68" spans="2:9">
      <c r="B68" s="146" t="s">
        <v>36</v>
      </c>
      <c r="C68" s="146" t="s">
        <v>36</v>
      </c>
      <c r="D68" s="146" t="s">
        <v>36</v>
      </c>
      <c r="E68" s="146" t="s">
        <v>36</v>
      </c>
    </row>
    <row r="69" spans="2:9">
      <c r="B69" s="146">
        <v>9005</v>
      </c>
      <c r="C69" s="146">
        <v>9005</v>
      </c>
      <c r="D69" s="146" t="s">
        <v>36</v>
      </c>
      <c r="E69" s="177" t="s">
        <v>36</v>
      </c>
    </row>
    <row r="70" spans="2:9">
      <c r="B70" s="146" t="s">
        <v>36</v>
      </c>
      <c r="C70" s="146" t="s">
        <v>36</v>
      </c>
      <c r="D70" s="146">
        <v>9006</v>
      </c>
      <c r="E70" s="146">
        <v>9006</v>
      </c>
    </row>
    <row r="74" spans="2:9">
      <c r="B74" s="146">
        <v>1</v>
      </c>
      <c r="C74" s="146">
        <v>1</v>
      </c>
      <c r="D74" s="146">
        <v>1</v>
      </c>
      <c r="E74" s="146">
        <v>16</v>
      </c>
      <c r="F74" s="146">
        <v>3</v>
      </c>
      <c r="H74" s="146">
        <v>1</v>
      </c>
      <c r="I74" s="146">
        <v>1</v>
      </c>
    </row>
    <row r="75" spans="2:9">
      <c r="B75" s="146" t="s">
        <v>36</v>
      </c>
      <c r="C75" s="146" t="s">
        <v>36</v>
      </c>
      <c r="H75" s="146" t="s">
        <v>36</v>
      </c>
      <c r="I75" s="448" t="s">
        <v>36</v>
      </c>
    </row>
    <row r="76" spans="2:9">
      <c r="B76" s="146" t="s">
        <v>245</v>
      </c>
      <c r="C76" s="146" t="s">
        <v>245</v>
      </c>
      <c r="D76" s="146" t="s">
        <v>245</v>
      </c>
      <c r="E76" s="146" t="s">
        <v>245</v>
      </c>
      <c r="F76" s="146" t="s">
        <v>53</v>
      </c>
      <c r="H76" s="146" t="s">
        <v>247</v>
      </c>
      <c r="I76" s="448" t="s">
        <v>246</v>
      </c>
    </row>
    <row r="77" spans="2:9">
      <c r="B77" s="146" t="s">
        <v>246</v>
      </c>
      <c r="C77" s="146" t="s">
        <v>246</v>
      </c>
      <c r="D77" s="146" t="s">
        <v>246</v>
      </c>
      <c r="E77" s="146" t="s">
        <v>246</v>
      </c>
      <c r="F77" s="146" t="s">
        <v>9</v>
      </c>
      <c r="H77" s="146" t="s">
        <v>248</v>
      </c>
      <c r="I77" s="448" t="s">
        <v>248</v>
      </c>
    </row>
    <row r="78" spans="2:9">
      <c r="B78" s="146" t="s">
        <v>247</v>
      </c>
      <c r="C78" s="146" t="s">
        <v>247</v>
      </c>
      <c r="D78" s="146" t="s">
        <v>247</v>
      </c>
      <c r="E78" s="146" t="s">
        <v>247</v>
      </c>
      <c r="H78" s="146" t="s">
        <v>255</v>
      </c>
      <c r="I78" s="448" t="s">
        <v>548</v>
      </c>
    </row>
    <row r="79" spans="2:9">
      <c r="B79" s="146" t="s">
        <v>248</v>
      </c>
      <c r="C79" s="146" t="s">
        <v>248</v>
      </c>
      <c r="D79" s="146" t="s">
        <v>248</v>
      </c>
      <c r="E79" s="146" t="s">
        <v>248</v>
      </c>
      <c r="H79" s="146" t="s">
        <v>256</v>
      </c>
      <c r="I79" s="448" t="s">
        <v>252</v>
      </c>
    </row>
    <row r="80" spans="2:9">
      <c r="B80" s="146" t="s">
        <v>36</v>
      </c>
      <c r="C80" s="146" t="s">
        <v>36</v>
      </c>
      <c r="D80" s="146" t="s">
        <v>36</v>
      </c>
      <c r="E80" s="146" t="s">
        <v>36</v>
      </c>
      <c r="I80" s="448" t="s">
        <v>253</v>
      </c>
    </row>
    <row r="81" spans="2:15">
      <c r="B81" s="146" t="s">
        <v>249</v>
      </c>
      <c r="C81" s="146" t="s">
        <v>249</v>
      </c>
      <c r="D81" s="146" t="s">
        <v>249</v>
      </c>
      <c r="E81" s="146" t="s">
        <v>249</v>
      </c>
      <c r="I81" s="448" t="s">
        <v>255</v>
      </c>
    </row>
    <row r="82" spans="2:15">
      <c r="B82" s="146" t="s">
        <v>250</v>
      </c>
      <c r="C82" s="146" t="s">
        <v>250</v>
      </c>
      <c r="D82" s="146" t="s">
        <v>250</v>
      </c>
      <c r="E82" s="146" t="s">
        <v>250</v>
      </c>
      <c r="I82" s="448" t="s">
        <v>256</v>
      </c>
    </row>
    <row r="83" spans="2:15">
      <c r="B83" s="146" t="s">
        <v>251</v>
      </c>
      <c r="C83" s="146" t="s">
        <v>251</v>
      </c>
      <c r="D83" s="146" t="s">
        <v>251</v>
      </c>
      <c r="E83" s="146" t="s">
        <v>251</v>
      </c>
      <c r="I83" s="448" t="s">
        <v>258</v>
      </c>
    </row>
    <row r="84" spans="2:15">
      <c r="B84" s="146" t="s">
        <v>548</v>
      </c>
      <c r="C84" s="146" t="s">
        <v>36</v>
      </c>
      <c r="D84" s="146" t="s">
        <v>548</v>
      </c>
      <c r="E84" s="146" t="s">
        <v>36</v>
      </c>
    </row>
    <row r="85" spans="2:15">
      <c r="B85" s="146" t="s">
        <v>252</v>
      </c>
      <c r="C85" s="146" t="s">
        <v>252</v>
      </c>
      <c r="D85" s="146" t="s">
        <v>252</v>
      </c>
      <c r="E85" s="146" t="s">
        <v>252</v>
      </c>
    </row>
    <row r="86" spans="2:15">
      <c r="B86" s="146" t="s">
        <v>253</v>
      </c>
      <c r="C86" s="146" t="s">
        <v>253</v>
      </c>
      <c r="D86" s="146" t="s">
        <v>253</v>
      </c>
      <c r="E86" s="146" t="s">
        <v>253</v>
      </c>
    </row>
    <row r="87" spans="2:15">
      <c r="B87" s="146" t="s">
        <v>254</v>
      </c>
      <c r="C87" s="146" t="s">
        <v>254</v>
      </c>
      <c r="D87" s="146" t="s">
        <v>254</v>
      </c>
      <c r="E87" s="146" t="s">
        <v>254</v>
      </c>
    </row>
    <row r="88" spans="2:15">
      <c r="B88" s="146" t="s">
        <v>255</v>
      </c>
      <c r="C88" s="146" t="s">
        <v>255</v>
      </c>
      <c r="D88" s="146" t="s">
        <v>255</v>
      </c>
      <c r="E88" s="146" t="s">
        <v>255</v>
      </c>
    </row>
    <row r="89" spans="2:15">
      <c r="B89" s="146" t="s">
        <v>256</v>
      </c>
      <c r="C89" s="146" t="s">
        <v>256</v>
      </c>
      <c r="D89" s="146" t="s">
        <v>256</v>
      </c>
      <c r="E89" s="146" t="s">
        <v>256</v>
      </c>
    </row>
    <row r="90" spans="2:15">
      <c r="B90" s="146" t="s">
        <v>257</v>
      </c>
      <c r="C90" s="146" t="s">
        <v>257</v>
      </c>
      <c r="D90" s="146" t="s">
        <v>257</v>
      </c>
      <c r="E90" s="146" t="s">
        <v>257</v>
      </c>
    </row>
    <row r="91" spans="2:15">
      <c r="B91" s="146" t="s">
        <v>258</v>
      </c>
      <c r="C91" s="146" t="s">
        <v>258</v>
      </c>
      <c r="D91" s="146" t="s">
        <v>258</v>
      </c>
      <c r="E91" s="146" t="s">
        <v>258</v>
      </c>
    </row>
    <row r="92" spans="2:15">
      <c r="B92" s="146" t="s">
        <v>259</v>
      </c>
      <c r="C92" s="146" t="s">
        <v>259</v>
      </c>
      <c r="D92" s="146" t="s">
        <v>259</v>
      </c>
      <c r="E92" s="146" t="s">
        <v>259</v>
      </c>
    </row>
    <row r="95" spans="2:15">
      <c r="D95" s="146" t="s">
        <v>542</v>
      </c>
      <c r="E95" s="146" t="s">
        <v>505</v>
      </c>
      <c r="F95" s="146" t="s">
        <v>311</v>
      </c>
      <c r="G95" s="146" t="s">
        <v>155</v>
      </c>
      <c r="H95" s="146" t="s">
        <v>261</v>
      </c>
      <c r="I95" s="146" t="s">
        <v>156</v>
      </c>
      <c r="J95" s="146" t="s">
        <v>427</v>
      </c>
      <c r="K95" s="146" t="s">
        <v>287</v>
      </c>
      <c r="L95" s="146" t="s">
        <v>543</v>
      </c>
      <c r="M95" s="146" t="s">
        <v>544</v>
      </c>
    </row>
    <row r="96" spans="2:15">
      <c r="B96" s="146">
        <v>3</v>
      </c>
      <c r="C96" s="146">
        <v>5</v>
      </c>
      <c r="O96" s="146">
        <v>3</v>
      </c>
    </row>
    <row r="98" spans="2:17">
      <c r="B98" s="146" t="s">
        <v>36</v>
      </c>
      <c r="C98" s="146" t="str">
        <f t="shared" ref="C98:C115" si="15">IF($B$96=2,D98,IF($B$96=3,E98,IF($B$96=4,F98,IF($B$96=5,G98,IF($B$96=6,H98,IF($B$96=7,I98,IF($B$96=8,J98,IF($B$96=9,K98,IF($B$96=10,L98,IF($B$96=11,M98,""))))))))))</f>
        <v xml:space="preserve"> </v>
      </c>
      <c r="D98" s="146" t="s">
        <v>36</v>
      </c>
      <c r="E98" s="146" t="s">
        <v>36</v>
      </c>
      <c r="F98" s="146" t="s">
        <v>36</v>
      </c>
      <c r="G98" s="483" t="s">
        <v>36</v>
      </c>
      <c r="H98" s="146" t="s">
        <v>36</v>
      </c>
      <c r="I98" s="146" t="s">
        <v>36</v>
      </c>
      <c r="J98" s="146" t="s">
        <v>36</v>
      </c>
      <c r="K98" s="512" t="s">
        <v>2981</v>
      </c>
      <c r="L98" s="512" t="s">
        <v>36</v>
      </c>
      <c r="M98" s="146" t="s">
        <v>36</v>
      </c>
      <c r="O98" s="202" t="s">
        <v>1670</v>
      </c>
      <c r="Q98" s="146">
        <v>105</v>
      </c>
    </row>
    <row r="99" spans="2:17">
      <c r="B99" s="146" t="str">
        <f>Lang!A241</f>
        <v>LUCIOS 0.4</v>
      </c>
      <c r="C99" s="146" t="str">
        <f t="shared" si="15"/>
        <v xml:space="preserve"> </v>
      </c>
      <c r="D99" s="146" t="s">
        <v>36</v>
      </c>
      <c r="E99" s="146" t="s">
        <v>36</v>
      </c>
      <c r="F99" s="146" t="s">
        <v>12</v>
      </c>
      <c r="G99" s="146" t="s">
        <v>12</v>
      </c>
      <c r="H99" s="146" t="s">
        <v>13</v>
      </c>
      <c r="I99" s="146" t="s">
        <v>13</v>
      </c>
      <c r="J99" s="146" t="s">
        <v>435</v>
      </c>
      <c r="K99" s="512" t="s">
        <v>2983</v>
      </c>
      <c r="L99" s="146" t="s">
        <v>36</v>
      </c>
      <c r="M99" s="146">
        <v>3005</v>
      </c>
      <c r="O99" s="221" t="s">
        <v>1709</v>
      </c>
    </row>
    <row r="100" spans="2:17">
      <c r="B100" s="146" t="str">
        <f>Lang!A242</f>
        <v>LUCIOS 0.45</v>
      </c>
      <c r="C100" s="146" t="str">
        <f t="shared" si="15"/>
        <v xml:space="preserve"> </v>
      </c>
      <c r="D100" s="146" t="s">
        <v>36</v>
      </c>
      <c r="E100" s="146" t="s">
        <v>36</v>
      </c>
      <c r="F100" s="146" t="s">
        <v>14</v>
      </c>
      <c r="G100" s="146" t="s">
        <v>14</v>
      </c>
      <c r="H100" s="253" t="s">
        <v>36</v>
      </c>
      <c r="I100" s="146" t="s">
        <v>15</v>
      </c>
      <c r="J100" s="146" t="s">
        <v>379</v>
      </c>
      <c r="K100" s="146" t="s">
        <v>36</v>
      </c>
      <c r="L100" s="146" t="s">
        <v>36</v>
      </c>
      <c r="M100" s="146" t="s">
        <v>74</v>
      </c>
    </row>
    <row r="101" spans="2:17">
      <c r="B101" s="146" t="str">
        <f>Lang!A243</f>
        <v>LUCIOS 0.5</v>
      </c>
      <c r="C101" s="146" t="str">
        <f t="shared" si="15"/>
        <v>3011-L</v>
      </c>
      <c r="D101" s="146" t="s">
        <v>36</v>
      </c>
      <c r="E101" s="146" t="s">
        <v>16</v>
      </c>
      <c r="F101" s="146" t="s">
        <v>16</v>
      </c>
      <c r="G101" s="146" t="s">
        <v>16</v>
      </c>
      <c r="H101" s="146" t="s">
        <v>17</v>
      </c>
      <c r="I101" s="146" t="s">
        <v>17</v>
      </c>
      <c r="J101" s="146" t="s">
        <v>436</v>
      </c>
      <c r="K101" s="146" t="s">
        <v>36</v>
      </c>
      <c r="L101" s="146" t="s">
        <v>36</v>
      </c>
      <c r="M101" s="146">
        <v>3011</v>
      </c>
    </row>
    <row r="102" spans="2:17">
      <c r="B102" s="146" t="str">
        <f>Lang!A245</f>
        <v>MAT 0.45</v>
      </c>
      <c r="C102" s="146" t="str">
        <f t="shared" si="15"/>
        <v xml:space="preserve"> </v>
      </c>
      <c r="D102" s="146" t="s">
        <v>36</v>
      </c>
      <c r="E102" s="146" t="s">
        <v>36</v>
      </c>
      <c r="F102" s="146" t="s">
        <v>36</v>
      </c>
      <c r="G102" s="146" t="s">
        <v>36</v>
      </c>
      <c r="H102" s="146" t="s">
        <v>36</v>
      </c>
      <c r="I102" s="146" t="s">
        <v>36</v>
      </c>
      <c r="J102" s="146" t="s">
        <v>36</v>
      </c>
      <c r="K102" s="146" t="s">
        <v>36</v>
      </c>
      <c r="L102" s="146" t="s">
        <v>36</v>
      </c>
      <c r="M102" s="146">
        <v>5010</v>
      </c>
    </row>
    <row r="103" spans="2:17">
      <c r="B103" s="146" t="str">
        <f>Lang!A246</f>
        <v>MAT 0.5</v>
      </c>
      <c r="C103" s="146" t="str">
        <f t="shared" si="15"/>
        <v xml:space="preserve"> </v>
      </c>
      <c r="D103" s="146" t="s">
        <v>36</v>
      </c>
      <c r="E103" s="146" t="s">
        <v>36</v>
      </c>
      <c r="F103" s="146" t="s">
        <v>36</v>
      </c>
      <c r="G103" s="146" t="s">
        <v>18</v>
      </c>
      <c r="H103" s="146" t="s">
        <v>36</v>
      </c>
      <c r="I103" s="146" t="s">
        <v>36</v>
      </c>
      <c r="J103" s="146" t="s">
        <v>36</v>
      </c>
      <c r="K103" s="146" t="s">
        <v>36</v>
      </c>
      <c r="L103" s="146" t="s">
        <v>36</v>
      </c>
      <c r="M103" s="146" t="s">
        <v>36</v>
      </c>
    </row>
    <row r="104" spans="2:17">
      <c r="B104" s="146" t="str">
        <f>B242</f>
        <v>NEOMAT 30 0.5</v>
      </c>
      <c r="C104" s="146" t="str">
        <f t="shared" si="15"/>
        <v xml:space="preserve"> </v>
      </c>
      <c r="D104" s="146" t="s">
        <v>36</v>
      </c>
      <c r="E104" s="146" t="s">
        <v>36</v>
      </c>
      <c r="F104" s="146" t="s">
        <v>36</v>
      </c>
      <c r="G104" s="146" t="s">
        <v>19</v>
      </c>
      <c r="H104" s="146" t="s">
        <v>36</v>
      </c>
      <c r="I104" s="146" t="s">
        <v>20</v>
      </c>
      <c r="J104" s="146" t="s">
        <v>36</v>
      </c>
      <c r="K104" s="146" t="s">
        <v>36</v>
      </c>
      <c r="L104" s="146" t="s">
        <v>36</v>
      </c>
      <c r="M104" s="430" t="s">
        <v>36</v>
      </c>
    </row>
    <row r="105" spans="2:17">
      <c r="B105" s="414" t="str">
        <f>B243</f>
        <v>IMITATIE Lemn</v>
      </c>
      <c r="C105" s="146" t="str">
        <f t="shared" si="15"/>
        <v xml:space="preserve"> </v>
      </c>
      <c r="D105" s="146" t="s">
        <v>36</v>
      </c>
      <c r="E105" s="146" t="s">
        <v>36</v>
      </c>
      <c r="F105" s="146" t="s">
        <v>36</v>
      </c>
      <c r="G105" s="146" t="s">
        <v>36</v>
      </c>
      <c r="H105" s="146" t="s">
        <v>36</v>
      </c>
      <c r="I105" s="146" t="s">
        <v>22</v>
      </c>
      <c r="J105" s="146" t="s">
        <v>36</v>
      </c>
      <c r="K105" s="146" t="s">
        <v>36</v>
      </c>
      <c r="L105" s="146" t="s">
        <v>36</v>
      </c>
      <c r="M105" s="146">
        <v>6020</v>
      </c>
    </row>
    <row r="106" spans="2:17">
      <c r="B106" s="414" t="str">
        <f>B244</f>
        <v>IMITATIE Lemn GOLDEN OAK DP</v>
      </c>
      <c r="C106" s="146" t="str">
        <f t="shared" si="15"/>
        <v>7016-L</v>
      </c>
      <c r="D106" s="146" t="s">
        <v>36</v>
      </c>
      <c r="E106" s="232" t="s">
        <v>308</v>
      </c>
      <c r="F106" s="146" t="s">
        <v>308</v>
      </c>
      <c r="G106" s="146" t="s">
        <v>308</v>
      </c>
      <c r="H106" s="232" t="s">
        <v>275</v>
      </c>
      <c r="I106" s="146" t="s">
        <v>275</v>
      </c>
      <c r="J106" s="146" t="s">
        <v>437</v>
      </c>
      <c r="K106" s="146" t="s">
        <v>36</v>
      </c>
      <c r="L106" s="146" t="s">
        <v>36</v>
      </c>
      <c r="M106" s="146">
        <v>7016</v>
      </c>
    </row>
    <row r="107" spans="2:17">
      <c r="B107" s="146" t="str">
        <f>H357</f>
        <v>Otel Dublu prevopsit</v>
      </c>
      <c r="C107" s="146" t="str">
        <f t="shared" si="15"/>
        <v xml:space="preserve"> </v>
      </c>
      <c r="D107" s="146" t="s">
        <v>36</v>
      </c>
      <c r="E107" s="146" t="s">
        <v>36</v>
      </c>
      <c r="F107" s="146" t="s">
        <v>23</v>
      </c>
      <c r="G107" s="146" t="s">
        <v>23</v>
      </c>
      <c r="H107" s="146" t="s">
        <v>24</v>
      </c>
      <c r="I107" s="146" t="s">
        <v>24</v>
      </c>
      <c r="J107" s="146" t="s">
        <v>380</v>
      </c>
      <c r="K107" s="146" t="s">
        <v>36</v>
      </c>
      <c r="L107" s="146" t="s">
        <v>36</v>
      </c>
      <c r="M107" s="146">
        <v>7024</v>
      </c>
    </row>
    <row r="108" spans="2:17">
      <c r="B108" s="475" t="s">
        <v>545</v>
      </c>
      <c r="C108" s="146" t="str">
        <f t="shared" si="15"/>
        <v xml:space="preserve"> </v>
      </c>
      <c r="D108" s="146" t="s">
        <v>36</v>
      </c>
      <c r="E108" s="146" t="s">
        <v>36</v>
      </c>
      <c r="F108" s="146" t="s">
        <v>25</v>
      </c>
      <c r="G108" s="146" t="s">
        <v>25</v>
      </c>
      <c r="H108" s="146" t="s">
        <v>26</v>
      </c>
      <c r="I108" s="146" t="s">
        <v>26</v>
      </c>
      <c r="J108" s="146" t="s">
        <v>36</v>
      </c>
      <c r="K108" s="146" t="s">
        <v>36</v>
      </c>
      <c r="L108" s="146" t="s">
        <v>36</v>
      </c>
      <c r="M108" s="146">
        <v>8004</v>
      </c>
    </row>
    <row r="109" spans="2:17">
      <c r="C109" s="146" t="str">
        <f t="shared" si="15"/>
        <v xml:space="preserve"> </v>
      </c>
      <c r="D109" s="146" t="s">
        <v>36</v>
      </c>
      <c r="E109" s="146" t="s">
        <v>36</v>
      </c>
      <c r="F109" s="146" t="s">
        <v>36</v>
      </c>
      <c r="G109" s="146" t="s">
        <v>36</v>
      </c>
      <c r="H109" s="146" t="s">
        <v>36</v>
      </c>
      <c r="I109" s="146" t="s">
        <v>36</v>
      </c>
      <c r="J109" s="146" t="s">
        <v>438</v>
      </c>
      <c r="K109" s="146" t="s">
        <v>36</v>
      </c>
      <c r="L109" s="146" t="s">
        <v>36</v>
      </c>
      <c r="M109" s="146" t="s">
        <v>36</v>
      </c>
    </row>
    <row r="110" spans="2:17">
      <c r="C110" s="146" t="str">
        <f t="shared" si="15"/>
        <v>8017-L</v>
      </c>
      <c r="D110" s="146" t="s">
        <v>36</v>
      </c>
      <c r="E110" s="146" t="s">
        <v>28</v>
      </c>
      <c r="F110" s="146" t="s">
        <v>28</v>
      </c>
      <c r="G110" s="146" t="s">
        <v>28</v>
      </c>
      <c r="H110" s="146" t="s">
        <v>29</v>
      </c>
      <c r="I110" s="146" t="s">
        <v>29</v>
      </c>
      <c r="J110" s="146" t="s">
        <v>381</v>
      </c>
      <c r="K110" s="146" t="s">
        <v>36</v>
      </c>
      <c r="L110" s="146" t="s">
        <v>36</v>
      </c>
      <c r="M110" s="146">
        <v>8017</v>
      </c>
    </row>
    <row r="111" spans="2:17">
      <c r="C111" s="146" t="str">
        <f t="shared" si="15"/>
        <v xml:space="preserve"> </v>
      </c>
      <c r="D111" s="146" t="s">
        <v>36</v>
      </c>
      <c r="E111" s="146" t="s">
        <v>36</v>
      </c>
      <c r="F111" s="146" t="s">
        <v>36</v>
      </c>
      <c r="G111" s="146" t="s">
        <v>36</v>
      </c>
      <c r="H111" s="146" t="s">
        <v>31</v>
      </c>
      <c r="I111" s="146" t="s">
        <v>31</v>
      </c>
      <c r="J111" s="146" t="s">
        <v>382</v>
      </c>
      <c r="K111" s="146" t="s">
        <v>36</v>
      </c>
      <c r="L111" s="146" t="s">
        <v>36</v>
      </c>
      <c r="M111" s="146">
        <v>8019</v>
      </c>
    </row>
    <row r="112" spans="2:17">
      <c r="C112" s="146" t="str">
        <f t="shared" si="15"/>
        <v xml:space="preserve"> </v>
      </c>
      <c r="D112" s="146" t="s">
        <v>36</v>
      </c>
      <c r="E112" s="146" t="s">
        <v>36</v>
      </c>
      <c r="F112" s="146" t="s">
        <v>32</v>
      </c>
      <c r="G112" s="146" t="s">
        <v>32</v>
      </c>
      <c r="H112" s="146" t="s">
        <v>36</v>
      </c>
      <c r="I112" s="146" t="s">
        <v>36</v>
      </c>
      <c r="J112" s="146" t="s">
        <v>36</v>
      </c>
      <c r="K112" s="146" t="s">
        <v>36</v>
      </c>
      <c r="L112" s="146" t="s">
        <v>36</v>
      </c>
      <c r="M112" s="146" t="s">
        <v>36</v>
      </c>
    </row>
    <row r="113" spans="2:13">
      <c r="C113" s="146" t="str">
        <f t="shared" si="15"/>
        <v xml:space="preserve"> </v>
      </c>
      <c r="D113" s="146" t="s">
        <v>36</v>
      </c>
      <c r="E113" s="146" t="s">
        <v>36</v>
      </c>
      <c r="F113" s="146" t="s">
        <v>36</v>
      </c>
      <c r="G113" s="146" t="s">
        <v>36</v>
      </c>
      <c r="H113" s="146" t="s">
        <v>34</v>
      </c>
      <c r="I113" s="146" t="s">
        <v>34</v>
      </c>
      <c r="J113" s="146" t="s">
        <v>383</v>
      </c>
      <c r="K113" s="146" t="s">
        <v>36</v>
      </c>
      <c r="L113" s="146" t="s">
        <v>36</v>
      </c>
      <c r="M113" s="146">
        <v>9005</v>
      </c>
    </row>
    <row r="114" spans="2:13">
      <c r="C114" s="146" t="str">
        <f t="shared" si="15"/>
        <v xml:space="preserve"> </v>
      </c>
      <c r="D114" s="146" t="s">
        <v>36</v>
      </c>
      <c r="E114" s="146" t="s">
        <v>36</v>
      </c>
      <c r="F114" s="146" t="s">
        <v>35</v>
      </c>
      <c r="G114" s="146" t="s">
        <v>35</v>
      </c>
      <c r="H114" s="146" t="s">
        <v>36</v>
      </c>
      <c r="I114" s="146" t="s">
        <v>36</v>
      </c>
      <c r="J114" s="146" t="s">
        <v>36</v>
      </c>
      <c r="K114" s="146" t="s">
        <v>36</v>
      </c>
      <c r="L114" s="146" t="s">
        <v>36</v>
      </c>
      <c r="M114" s="473" t="s">
        <v>72</v>
      </c>
    </row>
    <row r="115" spans="2:13">
      <c r="C115" s="146" t="str">
        <f t="shared" si="15"/>
        <v xml:space="preserve"> </v>
      </c>
      <c r="D115" s="146" t="s">
        <v>36</v>
      </c>
      <c r="E115" s="146" t="s">
        <v>36</v>
      </c>
      <c r="F115" s="146" t="s">
        <v>36</v>
      </c>
      <c r="G115" s="146" t="s">
        <v>36</v>
      </c>
      <c r="H115" s="146" t="s">
        <v>36</v>
      </c>
      <c r="I115" s="146" t="s">
        <v>36</v>
      </c>
      <c r="J115" s="146" t="s">
        <v>36</v>
      </c>
      <c r="K115" s="146" t="s">
        <v>36</v>
      </c>
      <c r="L115" s="146" t="s">
        <v>36</v>
      </c>
      <c r="M115" s="146" t="s">
        <v>72</v>
      </c>
    </row>
    <row r="118" spans="2:13">
      <c r="B118" s="146">
        <v>1</v>
      </c>
    </row>
    <row r="119" spans="2:13">
      <c r="B119" s="146" t="s">
        <v>36</v>
      </c>
    </row>
    <row r="120" spans="2:13">
      <c r="B120" s="146" t="s">
        <v>266</v>
      </c>
    </row>
    <row r="121" spans="2:13">
      <c r="B121" s="146" t="s">
        <v>267</v>
      </c>
    </row>
    <row r="122" spans="2:13">
      <c r="B122" s="146" t="s">
        <v>303</v>
      </c>
    </row>
    <row r="123" spans="2:13">
      <c r="B123" s="146" t="s">
        <v>260</v>
      </c>
    </row>
    <row r="127" spans="2:13">
      <c r="B127" s="146">
        <v>1</v>
      </c>
      <c r="C127" s="146">
        <v>1</v>
      </c>
    </row>
    <row r="128" spans="2:13">
      <c r="B128" s="146" t="s">
        <v>36</v>
      </c>
    </row>
    <row r="129" spans="2:3">
      <c r="B129" s="146">
        <v>3005</v>
      </c>
      <c r="C129" s="227">
        <v>3005</v>
      </c>
    </row>
    <row r="130" spans="2:3">
      <c r="B130" s="146">
        <v>3011</v>
      </c>
      <c r="C130" s="227">
        <v>3011</v>
      </c>
    </row>
    <row r="131" spans="2:3">
      <c r="B131" s="146">
        <v>5010</v>
      </c>
      <c r="C131" s="227">
        <v>6005</v>
      </c>
    </row>
    <row r="132" spans="2:3">
      <c r="B132" s="146">
        <v>6005</v>
      </c>
      <c r="C132" s="227">
        <v>7016</v>
      </c>
    </row>
    <row r="133" spans="2:3">
      <c r="B133" s="146">
        <v>6020</v>
      </c>
      <c r="C133" s="227">
        <v>7024</v>
      </c>
    </row>
    <row r="134" spans="2:3">
      <c r="B134" s="146">
        <v>7016</v>
      </c>
      <c r="C134" s="227">
        <v>8004</v>
      </c>
    </row>
    <row r="135" spans="2:3">
      <c r="B135" s="146">
        <v>7024</v>
      </c>
      <c r="C135" s="227">
        <v>8017</v>
      </c>
    </row>
    <row r="136" spans="2:3">
      <c r="B136" s="146">
        <v>8004</v>
      </c>
      <c r="C136" s="227">
        <v>8019</v>
      </c>
    </row>
    <row r="137" spans="2:3">
      <c r="B137" s="146">
        <v>8017</v>
      </c>
      <c r="C137" s="227">
        <v>9002</v>
      </c>
    </row>
    <row r="138" spans="2:3">
      <c r="B138" s="146">
        <v>8019</v>
      </c>
      <c r="C138" s="227">
        <v>9006</v>
      </c>
    </row>
    <row r="139" spans="2:3">
      <c r="B139" s="146">
        <v>9002</v>
      </c>
      <c r="C139" s="227">
        <v>9005</v>
      </c>
    </row>
    <row r="140" spans="2:3">
      <c r="B140" s="146">
        <v>9006</v>
      </c>
    </row>
    <row r="141" spans="2:3">
      <c r="B141" s="146">
        <v>9005</v>
      </c>
    </row>
    <row r="146" spans="2:12">
      <c r="E146" s="149" t="s">
        <v>306</v>
      </c>
      <c r="F146" s="149" t="s">
        <v>307</v>
      </c>
      <c r="G146" s="149" t="s">
        <v>306</v>
      </c>
      <c r="H146" s="149" t="s">
        <v>307</v>
      </c>
      <c r="I146" s="149" t="s">
        <v>306</v>
      </c>
      <c r="J146" s="149" t="s">
        <v>307</v>
      </c>
      <c r="K146" s="146" t="s">
        <v>309</v>
      </c>
      <c r="L146" s="146" t="s">
        <v>310</v>
      </c>
    </row>
    <row r="147" spans="2:12">
      <c r="B147" s="146" t="s">
        <v>50</v>
      </c>
      <c r="E147" s="149">
        <v>0.4</v>
      </c>
      <c r="F147" s="149">
        <v>0.4</v>
      </c>
      <c r="G147" s="149">
        <v>0.45</v>
      </c>
      <c r="H147" s="149">
        <v>0.45</v>
      </c>
      <c r="I147" s="149">
        <v>0.5</v>
      </c>
      <c r="J147" s="149">
        <v>0.5</v>
      </c>
    </row>
    <row r="148" spans="2:12">
      <c r="B148" s="146" t="s">
        <v>36</v>
      </c>
    </row>
    <row r="149" spans="2:12">
      <c r="B149" s="146" t="b">
        <f>IF(AND(E2=2,D2=2),E149)</f>
        <v>0</v>
      </c>
      <c r="C149" s="146" t="s">
        <v>10</v>
      </c>
      <c r="D149" s="146" t="s">
        <v>11</v>
      </c>
      <c r="E149" s="146" t="s">
        <v>36</v>
      </c>
      <c r="F149" s="146" t="s">
        <v>36</v>
      </c>
      <c r="G149" s="146" t="s">
        <v>36</v>
      </c>
      <c r="H149" s="146" t="s">
        <v>36</v>
      </c>
      <c r="I149" s="146" t="str">
        <f>C149</f>
        <v>3000-L</v>
      </c>
      <c r="J149" s="146" t="s">
        <v>36</v>
      </c>
    </row>
    <row r="150" spans="2:12">
      <c r="C150" s="146" t="s">
        <v>12</v>
      </c>
      <c r="D150" s="146" t="s">
        <v>13</v>
      </c>
      <c r="E150" s="146" t="s">
        <v>36</v>
      </c>
      <c r="F150" s="146" t="str">
        <f>D150</f>
        <v>3005-M</v>
      </c>
      <c r="G150" s="146" t="str">
        <f>C150</f>
        <v>3005-L</v>
      </c>
      <c r="H150" s="146" t="str">
        <f>D150</f>
        <v>3005-M</v>
      </c>
      <c r="I150" s="146" t="str">
        <f>C150</f>
        <v>3005-L</v>
      </c>
      <c r="J150" s="146" t="str">
        <f>D150</f>
        <v>3005-M</v>
      </c>
    </row>
    <row r="151" spans="2:12">
      <c r="C151" s="146" t="s">
        <v>14</v>
      </c>
      <c r="D151" s="146" t="s">
        <v>15</v>
      </c>
      <c r="E151" s="146" t="s">
        <v>36</v>
      </c>
      <c r="F151" s="146" t="s">
        <v>36</v>
      </c>
      <c r="G151" s="146" t="str">
        <f>C151</f>
        <v>3009-L</v>
      </c>
      <c r="H151" s="146" t="s">
        <v>15</v>
      </c>
      <c r="I151" s="146" t="str">
        <f>C151</f>
        <v>3009-L</v>
      </c>
      <c r="J151" s="146" t="str">
        <f>D151</f>
        <v>3009-M</v>
      </c>
      <c r="K151" s="146" t="str">
        <f>D151</f>
        <v>3009-M</v>
      </c>
    </row>
    <row r="152" spans="2:12">
      <c r="C152" s="146" t="s">
        <v>16</v>
      </c>
      <c r="D152" s="146" t="s">
        <v>17</v>
      </c>
      <c r="E152" s="146" t="str">
        <f>C152</f>
        <v>3011-L</v>
      </c>
      <c r="F152" s="146" t="s">
        <v>36</v>
      </c>
      <c r="G152" s="146" t="str">
        <f>C152</f>
        <v>3011-L</v>
      </c>
      <c r="H152" s="146" t="s">
        <v>36</v>
      </c>
      <c r="I152" s="146" t="str">
        <f>C152</f>
        <v>3011-L</v>
      </c>
      <c r="J152" s="146" t="str">
        <f>D152</f>
        <v>3011-M</v>
      </c>
    </row>
    <row r="153" spans="2:12">
      <c r="C153" s="146" t="s">
        <v>36</v>
      </c>
      <c r="D153" s="146" t="s">
        <v>36</v>
      </c>
      <c r="E153" s="146" t="s">
        <v>36</v>
      </c>
      <c r="F153" s="146" t="s">
        <v>36</v>
      </c>
      <c r="G153" s="146" t="s">
        <v>36</v>
      </c>
      <c r="H153" s="146" t="s">
        <v>36</v>
      </c>
      <c r="I153" s="146" t="s">
        <v>36</v>
      </c>
      <c r="J153" s="146" t="s">
        <v>36</v>
      </c>
    </row>
    <row r="154" spans="2:12">
      <c r="C154" s="146" t="s">
        <v>18</v>
      </c>
      <c r="D154" s="146" t="s">
        <v>36</v>
      </c>
      <c r="E154" s="146" t="s">
        <v>36</v>
      </c>
      <c r="F154" s="146" t="s">
        <v>36</v>
      </c>
      <c r="G154" s="146" t="s">
        <v>36</v>
      </c>
      <c r="H154" s="146" t="s">
        <v>36</v>
      </c>
      <c r="I154" s="146" t="str">
        <f>C154</f>
        <v>5010-L</v>
      </c>
      <c r="J154" s="146" t="s">
        <v>36</v>
      </c>
    </row>
    <row r="155" spans="2:12">
      <c r="C155" s="146" t="s">
        <v>19</v>
      </c>
      <c r="D155" s="146" t="s">
        <v>20</v>
      </c>
      <c r="E155" s="146" t="s">
        <v>36</v>
      </c>
      <c r="F155" s="146" t="s">
        <v>36</v>
      </c>
      <c r="G155" s="146" t="s">
        <v>36</v>
      </c>
      <c r="H155" s="146" t="str">
        <f>D155</f>
        <v>6005-M</v>
      </c>
      <c r="I155" s="146" t="str">
        <f>C155</f>
        <v>6005-L</v>
      </c>
      <c r="J155" s="146" t="str">
        <f>D155</f>
        <v>6005-M</v>
      </c>
    </row>
    <row r="156" spans="2:12">
      <c r="C156" s="146" t="s">
        <v>21</v>
      </c>
      <c r="D156" s="146" t="s">
        <v>22</v>
      </c>
      <c r="E156" s="146" t="s">
        <v>36</v>
      </c>
      <c r="F156" s="146" t="s">
        <v>36</v>
      </c>
      <c r="G156" s="146" t="s">
        <v>36</v>
      </c>
      <c r="H156" s="146" t="s">
        <v>36</v>
      </c>
      <c r="I156" s="146" t="s">
        <v>36</v>
      </c>
      <c r="J156" s="146" t="str">
        <f>D156</f>
        <v>6020-M</v>
      </c>
    </row>
    <row r="157" spans="2:12">
      <c r="C157" s="146" t="s">
        <v>308</v>
      </c>
      <c r="E157" s="146" t="s">
        <v>36</v>
      </c>
      <c r="F157" s="495" t="s">
        <v>275</v>
      </c>
      <c r="G157" s="146" t="s">
        <v>36</v>
      </c>
      <c r="H157" s="146" t="s">
        <v>36</v>
      </c>
      <c r="I157" s="146" t="str">
        <f>C157</f>
        <v>7016-L</v>
      </c>
      <c r="J157" s="146" t="s">
        <v>36</v>
      </c>
    </row>
    <row r="158" spans="2:12">
      <c r="C158" s="146" t="s">
        <v>23</v>
      </c>
      <c r="D158" s="146" t="s">
        <v>24</v>
      </c>
      <c r="E158" s="146" t="s">
        <v>36</v>
      </c>
      <c r="F158" s="146" t="str">
        <f>D158</f>
        <v>7024-M</v>
      </c>
      <c r="G158" s="146" t="str">
        <f>C158</f>
        <v>7024-L</v>
      </c>
      <c r="H158" s="146" t="str">
        <f>D158</f>
        <v>7024-M</v>
      </c>
      <c r="I158" s="146" t="str">
        <f>C158</f>
        <v>7024-L</v>
      </c>
      <c r="J158" s="146" t="str">
        <f>D158</f>
        <v>7024-M</v>
      </c>
      <c r="L158" s="146" t="str">
        <f>D158</f>
        <v>7024-M</v>
      </c>
    </row>
    <row r="159" spans="2:12">
      <c r="C159" s="146" t="s">
        <v>25</v>
      </c>
      <c r="D159" s="146" t="s">
        <v>26</v>
      </c>
      <c r="E159" s="146" t="s">
        <v>36</v>
      </c>
      <c r="F159" s="146" t="s">
        <v>36</v>
      </c>
      <c r="G159" s="146" t="str">
        <f>C159</f>
        <v>8004-L</v>
      </c>
      <c r="H159" s="146" t="str">
        <f>D159</f>
        <v>8004-M</v>
      </c>
      <c r="I159" s="146" t="str">
        <f>C159</f>
        <v>8004-L</v>
      </c>
      <c r="J159" s="146" t="str">
        <f>D159</f>
        <v>8004-M</v>
      </c>
    </row>
    <row r="160" spans="2:12">
      <c r="C160" s="146" t="s">
        <v>36</v>
      </c>
      <c r="E160" s="146" t="s">
        <v>36</v>
      </c>
      <c r="F160" s="146" t="s">
        <v>36</v>
      </c>
      <c r="G160" s="146" t="s">
        <v>36</v>
      </c>
      <c r="H160" s="146" t="s">
        <v>36</v>
      </c>
      <c r="I160" s="146" t="s">
        <v>36</v>
      </c>
      <c r="J160" s="146" t="s">
        <v>36</v>
      </c>
    </row>
    <row r="161" spans="2:12">
      <c r="C161" s="146" t="s">
        <v>28</v>
      </c>
      <c r="D161" s="146" t="s">
        <v>29</v>
      </c>
      <c r="E161" s="146" t="str">
        <f>C161</f>
        <v>8017-L</v>
      </c>
      <c r="F161" s="146" t="str">
        <f>D161</f>
        <v>8017-M</v>
      </c>
      <c r="G161" s="146" t="str">
        <f>C161</f>
        <v>8017-L</v>
      </c>
      <c r="H161" s="146" t="str">
        <f>D161</f>
        <v>8017-M</v>
      </c>
      <c r="I161" s="146" t="str">
        <f>C161</f>
        <v>8017-L</v>
      </c>
      <c r="J161" s="146" t="str">
        <f>D161</f>
        <v>8017-M</v>
      </c>
      <c r="K161" s="146" t="str">
        <f>D161</f>
        <v>8017-M</v>
      </c>
      <c r="L161" s="146" t="str">
        <f>D161</f>
        <v>8017-M</v>
      </c>
    </row>
    <row r="162" spans="2:12">
      <c r="C162" s="146" t="s">
        <v>30</v>
      </c>
      <c r="D162" s="146" t="s">
        <v>31</v>
      </c>
      <c r="E162" s="146" t="s">
        <v>36</v>
      </c>
      <c r="F162" s="495" t="s">
        <v>36</v>
      </c>
      <c r="G162" s="146" t="s">
        <v>36</v>
      </c>
      <c r="H162" s="146" t="str">
        <f>D162</f>
        <v>8019-M</v>
      </c>
      <c r="I162" s="146" t="str">
        <f>C162</f>
        <v>8019-L</v>
      </c>
      <c r="J162" s="146" t="str">
        <f>D162</f>
        <v>8019-M</v>
      </c>
      <c r="K162" s="146" t="str">
        <f>D162</f>
        <v>8019-M</v>
      </c>
      <c r="L162" s="146" t="str">
        <f>D162</f>
        <v>8019-M</v>
      </c>
    </row>
    <row r="163" spans="2:12">
      <c r="C163" s="146" t="s">
        <v>32</v>
      </c>
      <c r="D163" s="146" t="s">
        <v>36</v>
      </c>
      <c r="E163" s="146" t="s">
        <v>36</v>
      </c>
      <c r="F163" s="146" t="s">
        <v>36</v>
      </c>
      <c r="G163" s="146" t="str">
        <f>C163</f>
        <v>9002-L</v>
      </c>
      <c r="H163" s="146" t="s">
        <v>36</v>
      </c>
      <c r="I163" s="146" t="str">
        <f>C163</f>
        <v>9002-L</v>
      </c>
      <c r="J163" s="146" t="s">
        <v>36</v>
      </c>
    </row>
    <row r="164" spans="2:12">
      <c r="C164" s="146" t="s">
        <v>33</v>
      </c>
      <c r="D164" s="146" t="s">
        <v>34</v>
      </c>
      <c r="E164" s="146" t="s">
        <v>36</v>
      </c>
      <c r="F164" s="146" t="s">
        <v>36</v>
      </c>
      <c r="G164" s="146" t="s">
        <v>36</v>
      </c>
      <c r="H164" s="146" t="str">
        <f>D164</f>
        <v>9005-M</v>
      </c>
      <c r="I164" s="146" t="s">
        <v>36</v>
      </c>
      <c r="J164" s="146" t="str">
        <f>D164</f>
        <v>9005-M</v>
      </c>
      <c r="K164" s="146" t="str">
        <f>D164</f>
        <v>9005-M</v>
      </c>
    </row>
    <row r="165" spans="2:12">
      <c r="C165" s="146" t="s">
        <v>35</v>
      </c>
      <c r="D165" s="146" t="s">
        <v>36</v>
      </c>
      <c r="E165" s="146" t="s">
        <v>36</v>
      </c>
      <c r="F165" s="146" t="s">
        <v>36</v>
      </c>
      <c r="G165" s="146" t="str">
        <f>C165</f>
        <v>9006-L</v>
      </c>
      <c r="H165" s="146" t="s">
        <v>36</v>
      </c>
      <c r="I165" s="146" t="str">
        <f>C165</f>
        <v>9006-L</v>
      </c>
      <c r="J165" s="146" t="s">
        <v>36</v>
      </c>
    </row>
    <row r="166" spans="2:12">
      <c r="C166" s="146">
        <v>12</v>
      </c>
    </row>
    <row r="168" spans="2:12">
      <c r="B168" s="146" t="str">
        <f>IF($C$166=2,E168,IF($C$166=3,E169,IF($C$166=4,E170,IF($C$166=5,E171,IF($C$166=6,E172,IF($C$166=7,E173,IF($C$166=8,E174,IF($C$166=9,E175,IF($C$166=10,E176,IF($C$166=11,E177,""))))))))))</f>
        <v/>
      </c>
      <c r="C168" s="146" t="s">
        <v>342</v>
      </c>
      <c r="D168" s="146">
        <v>430</v>
      </c>
      <c r="E168" s="146">
        <v>1210</v>
      </c>
    </row>
    <row r="169" spans="2:12">
      <c r="C169" s="146" t="s">
        <v>343</v>
      </c>
      <c r="D169" s="146">
        <v>475</v>
      </c>
      <c r="E169" s="146">
        <v>1200</v>
      </c>
    </row>
    <row r="170" spans="2:12">
      <c r="C170" s="146" t="s">
        <v>344</v>
      </c>
      <c r="D170" s="146">
        <v>500</v>
      </c>
      <c r="E170" s="146">
        <v>1200</v>
      </c>
    </row>
    <row r="171" spans="2:12">
      <c r="C171" s="146" t="s">
        <v>345</v>
      </c>
      <c r="D171" s="146">
        <v>450</v>
      </c>
      <c r="E171" s="146">
        <v>1160</v>
      </c>
    </row>
    <row r="172" spans="2:12">
      <c r="C172" s="146" t="s">
        <v>346</v>
      </c>
      <c r="D172" s="146">
        <v>490</v>
      </c>
      <c r="E172" s="146">
        <v>1200</v>
      </c>
    </row>
    <row r="173" spans="2:12">
      <c r="C173" s="146" t="s">
        <v>347</v>
      </c>
      <c r="D173" s="146">
        <v>490</v>
      </c>
      <c r="E173" s="146">
        <v>1200</v>
      </c>
    </row>
    <row r="174" spans="2:12">
      <c r="C174" s="146" t="s">
        <v>430</v>
      </c>
      <c r="E174" s="146">
        <v>1200</v>
      </c>
    </row>
    <row r="175" spans="2:12">
      <c r="C175" s="146" t="s">
        <v>431</v>
      </c>
      <c r="E175" s="146">
        <v>1200</v>
      </c>
    </row>
    <row r="176" spans="2:12">
      <c r="C176" s="146" t="s">
        <v>432</v>
      </c>
      <c r="E176" s="146">
        <v>1200</v>
      </c>
    </row>
    <row r="177" spans="1:23" s="200" customFormat="1">
      <c r="A177" s="507"/>
      <c r="C177" s="415" t="s">
        <v>2035</v>
      </c>
      <c r="E177" s="200">
        <v>1195</v>
      </c>
    </row>
    <row r="178" spans="1:23" s="484" customFormat="1">
      <c r="A178" s="507"/>
      <c r="C178" s="484" t="s">
        <v>2244</v>
      </c>
    </row>
    <row r="179" spans="1:23">
      <c r="D179" s="146" t="s">
        <v>342</v>
      </c>
      <c r="F179" s="146" t="s">
        <v>343</v>
      </c>
      <c r="H179" s="146" t="s">
        <v>344</v>
      </c>
      <c r="J179" s="146" t="s">
        <v>345</v>
      </c>
      <c r="L179" s="146" t="s">
        <v>348</v>
      </c>
      <c r="N179" s="146" t="s">
        <v>349</v>
      </c>
      <c r="P179" s="146" t="s">
        <v>430</v>
      </c>
      <c r="R179" s="146" t="s">
        <v>431</v>
      </c>
      <c r="T179" s="146" t="s">
        <v>432</v>
      </c>
      <c r="V179" s="415" t="s">
        <v>2036</v>
      </c>
    </row>
    <row r="180" spans="1:23">
      <c r="B180" s="146" t="str">
        <f>IF($C$166=2," ",Lang!A311)</f>
        <v>16 Pasi</v>
      </c>
      <c r="C180" s="200" t="str">
        <f t="shared" ref="C180:C195" si="16">IF($C$166=2,E180,IF($C$166=3,G180,IF($C$166=4,I180,IF($C$166=5,K180,IF($C$166=6,M180,IF($C$166=7,O180,IF($C$166=8,Q180,IF($C$166=9,S180,IF($C$166=10,U180,IF($C$166=11,W180,""))))))))))</f>
        <v/>
      </c>
      <c r="D180" s="193" t="s">
        <v>36</v>
      </c>
      <c r="E180" s="199" t="s">
        <v>36</v>
      </c>
      <c r="F180" s="146" t="s">
        <v>350</v>
      </c>
      <c r="G180" s="146">
        <f t="shared" ref="G180:G194" si="17">G181+350</f>
        <v>5725</v>
      </c>
      <c r="H180" s="146" t="s">
        <v>350</v>
      </c>
      <c r="I180" s="146">
        <f t="shared" ref="I180:I194" si="18">I181+350</f>
        <v>5750</v>
      </c>
      <c r="J180" s="146" t="s">
        <v>350</v>
      </c>
      <c r="K180" s="146">
        <f t="shared" ref="K180:K194" si="19">K181+350</f>
        <v>5700</v>
      </c>
      <c r="L180" s="146" t="s">
        <v>350</v>
      </c>
      <c r="M180" s="146">
        <f t="shared" ref="M180:M194" si="20">M181+350</f>
        <v>5740</v>
      </c>
      <c r="N180" s="146" t="s">
        <v>350</v>
      </c>
      <c r="O180" s="146">
        <f t="shared" ref="O180:O194" si="21">O181+350</f>
        <v>5740</v>
      </c>
      <c r="P180" s="146" t="s">
        <v>350</v>
      </c>
      <c r="Q180" s="146">
        <f t="shared" ref="Q180:Q194" si="22">Q181+350</f>
        <v>5725</v>
      </c>
      <c r="R180" s="146" t="s">
        <v>350</v>
      </c>
      <c r="S180" s="146">
        <f t="shared" ref="S180:S194" si="23">S181+350</f>
        <v>5740</v>
      </c>
      <c r="T180" s="146" t="s">
        <v>350</v>
      </c>
      <c r="U180" s="146">
        <f t="shared" ref="U180:U194" si="24">U181+350</f>
        <v>5740</v>
      </c>
      <c r="V180" s="415" t="s">
        <v>350</v>
      </c>
      <c r="W180" s="415">
        <f>I180</f>
        <v>5750</v>
      </c>
    </row>
    <row r="181" spans="1:23">
      <c r="B181" s="199" t="str">
        <f>IF($C$166=2," ",Lang!A312)</f>
        <v>15 Pasi</v>
      </c>
      <c r="C181" s="200" t="str">
        <f t="shared" si="16"/>
        <v/>
      </c>
      <c r="D181" s="193" t="s">
        <v>36</v>
      </c>
      <c r="E181" s="199" t="s">
        <v>36</v>
      </c>
      <c r="F181" s="146" t="s">
        <v>351</v>
      </c>
      <c r="G181" s="146">
        <f t="shared" si="17"/>
        <v>5375</v>
      </c>
      <c r="H181" s="146" t="s">
        <v>351</v>
      </c>
      <c r="I181" s="146">
        <f t="shared" si="18"/>
        <v>5400</v>
      </c>
      <c r="J181" s="146" t="s">
        <v>351</v>
      </c>
      <c r="K181" s="146">
        <f t="shared" si="19"/>
        <v>5350</v>
      </c>
      <c r="L181" s="146" t="s">
        <v>351</v>
      </c>
      <c r="M181" s="146">
        <f t="shared" si="20"/>
        <v>5390</v>
      </c>
      <c r="N181" s="146" t="s">
        <v>351</v>
      </c>
      <c r="O181" s="146">
        <f t="shared" si="21"/>
        <v>5390</v>
      </c>
      <c r="P181" s="146" t="s">
        <v>351</v>
      </c>
      <c r="Q181" s="146">
        <f t="shared" si="22"/>
        <v>5375</v>
      </c>
      <c r="R181" s="146" t="s">
        <v>351</v>
      </c>
      <c r="S181" s="146">
        <f t="shared" si="23"/>
        <v>5390</v>
      </c>
      <c r="T181" s="146" t="s">
        <v>351</v>
      </c>
      <c r="U181" s="146">
        <f t="shared" si="24"/>
        <v>5390</v>
      </c>
      <c r="V181" s="415" t="s">
        <v>351</v>
      </c>
      <c r="W181" s="415">
        <f t="shared" ref="W181:W195" si="25">I181</f>
        <v>5400</v>
      </c>
    </row>
    <row r="182" spans="1:23">
      <c r="B182" s="199" t="str">
        <f>IF($C$166=2," ",Lang!A313)</f>
        <v>14 Pasi</v>
      </c>
      <c r="C182" s="200" t="str">
        <f t="shared" si="16"/>
        <v/>
      </c>
      <c r="D182" s="193" t="s">
        <v>36</v>
      </c>
      <c r="E182" s="199" t="s">
        <v>36</v>
      </c>
      <c r="F182" s="146" t="s">
        <v>352</v>
      </c>
      <c r="G182" s="146">
        <f t="shared" si="17"/>
        <v>5025</v>
      </c>
      <c r="H182" s="146" t="s">
        <v>352</v>
      </c>
      <c r="I182" s="146">
        <f t="shared" si="18"/>
        <v>5050</v>
      </c>
      <c r="J182" s="146" t="s">
        <v>352</v>
      </c>
      <c r="K182" s="146">
        <f t="shared" si="19"/>
        <v>5000</v>
      </c>
      <c r="L182" s="146" t="s">
        <v>352</v>
      </c>
      <c r="M182" s="146">
        <f t="shared" si="20"/>
        <v>5040</v>
      </c>
      <c r="N182" s="146" t="s">
        <v>352</v>
      </c>
      <c r="O182" s="146">
        <f t="shared" si="21"/>
        <v>5040</v>
      </c>
      <c r="P182" s="146" t="s">
        <v>352</v>
      </c>
      <c r="Q182" s="146">
        <f t="shared" si="22"/>
        <v>5025</v>
      </c>
      <c r="R182" s="146" t="s">
        <v>352</v>
      </c>
      <c r="S182" s="146">
        <f t="shared" si="23"/>
        <v>5040</v>
      </c>
      <c r="T182" s="146" t="s">
        <v>352</v>
      </c>
      <c r="U182" s="146">
        <f t="shared" si="24"/>
        <v>5040</v>
      </c>
      <c r="V182" s="415" t="s">
        <v>352</v>
      </c>
      <c r="W182" s="415">
        <f t="shared" si="25"/>
        <v>5050</v>
      </c>
    </row>
    <row r="183" spans="1:23">
      <c r="B183" s="199" t="str">
        <f>IF($C$166=2," ",Lang!A314)</f>
        <v>13 Pasi</v>
      </c>
      <c r="C183" s="200" t="str">
        <f t="shared" si="16"/>
        <v/>
      </c>
      <c r="D183" s="193" t="s">
        <v>36</v>
      </c>
      <c r="E183" s="199" t="s">
        <v>36</v>
      </c>
      <c r="F183" s="146" t="s">
        <v>353</v>
      </c>
      <c r="G183" s="146">
        <f t="shared" si="17"/>
        <v>4675</v>
      </c>
      <c r="H183" s="146" t="s">
        <v>353</v>
      </c>
      <c r="I183" s="146">
        <f t="shared" si="18"/>
        <v>4700</v>
      </c>
      <c r="J183" s="146" t="s">
        <v>353</v>
      </c>
      <c r="K183" s="146">
        <f t="shared" si="19"/>
        <v>4650</v>
      </c>
      <c r="L183" s="146" t="s">
        <v>353</v>
      </c>
      <c r="M183" s="146">
        <f t="shared" si="20"/>
        <v>4690</v>
      </c>
      <c r="N183" s="146" t="s">
        <v>353</v>
      </c>
      <c r="O183" s="146">
        <f t="shared" si="21"/>
        <v>4690</v>
      </c>
      <c r="P183" s="146" t="s">
        <v>353</v>
      </c>
      <c r="Q183" s="146">
        <f t="shared" si="22"/>
        <v>4675</v>
      </c>
      <c r="R183" s="146" t="s">
        <v>353</v>
      </c>
      <c r="S183" s="146">
        <f t="shared" si="23"/>
        <v>4690</v>
      </c>
      <c r="T183" s="146" t="s">
        <v>353</v>
      </c>
      <c r="U183" s="146">
        <f t="shared" si="24"/>
        <v>4690</v>
      </c>
      <c r="V183" s="415" t="s">
        <v>353</v>
      </c>
      <c r="W183" s="415">
        <f t="shared" si="25"/>
        <v>4700</v>
      </c>
    </row>
    <row r="184" spans="1:23">
      <c r="B184" s="199" t="str">
        <f>IF($C$166=2," ",Lang!A315)</f>
        <v>12 Pasi</v>
      </c>
      <c r="C184" s="200" t="str">
        <f t="shared" si="16"/>
        <v/>
      </c>
      <c r="D184" s="193" t="s">
        <v>36</v>
      </c>
      <c r="E184" s="199" t="s">
        <v>36</v>
      </c>
      <c r="F184" s="146" t="s">
        <v>354</v>
      </c>
      <c r="G184" s="146">
        <f t="shared" si="17"/>
        <v>4325</v>
      </c>
      <c r="H184" s="146" t="s">
        <v>354</v>
      </c>
      <c r="I184" s="146">
        <f t="shared" si="18"/>
        <v>4350</v>
      </c>
      <c r="J184" s="146" t="s">
        <v>354</v>
      </c>
      <c r="K184" s="146">
        <f t="shared" si="19"/>
        <v>4300</v>
      </c>
      <c r="L184" s="146" t="s">
        <v>354</v>
      </c>
      <c r="M184" s="146">
        <f t="shared" si="20"/>
        <v>4340</v>
      </c>
      <c r="N184" s="146" t="s">
        <v>354</v>
      </c>
      <c r="O184" s="146">
        <f t="shared" si="21"/>
        <v>4340</v>
      </c>
      <c r="P184" s="146" t="s">
        <v>354</v>
      </c>
      <c r="Q184" s="146">
        <f t="shared" si="22"/>
        <v>4325</v>
      </c>
      <c r="R184" s="146" t="s">
        <v>354</v>
      </c>
      <c r="S184" s="146">
        <f t="shared" si="23"/>
        <v>4340</v>
      </c>
      <c r="T184" s="146" t="s">
        <v>354</v>
      </c>
      <c r="U184" s="146">
        <f t="shared" si="24"/>
        <v>4340</v>
      </c>
      <c r="V184" s="415" t="s">
        <v>354</v>
      </c>
      <c r="W184" s="415">
        <f t="shared" si="25"/>
        <v>4350</v>
      </c>
    </row>
    <row r="185" spans="1:23">
      <c r="B185" s="146" t="str">
        <f>Lang!A316</f>
        <v>11 Pasi</v>
      </c>
      <c r="C185" s="200" t="str">
        <f t="shared" si="16"/>
        <v/>
      </c>
      <c r="D185" s="146" t="s">
        <v>355</v>
      </c>
      <c r="E185" s="146">
        <f t="shared" ref="E185:E194" si="26">E186+350</f>
        <v>3930</v>
      </c>
      <c r="F185" s="146" t="s">
        <v>355</v>
      </c>
      <c r="G185" s="146">
        <f t="shared" si="17"/>
        <v>3975</v>
      </c>
      <c r="H185" s="146" t="s">
        <v>355</v>
      </c>
      <c r="I185" s="146">
        <f t="shared" si="18"/>
        <v>4000</v>
      </c>
      <c r="J185" s="146" t="s">
        <v>355</v>
      </c>
      <c r="K185" s="146">
        <f t="shared" si="19"/>
        <v>3950</v>
      </c>
      <c r="L185" s="146" t="s">
        <v>355</v>
      </c>
      <c r="M185" s="146">
        <f t="shared" si="20"/>
        <v>3990</v>
      </c>
      <c r="N185" s="146" t="s">
        <v>355</v>
      </c>
      <c r="O185" s="146">
        <f t="shared" si="21"/>
        <v>3990</v>
      </c>
      <c r="P185" s="146" t="s">
        <v>355</v>
      </c>
      <c r="Q185" s="146">
        <f t="shared" si="22"/>
        <v>3975</v>
      </c>
      <c r="R185" s="146" t="s">
        <v>355</v>
      </c>
      <c r="S185" s="146">
        <f t="shared" si="23"/>
        <v>3990</v>
      </c>
      <c r="T185" s="146" t="s">
        <v>355</v>
      </c>
      <c r="U185" s="146">
        <f t="shared" si="24"/>
        <v>3990</v>
      </c>
      <c r="V185" s="415" t="s">
        <v>355</v>
      </c>
      <c r="W185" s="415">
        <f t="shared" si="25"/>
        <v>4000</v>
      </c>
    </row>
    <row r="186" spans="1:23">
      <c r="B186" s="415" t="str">
        <f>Lang!A317</f>
        <v>10 Pasi</v>
      </c>
      <c r="C186" s="200" t="str">
        <f t="shared" si="16"/>
        <v/>
      </c>
      <c r="D186" s="146" t="s">
        <v>356</v>
      </c>
      <c r="E186" s="146">
        <f t="shared" si="26"/>
        <v>3580</v>
      </c>
      <c r="F186" s="146" t="s">
        <v>356</v>
      </c>
      <c r="G186" s="146">
        <f t="shared" si="17"/>
        <v>3625</v>
      </c>
      <c r="H186" s="146" t="s">
        <v>356</v>
      </c>
      <c r="I186" s="146">
        <f t="shared" si="18"/>
        <v>3650</v>
      </c>
      <c r="J186" s="146" t="s">
        <v>356</v>
      </c>
      <c r="K186" s="146">
        <f t="shared" si="19"/>
        <v>3600</v>
      </c>
      <c r="L186" s="146" t="s">
        <v>356</v>
      </c>
      <c r="M186" s="146">
        <f t="shared" si="20"/>
        <v>3640</v>
      </c>
      <c r="N186" s="146" t="s">
        <v>356</v>
      </c>
      <c r="O186" s="146">
        <f t="shared" si="21"/>
        <v>3640</v>
      </c>
      <c r="P186" s="146" t="s">
        <v>356</v>
      </c>
      <c r="Q186" s="146">
        <f t="shared" si="22"/>
        <v>3625</v>
      </c>
      <c r="R186" s="146" t="s">
        <v>356</v>
      </c>
      <c r="S186" s="146">
        <f t="shared" si="23"/>
        <v>3640</v>
      </c>
      <c r="T186" s="146" t="s">
        <v>356</v>
      </c>
      <c r="U186" s="146">
        <f t="shared" si="24"/>
        <v>3640</v>
      </c>
      <c r="V186" s="415" t="s">
        <v>356</v>
      </c>
      <c r="W186" s="415">
        <f t="shared" si="25"/>
        <v>3650</v>
      </c>
    </row>
    <row r="187" spans="1:23">
      <c r="B187" s="415" t="str">
        <f>Lang!A318</f>
        <v>9 Pasi</v>
      </c>
      <c r="C187" s="200" t="str">
        <f t="shared" si="16"/>
        <v/>
      </c>
      <c r="D187" s="146" t="s">
        <v>357</v>
      </c>
      <c r="E187" s="146">
        <f t="shared" si="26"/>
        <v>3230</v>
      </c>
      <c r="F187" s="146" t="s">
        <v>357</v>
      </c>
      <c r="G187" s="146">
        <f t="shared" si="17"/>
        <v>3275</v>
      </c>
      <c r="H187" s="146" t="s">
        <v>357</v>
      </c>
      <c r="I187" s="146">
        <f t="shared" si="18"/>
        <v>3300</v>
      </c>
      <c r="J187" s="146" t="s">
        <v>357</v>
      </c>
      <c r="K187" s="146">
        <f t="shared" si="19"/>
        <v>3250</v>
      </c>
      <c r="L187" s="146" t="s">
        <v>357</v>
      </c>
      <c r="M187" s="146">
        <f t="shared" si="20"/>
        <v>3290</v>
      </c>
      <c r="N187" s="146" t="s">
        <v>357</v>
      </c>
      <c r="O187" s="146">
        <f t="shared" si="21"/>
        <v>3290</v>
      </c>
      <c r="P187" s="146" t="s">
        <v>357</v>
      </c>
      <c r="Q187" s="146">
        <f t="shared" si="22"/>
        <v>3275</v>
      </c>
      <c r="R187" s="146" t="s">
        <v>357</v>
      </c>
      <c r="S187" s="146">
        <f t="shared" si="23"/>
        <v>3290</v>
      </c>
      <c r="T187" s="146" t="s">
        <v>357</v>
      </c>
      <c r="U187" s="146">
        <f t="shared" si="24"/>
        <v>3290</v>
      </c>
      <c r="V187" s="415" t="s">
        <v>357</v>
      </c>
      <c r="W187" s="415">
        <f t="shared" si="25"/>
        <v>3300</v>
      </c>
    </row>
    <row r="188" spans="1:23">
      <c r="B188" s="415" t="str">
        <f>Lang!A319</f>
        <v>8 Pasi</v>
      </c>
      <c r="C188" s="200" t="str">
        <f t="shared" si="16"/>
        <v/>
      </c>
      <c r="D188" s="146" t="s">
        <v>358</v>
      </c>
      <c r="E188" s="146">
        <f t="shared" si="26"/>
        <v>2880</v>
      </c>
      <c r="F188" s="146" t="s">
        <v>358</v>
      </c>
      <c r="G188" s="146">
        <f t="shared" si="17"/>
        <v>2925</v>
      </c>
      <c r="H188" s="146" t="s">
        <v>358</v>
      </c>
      <c r="I188" s="146">
        <f t="shared" si="18"/>
        <v>2950</v>
      </c>
      <c r="J188" s="146" t="s">
        <v>358</v>
      </c>
      <c r="K188" s="146">
        <f t="shared" si="19"/>
        <v>2900</v>
      </c>
      <c r="L188" s="146" t="s">
        <v>358</v>
      </c>
      <c r="M188" s="146">
        <f t="shared" si="20"/>
        <v>2940</v>
      </c>
      <c r="N188" s="146" t="s">
        <v>358</v>
      </c>
      <c r="O188" s="146">
        <f t="shared" si="21"/>
        <v>2940</v>
      </c>
      <c r="P188" s="146" t="s">
        <v>358</v>
      </c>
      <c r="Q188" s="146">
        <f t="shared" si="22"/>
        <v>2925</v>
      </c>
      <c r="R188" s="146" t="s">
        <v>358</v>
      </c>
      <c r="S188" s="146">
        <f t="shared" si="23"/>
        <v>2940</v>
      </c>
      <c r="T188" s="146" t="s">
        <v>358</v>
      </c>
      <c r="U188" s="146">
        <f t="shared" si="24"/>
        <v>2940</v>
      </c>
      <c r="V188" s="415" t="s">
        <v>358</v>
      </c>
      <c r="W188" s="415">
        <f t="shared" si="25"/>
        <v>2950</v>
      </c>
    </row>
    <row r="189" spans="1:23">
      <c r="B189" s="415" t="str">
        <f>Lang!A320</f>
        <v>7 Pasi</v>
      </c>
      <c r="C189" s="200" t="str">
        <f t="shared" si="16"/>
        <v/>
      </c>
      <c r="D189" s="146" t="s">
        <v>359</v>
      </c>
      <c r="E189" s="146">
        <f t="shared" si="26"/>
        <v>2530</v>
      </c>
      <c r="F189" s="146" t="s">
        <v>359</v>
      </c>
      <c r="G189" s="146">
        <f t="shared" si="17"/>
        <v>2575</v>
      </c>
      <c r="H189" s="146" t="s">
        <v>359</v>
      </c>
      <c r="I189" s="146">
        <f t="shared" si="18"/>
        <v>2600</v>
      </c>
      <c r="J189" s="146" t="s">
        <v>359</v>
      </c>
      <c r="K189" s="146">
        <f t="shared" si="19"/>
        <v>2550</v>
      </c>
      <c r="L189" s="146" t="s">
        <v>359</v>
      </c>
      <c r="M189" s="146">
        <f t="shared" si="20"/>
        <v>2590</v>
      </c>
      <c r="N189" s="146" t="s">
        <v>359</v>
      </c>
      <c r="O189" s="146">
        <f t="shared" si="21"/>
        <v>2590</v>
      </c>
      <c r="P189" s="146" t="s">
        <v>359</v>
      </c>
      <c r="Q189" s="146">
        <f t="shared" si="22"/>
        <v>2575</v>
      </c>
      <c r="R189" s="146" t="s">
        <v>359</v>
      </c>
      <c r="S189" s="146">
        <f t="shared" si="23"/>
        <v>2590</v>
      </c>
      <c r="T189" s="146" t="s">
        <v>359</v>
      </c>
      <c r="U189" s="146">
        <f t="shared" si="24"/>
        <v>2590</v>
      </c>
      <c r="V189" s="415" t="s">
        <v>359</v>
      </c>
      <c r="W189" s="415">
        <f t="shared" si="25"/>
        <v>2600</v>
      </c>
    </row>
    <row r="190" spans="1:23">
      <c r="B190" s="415" t="str">
        <f>Lang!A321</f>
        <v>6 Pasi</v>
      </c>
      <c r="C190" s="200" t="str">
        <f t="shared" si="16"/>
        <v/>
      </c>
      <c r="D190" s="146" t="s">
        <v>360</v>
      </c>
      <c r="E190" s="146">
        <f t="shared" si="26"/>
        <v>2180</v>
      </c>
      <c r="F190" s="146" t="s">
        <v>360</v>
      </c>
      <c r="G190" s="146">
        <f t="shared" si="17"/>
        <v>2225</v>
      </c>
      <c r="H190" s="146" t="s">
        <v>360</v>
      </c>
      <c r="I190" s="146">
        <f t="shared" si="18"/>
        <v>2250</v>
      </c>
      <c r="J190" s="146" t="s">
        <v>360</v>
      </c>
      <c r="K190" s="146">
        <f t="shared" si="19"/>
        <v>2200</v>
      </c>
      <c r="L190" s="146" t="s">
        <v>360</v>
      </c>
      <c r="M190" s="146">
        <f t="shared" si="20"/>
        <v>2240</v>
      </c>
      <c r="N190" s="146" t="s">
        <v>360</v>
      </c>
      <c r="O190" s="146">
        <f t="shared" si="21"/>
        <v>2240</v>
      </c>
      <c r="P190" s="146" t="s">
        <v>360</v>
      </c>
      <c r="Q190" s="146">
        <f t="shared" si="22"/>
        <v>2225</v>
      </c>
      <c r="R190" s="146" t="s">
        <v>360</v>
      </c>
      <c r="S190" s="146">
        <f t="shared" si="23"/>
        <v>2240</v>
      </c>
      <c r="T190" s="146" t="s">
        <v>360</v>
      </c>
      <c r="U190" s="146">
        <f t="shared" si="24"/>
        <v>2240</v>
      </c>
      <c r="V190" s="415" t="s">
        <v>360</v>
      </c>
      <c r="W190" s="415">
        <f t="shared" si="25"/>
        <v>2250</v>
      </c>
    </row>
    <row r="191" spans="1:23">
      <c r="B191" s="415" t="str">
        <f>Lang!A322</f>
        <v>5 Pasi</v>
      </c>
      <c r="C191" s="200" t="str">
        <f t="shared" si="16"/>
        <v/>
      </c>
      <c r="D191" s="146" t="s">
        <v>361</v>
      </c>
      <c r="E191" s="146">
        <f t="shared" si="26"/>
        <v>1830</v>
      </c>
      <c r="F191" s="146" t="s">
        <v>361</v>
      </c>
      <c r="G191" s="146">
        <f t="shared" si="17"/>
        <v>1875</v>
      </c>
      <c r="H191" s="146" t="s">
        <v>361</v>
      </c>
      <c r="I191" s="146">
        <f t="shared" si="18"/>
        <v>1900</v>
      </c>
      <c r="J191" s="146" t="s">
        <v>361</v>
      </c>
      <c r="K191" s="146">
        <f t="shared" si="19"/>
        <v>1850</v>
      </c>
      <c r="L191" s="146" t="s">
        <v>361</v>
      </c>
      <c r="M191" s="146">
        <f t="shared" si="20"/>
        <v>1890</v>
      </c>
      <c r="N191" s="146" t="s">
        <v>361</v>
      </c>
      <c r="O191" s="146">
        <f t="shared" si="21"/>
        <v>1890</v>
      </c>
      <c r="P191" s="146" t="s">
        <v>361</v>
      </c>
      <c r="Q191" s="146">
        <f t="shared" si="22"/>
        <v>1875</v>
      </c>
      <c r="R191" s="146" t="s">
        <v>361</v>
      </c>
      <c r="S191" s="146">
        <f t="shared" si="23"/>
        <v>1890</v>
      </c>
      <c r="T191" s="146" t="s">
        <v>361</v>
      </c>
      <c r="U191" s="146">
        <f t="shared" si="24"/>
        <v>1890</v>
      </c>
      <c r="V191" s="415" t="s">
        <v>361</v>
      </c>
      <c r="W191" s="415">
        <f t="shared" si="25"/>
        <v>1900</v>
      </c>
    </row>
    <row r="192" spans="1:23">
      <c r="B192" s="415" t="str">
        <f>Lang!A323</f>
        <v>4 Pasi</v>
      </c>
      <c r="C192" s="200" t="str">
        <f t="shared" si="16"/>
        <v/>
      </c>
      <c r="D192" s="146" t="s">
        <v>362</v>
      </c>
      <c r="E192" s="146">
        <f t="shared" si="26"/>
        <v>1480</v>
      </c>
      <c r="F192" s="146" t="s">
        <v>362</v>
      </c>
      <c r="G192" s="146">
        <f t="shared" si="17"/>
        <v>1525</v>
      </c>
      <c r="H192" s="146" t="s">
        <v>362</v>
      </c>
      <c r="I192" s="146">
        <f t="shared" si="18"/>
        <v>1550</v>
      </c>
      <c r="J192" s="146" t="s">
        <v>362</v>
      </c>
      <c r="K192" s="146">
        <f t="shared" si="19"/>
        <v>1500</v>
      </c>
      <c r="L192" s="146" t="s">
        <v>362</v>
      </c>
      <c r="M192" s="146">
        <f t="shared" si="20"/>
        <v>1540</v>
      </c>
      <c r="N192" s="146" t="s">
        <v>362</v>
      </c>
      <c r="O192" s="146">
        <f t="shared" si="21"/>
        <v>1540</v>
      </c>
      <c r="P192" s="146" t="s">
        <v>362</v>
      </c>
      <c r="Q192" s="146">
        <f t="shared" si="22"/>
        <v>1525</v>
      </c>
      <c r="R192" s="146" t="s">
        <v>362</v>
      </c>
      <c r="S192" s="146">
        <f t="shared" si="23"/>
        <v>1540</v>
      </c>
      <c r="T192" s="146" t="s">
        <v>362</v>
      </c>
      <c r="U192" s="146">
        <f t="shared" si="24"/>
        <v>1540</v>
      </c>
      <c r="V192" s="415" t="s">
        <v>362</v>
      </c>
      <c r="W192" s="415">
        <f t="shared" si="25"/>
        <v>1550</v>
      </c>
    </row>
    <row r="193" spans="2:24">
      <c r="B193" s="415" t="str">
        <f>Lang!A324</f>
        <v>3 Pasi</v>
      </c>
      <c r="C193" s="200" t="str">
        <f t="shared" si="16"/>
        <v/>
      </c>
      <c r="D193" s="146" t="s">
        <v>363</v>
      </c>
      <c r="E193" s="146">
        <f t="shared" si="26"/>
        <v>1130</v>
      </c>
      <c r="F193" s="146" t="s">
        <v>363</v>
      </c>
      <c r="G193" s="146">
        <f t="shared" si="17"/>
        <v>1175</v>
      </c>
      <c r="H193" s="146" t="s">
        <v>363</v>
      </c>
      <c r="I193" s="146">
        <f t="shared" si="18"/>
        <v>1200</v>
      </c>
      <c r="J193" s="146" t="s">
        <v>363</v>
      </c>
      <c r="K193" s="146">
        <f t="shared" si="19"/>
        <v>1150</v>
      </c>
      <c r="L193" s="146" t="s">
        <v>363</v>
      </c>
      <c r="M193" s="146">
        <f t="shared" si="20"/>
        <v>1190</v>
      </c>
      <c r="N193" s="146" t="s">
        <v>363</v>
      </c>
      <c r="O193" s="146">
        <f t="shared" si="21"/>
        <v>1190</v>
      </c>
      <c r="P193" s="146" t="s">
        <v>363</v>
      </c>
      <c r="Q193" s="146">
        <f t="shared" si="22"/>
        <v>1175</v>
      </c>
      <c r="R193" s="146" t="s">
        <v>363</v>
      </c>
      <c r="S193" s="146">
        <f t="shared" si="23"/>
        <v>1190</v>
      </c>
      <c r="T193" s="146" t="s">
        <v>363</v>
      </c>
      <c r="U193" s="146">
        <f t="shared" si="24"/>
        <v>1190</v>
      </c>
      <c r="V193" s="415" t="s">
        <v>363</v>
      </c>
      <c r="W193" s="415">
        <f t="shared" si="25"/>
        <v>1200</v>
      </c>
    </row>
    <row r="194" spans="2:24">
      <c r="B194" s="415" t="str">
        <f>Lang!A325</f>
        <v>2 Pasi</v>
      </c>
      <c r="C194" s="200" t="str">
        <f t="shared" si="16"/>
        <v/>
      </c>
      <c r="D194" s="146" t="s">
        <v>364</v>
      </c>
      <c r="E194" s="146">
        <f t="shared" si="26"/>
        <v>780</v>
      </c>
      <c r="F194" s="146" t="s">
        <v>364</v>
      </c>
      <c r="G194" s="146">
        <f t="shared" si="17"/>
        <v>825</v>
      </c>
      <c r="H194" s="146" t="s">
        <v>364</v>
      </c>
      <c r="I194" s="146">
        <f t="shared" si="18"/>
        <v>850</v>
      </c>
      <c r="J194" s="146" t="s">
        <v>364</v>
      </c>
      <c r="K194" s="146">
        <f t="shared" si="19"/>
        <v>800</v>
      </c>
      <c r="L194" s="146" t="s">
        <v>364</v>
      </c>
      <c r="M194" s="146">
        <f t="shared" si="20"/>
        <v>840</v>
      </c>
      <c r="N194" s="146" t="s">
        <v>364</v>
      </c>
      <c r="O194" s="146">
        <f t="shared" si="21"/>
        <v>840</v>
      </c>
      <c r="P194" s="146" t="s">
        <v>364</v>
      </c>
      <c r="Q194" s="146">
        <f t="shared" si="22"/>
        <v>825</v>
      </c>
      <c r="R194" s="146" t="s">
        <v>364</v>
      </c>
      <c r="S194" s="146">
        <f t="shared" si="23"/>
        <v>840</v>
      </c>
      <c r="T194" s="146" t="s">
        <v>364</v>
      </c>
      <c r="U194" s="146">
        <f t="shared" si="24"/>
        <v>840</v>
      </c>
      <c r="V194" s="415" t="s">
        <v>364</v>
      </c>
      <c r="W194" s="415">
        <f t="shared" si="25"/>
        <v>850</v>
      </c>
    </row>
    <row r="195" spans="2:24">
      <c r="B195" s="415" t="str">
        <f>Lang!A326</f>
        <v>1 Pas</v>
      </c>
      <c r="C195" s="200" t="str">
        <f t="shared" si="16"/>
        <v/>
      </c>
      <c r="D195" s="146" t="s">
        <v>365</v>
      </c>
      <c r="E195" s="146">
        <f>D168</f>
        <v>430</v>
      </c>
      <c r="F195" s="146" t="s">
        <v>365</v>
      </c>
      <c r="G195" s="146">
        <f>D169</f>
        <v>475</v>
      </c>
      <c r="H195" s="146" t="s">
        <v>365</v>
      </c>
      <c r="I195" s="146">
        <f>D170</f>
        <v>500</v>
      </c>
      <c r="J195" s="146" t="s">
        <v>365</v>
      </c>
      <c r="K195" s="146">
        <f>D171</f>
        <v>450</v>
      </c>
      <c r="L195" s="146" t="s">
        <v>365</v>
      </c>
      <c r="M195" s="146">
        <f>D172</f>
        <v>490</v>
      </c>
      <c r="N195" s="146" t="s">
        <v>365</v>
      </c>
      <c r="O195" s="146">
        <f>D173</f>
        <v>490</v>
      </c>
      <c r="P195" s="146" t="s">
        <v>365</v>
      </c>
      <c r="Q195" s="146">
        <f>D169</f>
        <v>475</v>
      </c>
      <c r="R195" s="146" t="s">
        <v>365</v>
      </c>
      <c r="S195" s="146">
        <f>D172</f>
        <v>490</v>
      </c>
      <c r="T195" s="146" t="s">
        <v>365</v>
      </c>
      <c r="U195" s="146">
        <f>D173</f>
        <v>490</v>
      </c>
      <c r="V195" s="415" t="s">
        <v>365</v>
      </c>
      <c r="W195" s="415">
        <f t="shared" si="25"/>
        <v>500</v>
      </c>
    </row>
    <row r="197" spans="2:24">
      <c r="B197" s="146">
        <v>6</v>
      </c>
      <c r="C197" s="146">
        <f>F197+H197+J197+L197+N197+P197+R197+T197+V197+X197</f>
        <v>0</v>
      </c>
      <c r="E197" s="146" t="s">
        <v>342</v>
      </c>
      <c r="F197" s="146">
        <f>IF(AND($C$166=2,$B$197=2),F199,IF(AND($C$166=2,$B$197=3),F200,IF(AND($C$166=2,$B$197=4),F201,IF(AND($C$166=2,$B$197=5),F202,IF(AND($C$166=2,$B$197=6),F203,IF(AND($C$166=2,$B$197=7),F204,IF(AND($C$166=2,$B$197=8),F205,IF(AND($C$166=2,$B$197=9),F206,IF(AND($C$166=2,$B$197=10),F207,0)))))))))</f>
        <v>0</v>
      </c>
      <c r="G197" s="146" t="s">
        <v>343</v>
      </c>
      <c r="H197" s="146">
        <f>IF(AND($C$166=3,$B$197=2),H199,IF(AND($C$166=3,$B$197=3),H200,IF(AND($C$166=3,$B$197=4),H201,IF(AND($C$166=3,$B$197=5),H202,IF(AND($C$166=3,$B$197=6),H203,IF(AND($C$166=3,$B$197=7),H204,IF(AND($C$166=3,$B$197=8),H205,IF(AND($C$166=3,$B$197=9),H206,IF(AND($C$166=3,$B$197=10),H207,0)))))))))</f>
        <v>0</v>
      </c>
      <c r="I197" s="146" t="s">
        <v>344</v>
      </c>
      <c r="J197" s="146">
        <f>IF(AND($C$166=4,$B$197=2),J199,IF(AND($C$166=4,$B$197=3),J200,IF(AND($C$166=4,$B$197=4),J201,IF(AND($C$166=4,$B$197=5),J202,IF(AND($C$166=4,$B$197=6),J203,IF(AND($C$166=4,$B$197=7),J204,IF(AND($C$166=4,$B$197=8),J205,IF(AND($C$166=4,$B$197=9),J206,IF(AND($C$166=4,$B$197=10),J207,0)))))))))</f>
        <v>0</v>
      </c>
      <c r="K197" s="146" t="s">
        <v>345</v>
      </c>
      <c r="L197" s="146">
        <f>IF(AND($C$166=5,$B$197=2),L199,IF(AND($C$166=5,$B$197=3),L200,IF(AND($C$166=5,$B$197=4),L201,IF(AND($C$166=5,$B$197=5),L202,IF(AND($C$166=5,$B$197=6),L203,IF(AND($C$166=5,$B$197=7),L204,IF(AND($C$166=5,$B$197=8),L205,IF(AND($C$166=5,$B$197=9),L206,IF(AND($C$166=5,$B$197=10),L207,0)))))))))</f>
        <v>0</v>
      </c>
      <c r="M197" s="146" t="s">
        <v>348</v>
      </c>
      <c r="N197" s="146">
        <f>IF(AND($C$166=6,$B$197=2),N199,IF(AND($C$166=6,$B$197=3),N200,IF(AND($C$166=6,$B$197=4),N201,IF(AND($C$166=6,$B$197=5),N202,IF(AND($C$166=6,$B$197=6),N203,IF(AND($C$166=6,$B$197=7),N204,IF(AND($C$166=6,$B$197=8),N205,IF(AND($C$166=6,$B$197=9),N206,IF(AND($C$166=6,$B$197=10),N207,0)))))))))</f>
        <v>0</v>
      </c>
      <c r="O197" s="146" t="s">
        <v>349</v>
      </c>
      <c r="P197" s="146">
        <f>IF(AND($C$166=7,$B$197=2),P199,IF(AND($C$166=7,$B$197=3),P200,IF(AND($C$166=7,$B$197=4),P201,IF(AND($C$166=7,$B$197=5),P202,IF(AND($C$166=7,$B$197=6),P203,IF(AND($C$166=7,$B$197=7),P204,IF(AND($C$166=7,$B$197=8),P205,IF(AND($C$166=7,$B$197=9),P206,IF(AND($C$166=7,$B$197=10),P207,0)))))))))</f>
        <v>0</v>
      </c>
      <c r="Q197" s="146" t="s">
        <v>430</v>
      </c>
      <c r="R197" s="146">
        <f>IF(AND($C$166=8,$B$197=2),R199,IF(AND($C$166=8,$B$197=3),R200,IF(AND($C$166=8,$B$197=4),R201,IF(AND($C$166=8,$B$197=5),R202,IF(AND($C$166=8,$B$197=6),R203,IF(AND($C$166=8,$B$197=7),R204,IF(AND($C$166=8,$B$197=8),R205,IF(AND($C$166=8,$B$197=9),R206,IF(AND($C$166=8,$B$197=10),R207,0)))))))))</f>
        <v>0</v>
      </c>
      <c r="S197" s="146" t="s">
        <v>431</v>
      </c>
      <c r="T197" s="146">
        <f>IF(AND($C$166=9,$B$197=2),T199,IF(AND($C$166=9,$B$197=3),T200,IF(AND($C$166=9,$B$197=4),T201,IF(AND($C$166=9,$B$197=5),T202,IF(AND($C$166=9,$B$197=6),T203,IF(AND($C$166=9,$B$197=7),T204,IF(AND($C$166=9,$B$197=8),T205,IF(AND($C$166=9,$B$197=9),T206,IF(AND($C$166=9,$B$197=10),T207,0)))))))))</f>
        <v>0</v>
      </c>
      <c r="U197" s="146" t="s">
        <v>432</v>
      </c>
      <c r="V197" s="146">
        <f>IF(AND($C$166=10,$B$197=2),V199,IF(AND($C$166=10,$B$197=3),V200,IF(AND($C$166=10,$B$197=4),V201,IF(AND($C$166=10,$B$197=5),V202,IF(AND($C$166=10,$B$197=6),V203,IF(AND($C$166=10,$B$197=7),V204,IF(AND($C$166=10,$B$197=8),V205,IF(AND($C$166=10,$B$197=9),V206,IF(AND($C$166=10,$B$197=10),V207,0)))))))))</f>
        <v>0</v>
      </c>
      <c r="W197" s="415" t="s">
        <v>2037</v>
      </c>
      <c r="X197" s="146">
        <f>IF(AND($C$166=11,$B$197=5),X202,IF(AND($C$166=11,$B$197=7),X204,IF(AND($C$166=11,$B$197=8),X205,IF(AND($C$166=11,$B$197=9),X206,IF(AND($C$166=11,$B$197=10),X207,0)))))</f>
        <v>0</v>
      </c>
    </row>
    <row r="199" spans="2:24">
      <c r="B199" s="146" t="str">
        <f>IF($C$166=2,E199,IF($C$166=3,G199,IF($C$166=4,I199,IF($C$166=5,K199,IF($C$166=6,M199,IF($C$166=7,O199,IF($C$166=8,Q199,IF($C$166=9,S199,IF($C$166=10,U199,IF($C$166=11,W199,""))))))))))</f>
        <v/>
      </c>
      <c r="E199" s="146" t="s">
        <v>36</v>
      </c>
      <c r="F199" s="146">
        <f>Info!C1</f>
        <v>0</v>
      </c>
      <c r="G199" s="146" t="s">
        <v>36</v>
      </c>
      <c r="H199" s="146">
        <f>Info!C10</f>
        <v>0</v>
      </c>
      <c r="I199" s="146" t="s">
        <v>36</v>
      </c>
      <c r="J199" s="146">
        <f>Info!C19</f>
        <v>0</v>
      </c>
      <c r="K199" s="146" t="s">
        <v>36</v>
      </c>
      <c r="L199" s="146">
        <f>Info!C28</f>
        <v>0</v>
      </c>
      <c r="M199" s="146" t="str">
        <f>Lang!A240</f>
        <v>LUCIOS 0.35</v>
      </c>
      <c r="N199" s="146">
        <f>Info!C37</f>
        <v>4.25</v>
      </c>
      <c r="O199" s="146" t="s">
        <v>36</v>
      </c>
      <c r="P199" s="146">
        <f t="shared" ref="P199:P207" si="27">N199</f>
        <v>4.25</v>
      </c>
      <c r="Q199" s="146" t="s">
        <v>36</v>
      </c>
      <c r="R199" s="146">
        <f>Info!C46</f>
        <v>0</v>
      </c>
      <c r="S199" s="146" t="s">
        <v>36</v>
      </c>
      <c r="T199" s="146">
        <f>Info!C55</f>
        <v>0</v>
      </c>
      <c r="U199" s="146" t="s">
        <v>36</v>
      </c>
      <c r="V199" s="146">
        <f t="shared" ref="V199:V207" si="28">T199</f>
        <v>0</v>
      </c>
      <c r="W199" s="202" t="str">
        <f>I199</f>
        <v xml:space="preserve"> </v>
      </c>
    </row>
    <row r="200" spans="2:24">
      <c r="B200" s="202" t="str">
        <f t="shared" ref="B200:B207" si="29">IF($C$166=2,E200,IF($C$166=3,G200,IF($C$166=4,I200,IF($C$166=5,K200,IF($C$166=6,M200,IF($C$166=7,O200,IF($C$166=8,Q200,IF($C$166=9,S200,IF($C$166=10,U200,IF($C$166=11,W200,""))))))))))</f>
        <v/>
      </c>
      <c r="E200" s="146" t="s">
        <v>36</v>
      </c>
      <c r="F200" s="146">
        <f>Info!C2</f>
        <v>0</v>
      </c>
      <c r="G200" s="146" t="s">
        <v>36</v>
      </c>
      <c r="H200" s="146">
        <f>Info!C11</f>
        <v>0</v>
      </c>
      <c r="I200" s="146" t="s">
        <v>36</v>
      </c>
      <c r="J200" s="146">
        <f>Info!C20</f>
        <v>0</v>
      </c>
      <c r="K200" s="146" t="s">
        <v>36</v>
      </c>
      <c r="L200" s="146">
        <f>Info!C29</f>
        <v>0</v>
      </c>
      <c r="M200" s="146" t="str">
        <f>Lang!A241</f>
        <v>LUCIOS 0.4</v>
      </c>
      <c r="N200" s="146">
        <f>Info!C38</f>
        <v>4.74</v>
      </c>
      <c r="O200" s="146" t="s">
        <v>36</v>
      </c>
      <c r="P200" s="146">
        <f t="shared" si="27"/>
        <v>4.74</v>
      </c>
      <c r="Q200" s="146" t="s">
        <v>36</v>
      </c>
      <c r="R200" s="146">
        <f>Info!C47</f>
        <v>0</v>
      </c>
      <c r="S200" s="146" t="s">
        <v>36</v>
      </c>
      <c r="T200" s="146">
        <f>Info!C56</f>
        <v>0</v>
      </c>
      <c r="U200" s="146" t="s">
        <v>36</v>
      </c>
      <c r="V200" s="146">
        <f t="shared" si="28"/>
        <v>0</v>
      </c>
      <c r="W200" s="415" t="str">
        <f t="shared" ref="W200:W207" si="30">I200</f>
        <v xml:space="preserve"> </v>
      </c>
    </row>
    <row r="201" spans="2:24">
      <c r="B201" s="202" t="str">
        <f t="shared" si="29"/>
        <v/>
      </c>
      <c r="E201" s="146" t="s">
        <v>36</v>
      </c>
      <c r="F201" s="146">
        <f>Info!C3</f>
        <v>0</v>
      </c>
      <c r="G201" s="146" t="str">
        <f>M201</f>
        <v>LUCIOS 0.45</v>
      </c>
      <c r="H201" s="146">
        <f>Info!C12</f>
        <v>5.56</v>
      </c>
      <c r="I201" s="146" t="s">
        <v>36</v>
      </c>
      <c r="J201" s="146">
        <f>Info!C21</f>
        <v>0</v>
      </c>
      <c r="K201" s="146" t="s">
        <v>36</v>
      </c>
      <c r="L201" s="146">
        <f>Info!C30</f>
        <v>0</v>
      </c>
      <c r="M201" s="146" t="str">
        <f>Lang!A242</f>
        <v>LUCIOS 0.45</v>
      </c>
      <c r="N201" s="146">
        <f>Info!C39</f>
        <v>5.49</v>
      </c>
      <c r="O201" s="146" t="str">
        <f>M201</f>
        <v>LUCIOS 0.45</v>
      </c>
      <c r="P201" s="146">
        <f t="shared" si="27"/>
        <v>5.49</v>
      </c>
      <c r="Q201" s="146" t="s">
        <v>36</v>
      </c>
      <c r="R201" s="146">
        <f>Info!C48</f>
        <v>0</v>
      </c>
      <c r="S201" s="146" t="s">
        <v>36</v>
      </c>
      <c r="T201" s="146">
        <f>Info!C57</f>
        <v>0</v>
      </c>
      <c r="U201" s="146" t="s">
        <v>36</v>
      </c>
      <c r="V201" s="146">
        <f t="shared" si="28"/>
        <v>0</v>
      </c>
      <c r="W201" s="415" t="str">
        <f t="shared" si="30"/>
        <v xml:space="preserve"> </v>
      </c>
    </row>
    <row r="202" spans="2:24">
      <c r="B202" s="202" t="str">
        <f t="shared" si="29"/>
        <v/>
      </c>
      <c r="E202" s="146" t="s">
        <v>36</v>
      </c>
      <c r="F202" s="146">
        <f>Info!C4</f>
        <v>0</v>
      </c>
      <c r="G202" s="146" t="str">
        <f>I202</f>
        <v>LUCIOS 0.5</v>
      </c>
      <c r="H202" s="146">
        <f>Info!C13</f>
        <v>5.99</v>
      </c>
      <c r="I202" s="146" t="str">
        <f>K202</f>
        <v>LUCIOS 0.5</v>
      </c>
      <c r="J202" s="146">
        <f>Info!C22</f>
        <v>6.12</v>
      </c>
      <c r="K202" s="146" t="str">
        <f>M202</f>
        <v>LUCIOS 0.5</v>
      </c>
      <c r="L202" s="146">
        <f>Info!C31</f>
        <v>6.62</v>
      </c>
      <c r="M202" s="146" t="str">
        <f>Lang!A243</f>
        <v>LUCIOS 0.5</v>
      </c>
      <c r="N202" s="146">
        <f>Info!C40</f>
        <v>5.9</v>
      </c>
      <c r="O202" s="146" t="str">
        <f>M202</f>
        <v>LUCIOS 0.5</v>
      </c>
      <c r="P202" s="146">
        <f t="shared" si="27"/>
        <v>5.9</v>
      </c>
      <c r="Q202" s="146" t="str">
        <f>O202</f>
        <v>LUCIOS 0.5</v>
      </c>
      <c r="R202" s="146">
        <f>Info!C49</f>
        <v>7.19</v>
      </c>
      <c r="S202" s="146" t="str">
        <f>Q202</f>
        <v>LUCIOS 0.5</v>
      </c>
      <c r="T202" s="146">
        <f>Info!C58</f>
        <v>7.09</v>
      </c>
      <c r="U202" s="146" t="str">
        <f>S202</f>
        <v>LUCIOS 0.5</v>
      </c>
      <c r="V202" s="146">
        <f t="shared" si="28"/>
        <v>7.09</v>
      </c>
      <c r="W202" s="415" t="str">
        <f t="shared" si="30"/>
        <v>LUCIOS 0.5</v>
      </c>
      <c r="X202" s="146">
        <f>Info!C64</f>
        <v>7.31</v>
      </c>
    </row>
    <row r="203" spans="2:24">
      <c r="B203" s="202" t="str">
        <f t="shared" si="29"/>
        <v/>
      </c>
      <c r="E203" s="146" t="s">
        <v>36</v>
      </c>
      <c r="F203" s="146">
        <f>Info!C5</f>
        <v>0</v>
      </c>
      <c r="G203" s="146" t="s">
        <v>36</v>
      </c>
      <c r="H203" s="146">
        <f>Info!C14</f>
        <v>0</v>
      </c>
      <c r="I203" s="146" t="s">
        <v>36</v>
      </c>
      <c r="J203" s="146">
        <f>Info!C23</f>
        <v>0</v>
      </c>
      <c r="K203" s="146" t="s">
        <v>36</v>
      </c>
      <c r="L203" s="146">
        <f>Info!C32</f>
        <v>0</v>
      </c>
      <c r="M203" s="146" t="str">
        <f>Lang!A244</f>
        <v>MAT 0.4</v>
      </c>
      <c r="N203" s="146">
        <f>Info!C41</f>
        <v>5.17</v>
      </c>
      <c r="O203" s="146" t="s">
        <v>36</v>
      </c>
      <c r="P203" s="146">
        <f t="shared" si="27"/>
        <v>5.17</v>
      </c>
      <c r="Q203" s="146" t="s">
        <v>36</v>
      </c>
      <c r="R203" s="146">
        <f>Info!C50</f>
        <v>0</v>
      </c>
      <c r="S203" s="146" t="s">
        <v>36</v>
      </c>
      <c r="T203" s="146">
        <f>Info!C59</f>
        <v>0</v>
      </c>
      <c r="U203" s="146" t="s">
        <v>36</v>
      </c>
      <c r="V203" s="146">
        <f t="shared" si="28"/>
        <v>0</v>
      </c>
      <c r="W203" s="415" t="str">
        <f t="shared" si="30"/>
        <v xml:space="preserve"> </v>
      </c>
    </row>
    <row r="204" spans="2:24">
      <c r="B204" s="202" t="str">
        <f t="shared" si="29"/>
        <v/>
      </c>
      <c r="E204" s="146" t="s">
        <v>36</v>
      </c>
      <c r="F204" s="146">
        <f>Info!C6</f>
        <v>0</v>
      </c>
      <c r="G204" s="146" t="str">
        <f>I204</f>
        <v>MAT 0.45</v>
      </c>
      <c r="H204" s="146">
        <f>Info!C15</f>
        <v>5.93</v>
      </c>
      <c r="I204" s="146" t="str">
        <f>K204</f>
        <v>MAT 0.45</v>
      </c>
      <c r="J204" s="146">
        <f>Info!C24</f>
        <v>6.08</v>
      </c>
      <c r="K204" s="146" t="str">
        <f>M204</f>
        <v>MAT 0.45</v>
      </c>
      <c r="L204" s="146">
        <f>Info!C33</f>
        <v>6.36</v>
      </c>
      <c r="M204" s="146" t="str">
        <f>Lang!A245</f>
        <v>MAT 0.45</v>
      </c>
      <c r="N204" s="146">
        <f>Info!C42</f>
        <v>5.9</v>
      </c>
      <c r="O204" s="146" t="str">
        <f>M204</f>
        <v>MAT 0.45</v>
      </c>
      <c r="P204" s="146">
        <f t="shared" si="27"/>
        <v>5.9</v>
      </c>
      <c r="Q204" s="146" t="s">
        <v>36</v>
      </c>
      <c r="R204" s="146">
        <f>Info!C51</f>
        <v>0</v>
      </c>
      <c r="S204" s="146" t="s">
        <v>36</v>
      </c>
      <c r="T204" s="146">
        <f>Info!C60</f>
        <v>0</v>
      </c>
      <c r="U204" s="146" t="s">
        <v>36</v>
      </c>
      <c r="V204" s="146">
        <f t="shared" si="28"/>
        <v>0</v>
      </c>
      <c r="W204" s="415" t="str">
        <f t="shared" si="30"/>
        <v>MAT 0.45</v>
      </c>
      <c r="X204" s="146">
        <f>Info!C65</f>
        <v>7.27</v>
      </c>
    </row>
    <row r="205" spans="2:24">
      <c r="B205" s="202" t="str">
        <f t="shared" si="29"/>
        <v/>
      </c>
      <c r="E205" s="146" t="str">
        <f>G205</f>
        <v>MAT 0.5</v>
      </c>
      <c r="F205" s="146">
        <f>Info!C7</f>
        <v>6.38</v>
      </c>
      <c r="G205" s="146" t="str">
        <f>I205</f>
        <v>MAT 0.5</v>
      </c>
      <c r="H205" s="146">
        <f>Info!C16</f>
        <v>6.11</v>
      </c>
      <c r="I205" s="146" t="str">
        <f>K205</f>
        <v>MAT 0.5</v>
      </c>
      <c r="J205" s="146">
        <f>Info!C25</f>
        <v>6.33</v>
      </c>
      <c r="K205" s="146" t="str">
        <f>M205</f>
        <v>MAT 0.5</v>
      </c>
      <c r="L205" s="146">
        <f>Info!C34</f>
        <v>6.88</v>
      </c>
      <c r="M205" s="146" t="str">
        <f>Lang!A246</f>
        <v>MAT 0.5</v>
      </c>
      <c r="N205" s="146">
        <f>Info!C43</f>
        <v>6.15</v>
      </c>
      <c r="O205" s="146" t="str">
        <f t="shared" ref="O205:O207" si="31">M205</f>
        <v>MAT 0.5</v>
      </c>
      <c r="P205" s="146">
        <f t="shared" si="27"/>
        <v>6.15</v>
      </c>
      <c r="Q205" s="146" t="str">
        <f>O205</f>
        <v>MAT 0.5</v>
      </c>
      <c r="R205" s="146">
        <f>Info!C52</f>
        <v>7.3</v>
      </c>
      <c r="S205" s="146" t="str">
        <f>Q205</f>
        <v>MAT 0.5</v>
      </c>
      <c r="T205" s="146">
        <f>Info!C61</f>
        <v>7.34</v>
      </c>
      <c r="U205" s="146" t="str">
        <f>S205</f>
        <v>MAT 0.5</v>
      </c>
      <c r="V205" s="146">
        <f t="shared" si="28"/>
        <v>7.34</v>
      </c>
      <c r="W205" s="415" t="str">
        <f t="shared" si="30"/>
        <v>MAT 0.5</v>
      </c>
      <c r="X205" s="146">
        <f>Info!C66</f>
        <v>7.53</v>
      </c>
    </row>
    <row r="206" spans="2:24">
      <c r="B206" s="202" t="str">
        <f t="shared" si="29"/>
        <v/>
      </c>
      <c r="E206" s="146" t="str">
        <f>G206</f>
        <v>SUPREM 50 0.5</v>
      </c>
      <c r="F206" s="146">
        <f>Info!C8</f>
        <v>9.07</v>
      </c>
      <c r="G206" s="146" t="str">
        <f>I206</f>
        <v>SUPREM 50 0.5</v>
      </c>
      <c r="H206" s="146">
        <f>Info!C17</f>
        <v>8.9</v>
      </c>
      <c r="I206" s="146" t="str">
        <f>K206</f>
        <v>SUPREM 50 0.5</v>
      </c>
      <c r="J206" s="146">
        <f>Info!C26</f>
        <v>9.07</v>
      </c>
      <c r="K206" s="146" t="str">
        <f>M206</f>
        <v>SUPREM 50 0.5</v>
      </c>
      <c r="L206" s="146">
        <f>Info!C35</f>
        <v>9.6199999999999992</v>
      </c>
      <c r="M206" s="146" t="str">
        <f>Lang!A247</f>
        <v>SUPREM 50 0.5</v>
      </c>
      <c r="N206" s="146">
        <f>Info!C44</f>
        <v>8.75</v>
      </c>
      <c r="O206" s="146" t="str">
        <f t="shared" si="31"/>
        <v>SUPREM 50 0.5</v>
      </c>
      <c r="P206" s="146">
        <f t="shared" si="27"/>
        <v>8.75</v>
      </c>
      <c r="Q206" s="146" t="str">
        <f t="shared" ref="Q206:Q207" si="32">O206</f>
        <v>SUPREM 50 0.5</v>
      </c>
      <c r="R206" s="146">
        <f>Info!C53</f>
        <v>10.09</v>
      </c>
      <c r="S206" s="146" t="str">
        <f t="shared" ref="S206:S207" si="33">Q206</f>
        <v>SUPREM 50 0.5</v>
      </c>
      <c r="T206" s="146">
        <f>Info!C62</f>
        <v>9.9499999999999993</v>
      </c>
      <c r="U206" s="146" t="str">
        <f t="shared" ref="U206:U207" si="34">S206</f>
        <v>SUPREM 50 0.5</v>
      </c>
      <c r="V206" s="146">
        <f t="shared" si="28"/>
        <v>9.9499999999999993</v>
      </c>
      <c r="W206" s="415" t="str">
        <f t="shared" si="30"/>
        <v>SUPREM 50 0.5</v>
      </c>
      <c r="X206" s="415">
        <f>Info!C67</f>
        <v>10.26</v>
      </c>
    </row>
    <row r="207" spans="2:24">
      <c r="B207" s="202" t="str">
        <f t="shared" si="29"/>
        <v/>
      </c>
      <c r="E207" s="146" t="str">
        <f>G207</f>
        <v>NEOMAT 30 0.5</v>
      </c>
      <c r="F207" s="146">
        <f>Info!C9</f>
        <v>8.1999999999999993</v>
      </c>
      <c r="G207" s="146" t="str">
        <f>I207</f>
        <v>NEOMAT 30 0.5</v>
      </c>
      <c r="H207" s="146">
        <f>Info!C18</f>
        <v>8.08</v>
      </c>
      <c r="I207" s="146" t="str">
        <f>K207</f>
        <v>NEOMAT 30 0.5</v>
      </c>
      <c r="J207" s="146">
        <f>Info!C27</f>
        <v>8.19</v>
      </c>
      <c r="K207" s="146" t="str">
        <f>M207</f>
        <v>NEOMAT 30 0.5</v>
      </c>
      <c r="L207" s="146">
        <f>Info!C36</f>
        <v>8.74</v>
      </c>
      <c r="M207" s="146" t="str">
        <f>Lang!A248</f>
        <v>NEOMAT 30 0.5</v>
      </c>
      <c r="N207" s="146">
        <f>Info!C45</f>
        <v>7.96</v>
      </c>
      <c r="O207" s="146" t="str">
        <f t="shared" si="31"/>
        <v>NEOMAT 30 0.5</v>
      </c>
      <c r="P207" s="146">
        <f t="shared" si="27"/>
        <v>7.96</v>
      </c>
      <c r="Q207" s="146" t="str">
        <f t="shared" si="32"/>
        <v>NEOMAT 30 0.5</v>
      </c>
      <c r="R207" s="146">
        <f>Info!C54</f>
        <v>9.27</v>
      </c>
      <c r="S207" s="146" t="str">
        <f t="shared" si="33"/>
        <v>NEOMAT 30 0.5</v>
      </c>
      <c r="T207" s="146">
        <f>Info!C63</f>
        <v>9.15</v>
      </c>
      <c r="U207" s="146" t="str">
        <f t="shared" si="34"/>
        <v>NEOMAT 30 0.5</v>
      </c>
      <c r="V207" s="146">
        <f t="shared" si="28"/>
        <v>9.15</v>
      </c>
      <c r="W207" s="415" t="str">
        <f t="shared" si="30"/>
        <v>NEOMAT 30 0.5</v>
      </c>
      <c r="X207" s="415">
        <f>Info!C68</f>
        <v>9.3800000000000008</v>
      </c>
    </row>
    <row r="211" spans="2:14">
      <c r="C211" s="155"/>
    </row>
    <row r="212" spans="2:14">
      <c r="D212" s="146" t="s">
        <v>366</v>
      </c>
      <c r="E212" s="146" t="s">
        <v>367</v>
      </c>
      <c r="F212" s="146" t="s">
        <v>368</v>
      </c>
      <c r="G212" s="146" t="s">
        <v>369</v>
      </c>
      <c r="H212" s="146" t="s">
        <v>370</v>
      </c>
      <c r="I212" s="146" t="s">
        <v>371</v>
      </c>
      <c r="J212" s="146" t="s">
        <v>372</v>
      </c>
      <c r="K212" s="146" t="s">
        <v>373</v>
      </c>
      <c r="L212" s="146" t="s">
        <v>374</v>
      </c>
      <c r="M212" s="202" t="s">
        <v>1667</v>
      </c>
    </row>
    <row r="213" spans="2:14">
      <c r="B213" s="146" t="s">
        <v>36</v>
      </c>
    </row>
    <row r="214" spans="2:14">
      <c r="B214" s="146" t="str">
        <f>IF($B$197=2,D214,IF($B$197=3,E214,IF($B$197=4,F214,IF($B$197=5,G214,IF($B$197=6,H214,IF($B$197=7,I214,IF(AND($B$197=8,$C$166&lt;11),J214,IF($B$197=9,K214,IF($B$197=10,L214,"")))))))))</f>
        <v xml:space="preserve"> </v>
      </c>
      <c r="D214" s="202" t="s">
        <v>36</v>
      </c>
      <c r="E214" s="202" t="s">
        <v>36</v>
      </c>
      <c r="F214" s="202" t="s">
        <v>36</v>
      </c>
      <c r="G214" s="426" t="s">
        <v>36</v>
      </c>
      <c r="H214" s="202" t="s">
        <v>36</v>
      </c>
      <c r="I214" s="202" t="s">
        <v>36</v>
      </c>
      <c r="J214" s="202" t="s">
        <v>36</v>
      </c>
      <c r="K214" s="202" t="s">
        <v>36</v>
      </c>
      <c r="L214" s="202" t="s">
        <v>36</v>
      </c>
      <c r="M214" s="202" t="s">
        <v>36</v>
      </c>
    </row>
    <row r="215" spans="2:14">
      <c r="B215" s="415" t="str">
        <f>IF($B$197=2,D215,IF($B$197=3,E215,IF($B$197=4,F215,IF($B$197=5,G215,IF($B$197=6,H215,IF($B$197=7,I215,IF(AND($B$197=8,$C$166&lt;12),J215,IF($B$197=9,K215,IF($B$197=10,L215,"")))))))))</f>
        <v xml:space="preserve"> </v>
      </c>
      <c r="D215" s="146" t="s">
        <v>36</v>
      </c>
      <c r="E215" s="146" t="s">
        <v>36</v>
      </c>
      <c r="F215" s="427" t="s">
        <v>36</v>
      </c>
      <c r="G215" s="146" t="s">
        <v>12</v>
      </c>
      <c r="H215" s="448" t="s">
        <v>36</v>
      </c>
      <c r="I215" s="427" t="s">
        <v>36</v>
      </c>
      <c r="J215" s="146" t="s">
        <v>13</v>
      </c>
      <c r="K215" s="146" t="s">
        <v>36</v>
      </c>
      <c r="L215" s="146" t="s">
        <v>435</v>
      </c>
      <c r="M215" s="202" t="s">
        <v>36</v>
      </c>
    </row>
    <row r="216" spans="2:14">
      <c r="B216" s="415" t="str">
        <f t="shared" ref="B216:B231" si="35">IF($B$197=2,D216,IF($B$197=3,E216,IF($B$197=4,F216,IF($B$197=5,G216,IF($B$197=6,H216,IF($B$197=7,I216,IF(AND($B$197=8,$C$166&lt;12),J216,IF($B$197=9,K216,IF($B$197=10,L216,"")))))))))</f>
        <v xml:space="preserve"> </v>
      </c>
      <c r="D216" s="146" t="s">
        <v>36</v>
      </c>
      <c r="E216" s="146" t="s">
        <v>36</v>
      </c>
      <c r="F216" s="427" t="s">
        <v>36</v>
      </c>
      <c r="G216" s="146" t="s">
        <v>14</v>
      </c>
      <c r="H216" s="146" t="s">
        <v>36</v>
      </c>
      <c r="I216" s="253" t="s">
        <v>36</v>
      </c>
      <c r="J216" s="146" t="s">
        <v>15</v>
      </c>
      <c r="K216" s="146" t="s">
        <v>36</v>
      </c>
      <c r="L216" s="146" t="s">
        <v>379</v>
      </c>
      <c r="M216" s="202" t="s">
        <v>36</v>
      </c>
      <c r="N216" s="202"/>
    </row>
    <row r="217" spans="2:14">
      <c r="B217" s="415" t="str">
        <f t="shared" si="35"/>
        <v xml:space="preserve"> </v>
      </c>
      <c r="D217" s="146" t="s">
        <v>16</v>
      </c>
      <c r="E217" s="146" t="s">
        <v>16</v>
      </c>
      <c r="F217" s="146" t="s">
        <v>16</v>
      </c>
      <c r="G217" s="146" t="s">
        <v>16</v>
      </c>
      <c r="H217" s="146" t="s">
        <v>36</v>
      </c>
      <c r="I217" s="146" t="s">
        <v>17</v>
      </c>
      <c r="J217" s="146" t="s">
        <v>17</v>
      </c>
      <c r="K217" s="146" t="s">
        <v>36</v>
      </c>
      <c r="L217" s="146" t="s">
        <v>436</v>
      </c>
      <c r="M217" s="202" t="s">
        <v>36</v>
      </c>
      <c r="N217" s="202"/>
    </row>
    <row r="218" spans="2:14">
      <c r="B218" s="415" t="str">
        <f t="shared" si="35"/>
        <v xml:space="preserve"> </v>
      </c>
      <c r="D218" s="146" t="s">
        <v>36</v>
      </c>
      <c r="E218" s="146" t="s">
        <v>36</v>
      </c>
      <c r="F218" s="146" t="s">
        <v>36</v>
      </c>
      <c r="G218" s="146" t="s">
        <v>36</v>
      </c>
      <c r="H218" s="146" t="s">
        <v>36</v>
      </c>
      <c r="I218" s="146" t="s">
        <v>36</v>
      </c>
      <c r="J218" s="146" t="s">
        <v>36</v>
      </c>
      <c r="K218" s="146" t="s">
        <v>36</v>
      </c>
      <c r="L218" s="146" t="s">
        <v>36</v>
      </c>
      <c r="M218" s="202" t="s">
        <v>36</v>
      </c>
      <c r="N218" s="202"/>
    </row>
    <row r="219" spans="2:14">
      <c r="B219" s="415" t="str">
        <f t="shared" si="35"/>
        <v xml:space="preserve"> </v>
      </c>
      <c r="D219" s="146" t="s">
        <v>36</v>
      </c>
      <c r="E219" s="146" t="s">
        <v>36</v>
      </c>
      <c r="F219" s="146" t="s">
        <v>36</v>
      </c>
      <c r="G219" s="146" t="s">
        <v>18</v>
      </c>
      <c r="H219" s="146" t="s">
        <v>36</v>
      </c>
      <c r="I219" s="146" t="s">
        <v>36</v>
      </c>
      <c r="J219" s="146" t="s">
        <v>36</v>
      </c>
      <c r="K219" s="146" t="s">
        <v>36</v>
      </c>
      <c r="L219" s="146" t="s">
        <v>36</v>
      </c>
      <c r="M219" s="202" t="s">
        <v>36</v>
      </c>
      <c r="N219" s="202"/>
    </row>
    <row r="220" spans="2:14">
      <c r="B220" s="415" t="str">
        <f t="shared" si="35"/>
        <v xml:space="preserve"> </v>
      </c>
      <c r="D220" s="146" t="s">
        <v>36</v>
      </c>
      <c r="E220" s="146" t="s">
        <v>36</v>
      </c>
      <c r="F220" s="146" t="s">
        <v>36</v>
      </c>
      <c r="G220" s="146" t="s">
        <v>19</v>
      </c>
      <c r="H220" s="146" t="s">
        <v>36</v>
      </c>
      <c r="I220" s="146" t="s">
        <v>36</v>
      </c>
      <c r="J220" s="146" t="s">
        <v>20</v>
      </c>
      <c r="K220" s="146" t="s">
        <v>36</v>
      </c>
      <c r="L220" s="146" t="s">
        <v>36</v>
      </c>
      <c r="M220" s="202" t="s">
        <v>36</v>
      </c>
      <c r="N220" s="202"/>
    </row>
    <row r="221" spans="2:14">
      <c r="B221" s="415" t="str">
        <f t="shared" si="35"/>
        <v xml:space="preserve"> </v>
      </c>
      <c r="D221" s="146" t="s">
        <v>36</v>
      </c>
      <c r="E221" s="146" t="s">
        <v>36</v>
      </c>
      <c r="F221" s="146" t="s">
        <v>36</v>
      </c>
      <c r="G221" s="146" t="s">
        <v>36</v>
      </c>
      <c r="H221" s="146" t="s">
        <v>36</v>
      </c>
      <c r="I221" s="146" t="s">
        <v>36</v>
      </c>
      <c r="J221" s="146" t="s">
        <v>22</v>
      </c>
      <c r="K221" s="146" t="s">
        <v>36</v>
      </c>
      <c r="L221" s="202" t="s">
        <v>437</v>
      </c>
      <c r="M221" s="202" t="s">
        <v>36</v>
      </c>
      <c r="N221" s="202"/>
    </row>
    <row r="222" spans="2:14">
      <c r="B222" s="415" t="str">
        <f t="shared" si="35"/>
        <v>7016-M</v>
      </c>
      <c r="D222" s="146" t="s">
        <v>36</v>
      </c>
      <c r="E222" s="232" t="s">
        <v>308</v>
      </c>
      <c r="F222" s="430" t="s">
        <v>36</v>
      </c>
      <c r="G222" s="146" t="s">
        <v>308</v>
      </c>
      <c r="H222" s="495" t="s">
        <v>275</v>
      </c>
      <c r="I222" s="232" t="s">
        <v>275</v>
      </c>
      <c r="J222" s="146" t="s">
        <v>275</v>
      </c>
      <c r="K222" s="146" t="s">
        <v>36</v>
      </c>
      <c r="L222" s="77" t="s">
        <v>2570</v>
      </c>
      <c r="M222" s="202" t="s">
        <v>275</v>
      </c>
      <c r="N222" s="202"/>
    </row>
    <row r="223" spans="2:14">
      <c r="B223" s="415" t="str">
        <f t="shared" si="35"/>
        <v>7024-M</v>
      </c>
      <c r="D223" s="146" t="s">
        <v>36</v>
      </c>
      <c r="E223" s="146" t="s">
        <v>36</v>
      </c>
      <c r="F223" s="146" t="s">
        <v>23</v>
      </c>
      <c r="G223" s="146" t="s">
        <v>23</v>
      </c>
      <c r="H223" s="146" t="s">
        <v>24</v>
      </c>
      <c r="I223" s="146" t="s">
        <v>24</v>
      </c>
      <c r="J223" s="146" t="s">
        <v>24</v>
      </c>
      <c r="K223" s="146" t="s">
        <v>377</v>
      </c>
      <c r="L223" s="146" t="s">
        <v>380</v>
      </c>
      <c r="M223" s="202" t="s">
        <v>36</v>
      </c>
      <c r="N223" s="202"/>
    </row>
    <row r="224" spans="2:14">
      <c r="B224" s="415" t="str">
        <f t="shared" si="35"/>
        <v xml:space="preserve"> </v>
      </c>
      <c r="D224" s="146" t="s">
        <v>36</v>
      </c>
      <c r="E224" s="146" t="s">
        <v>36</v>
      </c>
      <c r="F224" s="146" t="s">
        <v>25</v>
      </c>
      <c r="G224" s="146" t="s">
        <v>25</v>
      </c>
      <c r="H224" s="146" t="s">
        <v>36</v>
      </c>
      <c r="I224" s="146" t="s">
        <v>26</v>
      </c>
      <c r="J224" s="146" t="s">
        <v>26</v>
      </c>
      <c r="K224" s="146" t="s">
        <v>36</v>
      </c>
      <c r="L224" s="146" t="s">
        <v>36</v>
      </c>
      <c r="M224" s="202" t="s">
        <v>36</v>
      </c>
      <c r="N224" s="202"/>
    </row>
    <row r="225" spans="2:14">
      <c r="B225" s="415" t="str">
        <f t="shared" si="35"/>
        <v xml:space="preserve"> </v>
      </c>
      <c r="D225" s="146" t="s">
        <v>36</v>
      </c>
      <c r="E225" s="146" t="s">
        <v>36</v>
      </c>
      <c r="F225" s="146" t="s">
        <v>36</v>
      </c>
      <c r="G225" s="146" t="s">
        <v>36</v>
      </c>
      <c r="H225" s="146" t="s">
        <v>36</v>
      </c>
      <c r="I225" s="146" t="s">
        <v>36</v>
      </c>
      <c r="J225" s="146" t="s">
        <v>36</v>
      </c>
      <c r="K225" s="146" t="s">
        <v>36</v>
      </c>
      <c r="L225" s="146" t="s">
        <v>438</v>
      </c>
      <c r="M225" s="202" t="s">
        <v>36</v>
      </c>
      <c r="N225" s="202"/>
    </row>
    <row r="226" spans="2:14">
      <c r="B226" s="415" t="str">
        <f t="shared" si="35"/>
        <v>8017-M</v>
      </c>
      <c r="D226" s="146" t="s">
        <v>28</v>
      </c>
      <c r="E226" s="146" t="s">
        <v>28</v>
      </c>
      <c r="F226" s="146" t="s">
        <v>28</v>
      </c>
      <c r="G226" s="146" t="s">
        <v>28</v>
      </c>
      <c r="H226" s="146" t="s">
        <v>29</v>
      </c>
      <c r="I226" s="146" t="s">
        <v>29</v>
      </c>
      <c r="J226" s="146" t="s">
        <v>29</v>
      </c>
      <c r="K226" s="468" t="s">
        <v>36</v>
      </c>
      <c r="L226" s="146" t="s">
        <v>381</v>
      </c>
      <c r="M226" s="202" t="s">
        <v>29</v>
      </c>
      <c r="N226" s="202"/>
    </row>
    <row r="227" spans="2:14">
      <c r="B227" s="415" t="str">
        <f t="shared" si="35"/>
        <v xml:space="preserve"> </v>
      </c>
      <c r="D227" s="146" t="s">
        <v>36</v>
      </c>
      <c r="E227" s="146" t="s">
        <v>36</v>
      </c>
      <c r="F227" s="146" t="s">
        <v>36</v>
      </c>
      <c r="G227" s="146" t="s">
        <v>36</v>
      </c>
      <c r="H227" s="495" t="s">
        <v>36</v>
      </c>
      <c r="I227" s="146" t="s">
        <v>31</v>
      </c>
      <c r="J227" s="146" t="s">
        <v>31</v>
      </c>
      <c r="K227" s="146" t="s">
        <v>378</v>
      </c>
      <c r="L227" s="146" t="s">
        <v>382</v>
      </c>
      <c r="M227" s="202" t="s">
        <v>36</v>
      </c>
      <c r="N227" s="202"/>
    </row>
    <row r="228" spans="2:14">
      <c r="B228" s="415" t="str">
        <f t="shared" si="35"/>
        <v xml:space="preserve"> </v>
      </c>
      <c r="D228" s="146" t="s">
        <v>36</v>
      </c>
      <c r="E228" s="146" t="s">
        <v>36</v>
      </c>
      <c r="F228" s="146" t="s">
        <v>32</v>
      </c>
      <c r="G228" s="146" t="s">
        <v>32</v>
      </c>
      <c r="H228" s="146" t="s">
        <v>36</v>
      </c>
      <c r="I228" s="146" t="s">
        <v>36</v>
      </c>
      <c r="J228" s="146" t="s">
        <v>36</v>
      </c>
      <c r="K228" s="146" t="s">
        <v>36</v>
      </c>
      <c r="L228" s="146" t="s">
        <v>36</v>
      </c>
      <c r="M228" s="202" t="s">
        <v>36</v>
      </c>
      <c r="N228" s="202"/>
    </row>
    <row r="229" spans="2:14">
      <c r="B229" s="415" t="str">
        <f t="shared" si="35"/>
        <v>9005-M</v>
      </c>
      <c r="D229" s="146" t="s">
        <v>36</v>
      </c>
      <c r="E229" s="146" t="s">
        <v>36</v>
      </c>
      <c r="F229" s="146" t="s">
        <v>36</v>
      </c>
      <c r="G229" s="146" t="s">
        <v>36</v>
      </c>
      <c r="H229" s="495" t="s">
        <v>34</v>
      </c>
      <c r="I229" s="146" t="s">
        <v>34</v>
      </c>
      <c r="J229" s="146" t="s">
        <v>34</v>
      </c>
      <c r="K229" s="146" t="s">
        <v>36</v>
      </c>
      <c r="L229" s="146" t="s">
        <v>383</v>
      </c>
      <c r="M229" s="202" t="s">
        <v>34</v>
      </c>
      <c r="N229" s="202"/>
    </row>
    <row r="230" spans="2:14">
      <c r="B230" s="415" t="str">
        <f t="shared" si="35"/>
        <v xml:space="preserve"> </v>
      </c>
      <c r="D230" s="146" t="s">
        <v>36</v>
      </c>
      <c r="E230" s="146" t="s">
        <v>36</v>
      </c>
      <c r="F230" s="146" t="s">
        <v>35</v>
      </c>
      <c r="G230" s="146" t="s">
        <v>35</v>
      </c>
      <c r="H230" s="146" t="s">
        <v>36</v>
      </c>
      <c r="I230" s="146" t="s">
        <v>36</v>
      </c>
      <c r="J230" s="146" t="s">
        <v>36</v>
      </c>
      <c r="K230" s="146" t="s">
        <v>36</v>
      </c>
      <c r="L230" s="146" t="s">
        <v>36</v>
      </c>
      <c r="M230" s="202" t="s">
        <v>36</v>
      </c>
    </row>
    <row r="231" spans="2:14">
      <c r="B231" s="415" t="str">
        <f t="shared" si="35"/>
        <v xml:space="preserve"> </v>
      </c>
      <c r="D231" s="146" t="s">
        <v>36</v>
      </c>
      <c r="E231" s="146" t="s">
        <v>36</v>
      </c>
      <c r="F231" s="146" t="s">
        <v>36</v>
      </c>
      <c r="G231" s="443" t="s">
        <v>36</v>
      </c>
      <c r="H231" s="146" t="s">
        <v>36</v>
      </c>
      <c r="I231" s="146" t="s">
        <v>36</v>
      </c>
      <c r="J231" s="146" t="s">
        <v>36</v>
      </c>
      <c r="K231" s="146" t="s">
        <v>36</v>
      </c>
      <c r="L231" s="146" t="s">
        <v>36</v>
      </c>
      <c r="M231" s="202" t="s">
        <v>36</v>
      </c>
    </row>
    <row r="232" spans="2:14">
      <c r="B232" s="146">
        <v>1</v>
      </c>
    </row>
    <row r="234" spans="2:14">
      <c r="B234" s="146" t="str">
        <f>M199</f>
        <v>LUCIOS 0.35</v>
      </c>
    </row>
    <row r="235" spans="2:14">
      <c r="B235" s="146" t="str">
        <f t="shared" ref="B235:B242" si="36">M200</f>
        <v>LUCIOS 0.4</v>
      </c>
    </row>
    <row r="236" spans="2:14">
      <c r="B236" s="146" t="str">
        <f t="shared" si="36"/>
        <v>LUCIOS 0.45</v>
      </c>
    </row>
    <row r="237" spans="2:14">
      <c r="B237" s="146" t="str">
        <f t="shared" si="36"/>
        <v>LUCIOS 0.5</v>
      </c>
    </row>
    <row r="238" spans="2:14">
      <c r="B238" s="146" t="str">
        <f t="shared" si="36"/>
        <v>MAT 0.4</v>
      </c>
    </row>
    <row r="239" spans="2:14">
      <c r="B239" s="146" t="str">
        <f t="shared" si="36"/>
        <v>MAT 0.45</v>
      </c>
    </row>
    <row r="240" spans="2:14">
      <c r="B240" s="146" t="str">
        <f t="shared" si="36"/>
        <v>MAT 0.5</v>
      </c>
    </row>
    <row r="241" spans="1:49">
      <c r="B241" s="146" t="str">
        <f t="shared" si="36"/>
        <v>SUPREM 50 0.5</v>
      </c>
    </row>
    <row r="242" spans="1:49">
      <c r="B242" s="146" t="str">
        <f t="shared" si="36"/>
        <v>NEOMAT 30 0.5</v>
      </c>
      <c r="E242" s="889"/>
      <c r="F242" s="889"/>
      <c r="G242" s="889"/>
      <c r="H242" s="889"/>
      <c r="I242" s="889"/>
      <c r="J242" s="889"/>
      <c r="K242" s="889"/>
      <c r="L242" s="889"/>
      <c r="M242" s="889"/>
      <c r="N242" s="889"/>
      <c r="O242" s="889"/>
      <c r="P242" s="889"/>
      <c r="Q242" s="889"/>
      <c r="R242" s="889"/>
      <c r="S242" s="889"/>
      <c r="T242" s="889"/>
      <c r="U242" s="889"/>
      <c r="V242" s="889"/>
      <c r="W242" s="889"/>
      <c r="X242" s="889"/>
      <c r="Y242" s="889"/>
      <c r="Z242" s="889"/>
      <c r="AA242" s="889"/>
      <c r="AB242" s="889"/>
      <c r="AC242" s="889"/>
      <c r="AD242" s="889"/>
      <c r="AE242" s="889"/>
      <c r="AF242" s="889"/>
      <c r="AG242" s="889"/>
      <c r="AH242" s="889"/>
      <c r="AI242" s="889"/>
      <c r="AJ242" s="889"/>
      <c r="AK242" s="889"/>
      <c r="AL242" s="889"/>
      <c r="AM242" s="889"/>
      <c r="AN242" s="889"/>
      <c r="AO242" s="889"/>
      <c r="AP242" s="889"/>
      <c r="AQ242" s="889"/>
      <c r="AR242" s="889"/>
      <c r="AS242" s="889"/>
      <c r="AT242" s="889"/>
      <c r="AU242" s="889"/>
      <c r="AV242" s="889"/>
      <c r="AW242" s="889"/>
    </row>
    <row r="243" spans="1:49" s="202" customFormat="1">
      <c r="A243" s="507"/>
      <c r="B243" s="202" t="s">
        <v>1671</v>
      </c>
      <c r="E243" s="201"/>
      <c r="F243" s="201"/>
      <c r="G243" s="201"/>
      <c r="H243" s="201"/>
      <c r="I243" s="201"/>
      <c r="J243" s="201"/>
      <c r="K243" s="201"/>
      <c r="L243" s="201"/>
      <c r="M243" s="201"/>
      <c r="N243" s="201"/>
      <c r="O243" s="201"/>
      <c r="P243" s="201"/>
      <c r="Q243" s="201"/>
      <c r="R243" s="201"/>
      <c r="S243" s="201"/>
      <c r="T243" s="201"/>
      <c r="U243" s="201"/>
      <c r="V243" s="201"/>
      <c r="W243" s="201"/>
      <c r="X243" s="201"/>
      <c r="Y243" s="201"/>
      <c r="Z243" s="201"/>
      <c r="AA243" s="201"/>
      <c r="AB243" s="201"/>
      <c r="AC243" s="201"/>
      <c r="AD243" s="201"/>
      <c r="AE243" s="201"/>
      <c r="AF243" s="201"/>
      <c r="AG243" s="201"/>
      <c r="AH243" s="201"/>
      <c r="AI243" s="201"/>
      <c r="AJ243" s="201"/>
      <c r="AK243" s="201"/>
      <c r="AL243" s="201"/>
      <c r="AM243" s="201"/>
      <c r="AN243" s="201"/>
      <c r="AO243" s="201"/>
      <c r="AP243" s="201"/>
      <c r="AQ243" s="201"/>
      <c r="AR243" s="201"/>
      <c r="AS243" s="201"/>
      <c r="AT243" s="201"/>
      <c r="AU243" s="201"/>
      <c r="AV243" s="201"/>
      <c r="AW243" s="201"/>
    </row>
    <row r="244" spans="1:49" s="202" customFormat="1">
      <c r="A244" s="507"/>
      <c r="B244" s="512" t="s">
        <v>2982</v>
      </c>
      <c r="E244" s="201"/>
      <c r="F244" s="201"/>
      <c r="G244" s="201"/>
      <c r="H244" s="201"/>
      <c r="I244" s="201"/>
      <c r="J244" s="201"/>
      <c r="K244" s="201"/>
      <c r="L244" s="201"/>
      <c r="M244" s="201"/>
      <c r="N244" s="201"/>
      <c r="O244" s="201"/>
      <c r="P244" s="201"/>
      <c r="Q244" s="201"/>
      <c r="R244" s="201"/>
      <c r="S244" s="201"/>
      <c r="T244" s="201"/>
      <c r="U244" s="201"/>
      <c r="V244" s="201"/>
      <c r="W244" s="201"/>
      <c r="X244" s="201"/>
      <c r="Y244" s="201"/>
      <c r="Z244" s="201"/>
      <c r="AA244" s="201"/>
      <c r="AB244" s="201"/>
      <c r="AC244" s="201"/>
      <c r="AD244" s="201"/>
      <c r="AE244" s="201"/>
      <c r="AF244" s="201"/>
      <c r="AG244" s="201"/>
      <c r="AH244" s="201"/>
      <c r="AI244" s="201"/>
      <c r="AJ244" s="201"/>
      <c r="AK244" s="201"/>
      <c r="AL244" s="201"/>
      <c r="AM244" s="201"/>
      <c r="AN244" s="201"/>
      <c r="AO244" s="201"/>
      <c r="AP244" s="201"/>
      <c r="AQ244" s="201"/>
      <c r="AR244" s="201"/>
      <c r="AS244" s="201"/>
      <c r="AT244" s="201"/>
      <c r="AU244" s="201"/>
      <c r="AV244" s="201"/>
      <c r="AW244" s="201"/>
    </row>
    <row r="245" spans="1:49" s="202" customFormat="1">
      <c r="A245" s="507"/>
      <c r="E245" s="201"/>
      <c r="F245" s="201"/>
      <c r="G245" s="201"/>
      <c r="H245" s="201"/>
      <c r="I245" s="201"/>
      <c r="J245" s="201"/>
      <c r="K245" s="201"/>
      <c r="L245" s="201"/>
      <c r="M245" s="201"/>
      <c r="N245" s="201"/>
      <c r="O245" s="201"/>
      <c r="P245" s="201"/>
      <c r="Q245" s="201"/>
      <c r="R245" s="201"/>
      <c r="S245" s="201"/>
      <c r="T245" s="201"/>
      <c r="U245" s="201"/>
      <c r="V245" s="201"/>
      <c r="W245" s="201"/>
      <c r="X245" s="201"/>
      <c r="Y245" s="201"/>
      <c r="Z245" s="201"/>
      <c r="AA245" s="201"/>
      <c r="AB245" s="201"/>
      <c r="AC245" s="201"/>
      <c r="AD245" s="201"/>
      <c r="AE245" s="201"/>
      <c r="AF245" s="201"/>
      <c r="AG245" s="201"/>
      <c r="AH245" s="201"/>
      <c r="AI245" s="201"/>
      <c r="AJ245" s="201"/>
      <c r="AK245" s="201"/>
      <c r="AL245" s="201"/>
      <c r="AM245" s="201"/>
      <c r="AN245" s="201"/>
      <c r="AO245" s="201"/>
      <c r="AP245" s="201"/>
      <c r="AQ245" s="201"/>
      <c r="AR245" s="201"/>
      <c r="AS245" s="201"/>
      <c r="AT245" s="201"/>
      <c r="AU245" s="201"/>
      <c r="AV245" s="201"/>
      <c r="AW245" s="201"/>
    </row>
    <row r="246" spans="1:49" s="202" customFormat="1">
      <c r="A246" s="507"/>
      <c r="E246" s="201"/>
      <c r="F246" s="201"/>
      <c r="G246" s="201"/>
      <c r="H246" s="201"/>
      <c r="I246" s="201"/>
      <c r="J246" s="201"/>
      <c r="K246" s="201"/>
      <c r="L246" s="201"/>
      <c r="M246" s="201"/>
      <c r="N246" s="201"/>
      <c r="O246" s="201"/>
      <c r="P246" s="201"/>
      <c r="Q246" s="201"/>
      <c r="R246" s="201"/>
      <c r="S246" s="201"/>
      <c r="T246" s="201"/>
      <c r="U246" s="201"/>
      <c r="V246" s="201"/>
      <c r="W246" s="201"/>
      <c r="X246" s="201"/>
      <c r="Y246" s="201"/>
      <c r="Z246" s="201"/>
      <c r="AA246" s="201"/>
      <c r="AB246" s="201"/>
      <c r="AC246" s="201"/>
      <c r="AD246" s="201"/>
      <c r="AE246" s="201"/>
      <c r="AF246" s="201"/>
      <c r="AG246" s="201"/>
      <c r="AH246" s="201"/>
      <c r="AI246" s="201"/>
      <c r="AJ246" s="201"/>
      <c r="AK246" s="201"/>
      <c r="AL246" s="201"/>
      <c r="AM246" s="201"/>
      <c r="AN246" s="201"/>
      <c r="AO246" s="201"/>
      <c r="AP246" s="201"/>
      <c r="AQ246" s="201"/>
      <c r="AR246" s="201"/>
      <c r="AS246" s="201"/>
      <c r="AT246" s="201"/>
      <c r="AU246" s="201"/>
      <c r="AV246" s="201"/>
      <c r="AW246" s="201"/>
    </row>
    <row r="247" spans="1:49" s="202" customFormat="1">
      <c r="A247" s="507"/>
      <c r="E247" s="201"/>
      <c r="F247" s="201"/>
      <c r="G247" s="201"/>
      <c r="H247" s="201"/>
      <c r="I247" s="201"/>
      <c r="J247" s="201"/>
      <c r="K247" s="201"/>
      <c r="L247" s="201"/>
      <c r="M247" s="201"/>
      <c r="N247" s="201"/>
      <c r="O247" s="201"/>
      <c r="P247" s="201"/>
      <c r="Q247" s="201"/>
      <c r="R247" s="201"/>
      <c r="S247" s="201"/>
      <c r="T247" s="201"/>
      <c r="U247" s="201"/>
      <c r="V247" s="201"/>
      <c r="W247" s="201"/>
      <c r="X247" s="201"/>
      <c r="Y247" s="201"/>
      <c r="Z247" s="201"/>
      <c r="AA247" s="201"/>
      <c r="AB247" s="201"/>
      <c r="AC247" s="201"/>
      <c r="AD247" s="201"/>
      <c r="AE247" s="201"/>
      <c r="AF247" s="201"/>
      <c r="AG247" s="201"/>
      <c r="AH247" s="201"/>
      <c r="AI247" s="201"/>
      <c r="AJ247" s="201"/>
      <c r="AK247" s="201"/>
      <c r="AL247" s="201"/>
      <c r="AM247" s="201"/>
      <c r="AN247" s="201"/>
      <c r="AO247" s="201"/>
      <c r="AP247" s="201"/>
      <c r="AQ247" s="201"/>
      <c r="AR247" s="201"/>
      <c r="AS247" s="201"/>
      <c r="AT247" s="201"/>
      <c r="AU247" s="201"/>
      <c r="AV247" s="201"/>
      <c r="AW247" s="201"/>
    </row>
    <row r="248" spans="1:49" s="202" customFormat="1">
      <c r="A248" s="507"/>
      <c r="E248" s="201"/>
      <c r="F248" s="201"/>
      <c r="G248" s="201"/>
      <c r="H248" s="201"/>
      <c r="I248" s="201"/>
      <c r="J248" s="201"/>
      <c r="K248" s="201"/>
      <c r="L248" s="201"/>
      <c r="M248" s="201"/>
      <c r="N248" s="201"/>
      <c r="O248" s="201"/>
      <c r="P248" s="201"/>
      <c r="Q248" s="201"/>
      <c r="R248" s="201"/>
      <c r="S248" s="201"/>
      <c r="T248" s="201"/>
      <c r="U248" s="201"/>
      <c r="V248" s="201"/>
      <c r="W248" s="201"/>
      <c r="X248" s="201"/>
      <c r="Y248" s="201"/>
      <c r="Z248" s="201"/>
      <c r="AA248" s="201"/>
      <c r="AB248" s="201"/>
      <c r="AC248" s="201"/>
      <c r="AD248" s="201"/>
      <c r="AE248" s="201"/>
      <c r="AF248" s="201"/>
      <c r="AG248" s="201"/>
      <c r="AH248" s="201"/>
      <c r="AI248" s="201"/>
      <c r="AJ248" s="201"/>
      <c r="AK248" s="201"/>
      <c r="AL248" s="201"/>
      <c r="AM248" s="201"/>
      <c r="AN248" s="201"/>
      <c r="AO248" s="201"/>
      <c r="AP248" s="201"/>
      <c r="AQ248" s="201"/>
      <c r="AR248" s="201"/>
      <c r="AS248" s="201"/>
      <c r="AT248" s="201"/>
      <c r="AU248" s="201"/>
      <c r="AV248" s="201"/>
      <c r="AW248" s="201"/>
    </row>
    <row r="249" spans="1:49" s="202" customFormat="1">
      <c r="A249" s="507"/>
      <c r="E249" s="201"/>
      <c r="F249" s="201"/>
      <c r="G249" s="201"/>
      <c r="H249" s="201"/>
      <c r="I249" s="201"/>
      <c r="J249" s="201"/>
      <c r="K249" s="201"/>
      <c r="L249" s="201"/>
      <c r="M249" s="201"/>
      <c r="N249" s="201"/>
      <c r="O249" s="201"/>
      <c r="P249" s="201"/>
      <c r="Q249" s="201"/>
      <c r="R249" s="201"/>
      <c r="S249" s="201"/>
      <c r="T249" s="201"/>
      <c r="U249" s="201"/>
      <c r="V249" s="201"/>
      <c r="W249" s="201"/>
      <c r="X249" s="201"/>
      <c r="Y249" s="201"/>
      <c r="Z249" s="201"/>
      <c r="AA249" s="201"/>
      <c r="AB249" s="201"/>
      <c r="AC249" s="201"/>
      <c r="AD249" s="201"/>
      <c r="AE249" s="201"/>
      <c r="AF249" s="201"/>
      <c r="AG249" s="201"/>
      <c r="AH249" s="201"/>
      <c r="AI249" s="201"/>
      <c r="AJ249" s="201"/>
      <c r="AK249" s="201"/>
      <c r="AL249" s="201"/>
      <c r="AM249" s="201"/>
      <c r="AN249" s="201"/>
      <c r="AO249" s="201"/>
      <c r="AP249" s="201"/>
      <c r="AQ249" s="201"/>
      <c r="AR249" s="201"/>
      <c r="AS249" s="201"/>
      <c r="AT249" s="201"/>
      <c r="AU249" s="201"/>
      <c r="AV249" s="201"/>
      <c r="AW249" s="201"/>
    </row>
    <row r="250" spans="1:49" s="202" customFormat="1">
      <c r="A250" s="507"/>
      <c r="E250" s="201"/>
      <c r="F250" s="201"/>
      <c r="G250" s="201"/>
      <c r="H250" s="201"/>
      <c r="I250" s="201"/>
      <c r="J250" s="201"/>
      <c r="K250" s="201"/>
      <c r="L250" s="201"/>
      <c r="M250" s="201"/>
      <c r="N250" s="201"/>
      <c r="O250" s="201"/>
      <c r="P250" s="201"/>
      <c r="Q250" s="201"/>
      <c r="R250" s="201"/>
      <c r="S250" s="201"/>
      <c r="T250" s="201"/>
      <c r="U250" s="201"/>
      <c r="V250" s="201"/>
      <c r="W250" s="201"/>
      <c r="X250" s="201"/>
      <c r="Y250" s="201"/>
      <c r="Z250" s="201"/>
      <c r="AA250" s="201"/>
      <c r="AB250" s="201"/>
      <c r="AC250" s="201"/>
      <c r="AD250" s="201"/>
      <c r="AE250" s="201"/>
      <c r="AF250" s="201"/>
      <c r="AG250" s="201"/>
      <c r="AH250" s="201"/>
      <c r="AI250" s="201"/>
      <c r="AJ250" s="201"/>
      <c r="AK250" s="201"/>
      <c r="AL250" s="201"/>
      <c r="AM250" s="201"/>
      <c r="AN250" s="201"/>
      <c r="AO250" s="201"/>
      <c r="AP250" s="201"/>
      <c r="AQ250" s="201"/>
      <c r="AR250" s="201"/>
      <c r="AS250" s="201"/>
      <c r="AT250" s="201"/>
      <c r="AU250" s="201"/>
      <c r="AV250" s="201"/>
      <c r="AW250" s="201"/>
    </row>
    <row r="251" spans="1:49" s="202" customFormat="1">
      <c r="A251" s="507"/>
      <c r="E251" s="201"/>
      <c r="F251" s="201"/>
      <c r="G251" s="201"/>
      <c r="H251" s="201"/>
      <c r="I251" s="201"/>
      <c r="J251" s="201"/>
      <c r="K251" s="201"/>
      <c r="L251" s="201"/>
      <c r="M251" s="201"/>
      <c r="N251" s="201"/>
      <c r="O251" s="201"/>
      <c r="P251" s="201"/>
      <c r="Q251" s="201"/>
      <c r="R251" s="201"/>
      <c r="S251" s="201"/>
      <c r="T251" s="201"/>
      <c r="U251" s="201"/>
      <c r="V251" s="201"/>
      <c r="W251" s="201"/>
      <c r="X251" s="201"/>
      <c r="Y251" s="201"/>
      <c r="Z251" s="201"/>
      <c r="AA251" s="201"/>
      <c r="AB251" s="201"/>
      <c r="AC251" s="201"/>
      <c r="AD251" s="201"/>
      <c r="AE251" s="201"/>
      <c r="AF251" s="201"/>
      <c r="AG251" s="201"/>
      <c r="AH251" s="201"/>
      <c r="AI251" s="201"/>
      <c r="AJ251" s="201"/>
      <c r="AK251" s="201"/>
      <c r="AL251" s="201"/>
      <c r="AM251" s="201"/>
      <c r="AN251" s="201"/>
      <c r="AO251" s="201"/>
      <c r="AP251" s="201"/>
      <c r="AQ251" s="201"/>
      <c r="AR251" s="201"/>
      <c r="AS251" s="201"/>
      <c r="AT251" s="201"/>
      <c r="AU251" s="201"/>
      <c r="AV251" s="201"/>
      <c r="AW251" s="201"/>
    </row>
    <row r="252" spans="1:49" s="202" customFormat="1">
      <c r="A252" s="507"/>
      <c r="E252" s="201"/>
      <c r="F252" s="201"/>
      <c r="G252" s="201"/>
      <c r="H252" s="201"/>
      <c r="I252" s="201"/>
      <c r="J252" s="201"/>
      <c r="K252" s="201"/>
      <c r="L252" s="201"/>
      <c r="M252" s="201"/>
      <c r="N252" s="201"/>
      <c r="O252" s="201"/>
      <c r="P252" s="201"/>
      <c r="Q252" s="201"/>
      <c r="R252" s="201"/>
      <c r="S252" s="201"/>
      <c r="T252" s="201"/>
      <c r="U252" s="201"/>
      <c r="V252" s="201"/>
      <c r="W252" s="201"/>
      <c r="X252" s="201"/>
      <c r="Y252" s="201"/>
      <c r="Z252" s="201"/>
      <c r="AA252" s="201"/>
      <c r="AB252" s="201"/>
      <c r="AC252" s="201"/>
      <c r="AD252" s="201"/>
      <c r="AE252" s="201"/>
      <c r="AF252" s="201"/>
      <c r="AG252" s="201"/>
      <c r="AH252" s="201"/>
      <c r="AI252" s="201"/>
      <c r="AJ252" s="201"/>
      <c r="AK252" s="201"/>
      <c r="AL252" s="201"/>
      <c r="AM252" s="201"/>
      <c r="AN252" s="201"/>
      <c r="AO252" s="201"/>
      <c r="AP252" s="201"/>
      <c r="AQ252" s="201"/>
      <c r="AR252" s="201"/>
      <c r="AS252" s="201"/>
      <c r="AT252" s="201"/>
      <c r="AU252" s="201"/>
      <c r="AV252" s="201"/>
      <c r="AW252" s="201"/>
    </row>
    <row r="253" spans="1:49" s="202" customFormat="1">
      <c r="A253" s="507"/>
      <c r="E253" s="201"/>
      <c r="F253" s="201"/>
      <c r="G253" s="201"/>
      <c r="H253" s="201"/>
      <c r="I253" s="201"/>
      <c r="J253" s="201"/>
      <c r="K253" s="201"/>
      <c r="L253" s="201"/>
      <c r="M253" s="201"/>
      <c r="N253" s="201"/>
      <c r="O253" s="201"/>
      <c r="P253" s="201"/>
      <c r="Q253" s="201"/>
      <c r="R253" s="201"/>
      <c r="S253" s="201"/>
      <c r="T253" s="201"/>
      <c r="U253" s="201"/>
      <c r="V253" s="201"/>
      <c r="W253" s="201"/>
      <c r="X253" s="201"/>
      <c r="Y253" s="201"/>
      <c r="Z253" s="201"/>
      <c r="AA253" s="201"/>
      <c r="AB253" s="201"/>
      <c r="AC253" s="201"/>
      <c r="AD253" s="201"/>
      <c r="AE253" s="201"/>
      <c r="AF253" s="201"/>
      <c r="AG253" s="201"/>
      <c r="AH253" s="201"/>
      <c r="AI253" s="201"/>
      <c r="AJ253" s="201"/>
      <c r="AK253" s="201"/>
      <c r="AL253" s="201"/>
      <c r="AM253" s="201"/>
      <c r="AN253" s="201"/>
      <c r="AO253" s="201"/>
      <c r="AP253" s="201"/>
      <c r="AQ253" s="201"/>
      <c r="AR253" s="201"/>
      <c r="AS253" s="201"/>
      <c r="AT253" s="201"/>
      <c r="AU253" s="201"/>
      <c r="AV253" s="201"/>
      <c r="AW253" s="201"/>
    </row>
    <row r="254" spans="1:49" s="202" customFormat="1">
      <c r="A254" s="507"/>
      <c r="E254" s="201"/>
      <c r="F254" s="201"/>
      <c r="G254" s="201"/>
      <c r="H254" s="201"/>
      <c r="I254" s="201"/>
      <c r="J254" s="201"/>
      <c r="K254" s="201"/>
      <c r="L254" s="201"/>
      <c r="M254" s="201"/>
      <c r="N254" s="201"/>
      <c r="O254" s="201"/>
      <c r="P254" s="201"/>
      <c r="Q254" s="201"/>
      <c r="R254" s="201"/>
      <c r="S254" s="201"/>
      <c r="T254" s="201"/>
      <c r="U254" s="201"/>
      <c r="V254" s="201"/>
      <c r="W254" s="201"/>
      <c r="X254" s="201"/>
      <c r="Y254" s="201"/>
      <c r="Z254" s="201"/>
      <c r="AA254" s="201"/>
      <c r="AB254" s="201"/>
      <c r="AC254" s="201"/>
      <c r="AD254" s="201"/>
      <c r="AE254" s="201"/>
      <c r="AF254" s="201"/>
      <c r="AG254" s="201"/>
      <c r="AH254" s="201"/>
      <c r="AI254" s="201"/>
      <c r="AJ254" s="201"/>
      <c r="AK254" s="201"/>
      <c r="AL254" s="201"/>
      <c r="AM254" s="201"/>
      <c r="AN254" s="201"/>
      <c r="AO254" s="201"/>
      <c r="AP254" s="201"/>
      <c r="AQ254" s="201"/>
      <c r="AR254" s="201"/>
      <c r="AS254" s="201"/>
      <c r="AT254" s="201"/>
      <c r="AU254" s="201"/>
      <c r="AV254" s="201"/>
      <c r="AW254" s="201"/>
    </row>
    <row r="255" spans="1:49" s="202" customFormat="1">
      <c r="A255" s="507"/>
      <c r="E255" s="201"/>
      <c r="F255" s="201"/>
      <c r="G255" s="201"/>
      <c r="H255" s="201"/>
      <c r="I255" s="201"/>
      <c r="J255" s="201"/>
      <c r="K255" s="201"/>
      <c r="L255" s="201"/>
      <c r="M255" s="201"/>
      <c r="N255" s="201"/>
      <c r="O255" s="201"/>
      <c r="P255" s="201"/>
      <c r="Q255" s="201"/>
      <c r="R255" s="201"/>
      <c r="S255" s="201"/>
      <c r="T255" s="201"/>
      <c r="U255" s="201"/>
      <c r="V255" s="201"/>
      <c r="W255" s="201"/>
      <c r="X255" s="201"/>
      <c r="Y255" s="201"/>
      <c r="Z255" s="201"/>
      <c r="AA255" s="201"/>
      <c r="AB255" s="201"/>
      <c r="AC255" s="201"/>
      <c r="AD255" s="201"/>
      <c r="AE255" s="201"/>
      <c r="AF255" s="201"/>
      <c r="AG255" s="201"/>
      <c r="AH255" s="201"/>
      <c r="AI255" s="201"/>
      <c r="AJ255" s="201"/>
      <c r="AK255" s="201"/>
      <c r="AL255" s="201"/>
      <c r="AM255" s="201"/>
      <c r="AN255" s="201"/>
      <c r="AO255" s="201"/>
      <c r="AP255" s="201"/>
      <c r="AQ255" s="201"/>
      <c r="AR255" s="201"/>
      <c r="AS255" s="201"/>
      <c r="AT255" s="201"/>
      <c r="AU255" s="201"/>
      <c r="AV255" s="201"/>
      <c r="AW255" s="201"/>
    </row>
    <row r="258" spans="2:46">
      <c r="E258" s="146">
        <v>0.4</v>
      </c>
      <c r="F258" s="146">
        <v>0.45</v>
      </c>
      <c r="G258" s="146">
        <v>0.5</v>
      </c>
      <c r="H258" s="146">
        <v>0.7</v>
      </c>
      <c r="I258" s="146">
        <v>0.8</v>
      </c>
      <c r="J258" s="146">
        <v>1</v>
      </c>
      <c r="N258" s="146">
        <v>0.4</v>
      </c>
      <c r="O258" s="146">
        <v>0.45</v>
      </c>
      <c r="P258" s="146">
        <v>0.5</v>
      </c>
      <c r="Q258" s="146">
        <v>0.7</v>
      </c>
      <c r="R258" s="146">
        <v>0.8</v>
      </c>
      <c r="S258" s="146">
        <v>1</v>
      </c>
      <c r="T258" s="148"/>
      <c r="U258" s="148"/>
      <c r="V258" s="148"/>
      <c r="W258" s="146">
        <v>0.4</v>
      </c>
      <c r="X258" s="146">
        <v>0.45</v>
      </c>
      <c r="Y258" s="146">
        <v>0.5</v>
      </c>
      <c r="Z258" s="146">
        <v>0.7</v>
      </c>
      <c r="AA258" s="146">
        <v>0.8</v>
      </c>
      <c r="AB258" s="146">
        <v>1</v>
      </c>
      <c r="AF258" s="146">
        <v>0.4</v>
      </c>
      <c r="AG258" s="146">
        <v>0.45</v>
      </c>
      <c r="AH258" s="146">
        <v>0.5</v>
      </c>
      <c r="AI258" s="146">
        <v>0.7</v>
      </c>
      <c r="AJ258" s="146">
        <v>0.8</v>
      </c>
      <c r="AK258" s="146">
        <v>1</v>
      </c>
      <c r="AO258" s="146">
        <v>0.4</v>
      </c>
      <c r="AP258" s="146">
        <v>0.45</v>
      </c>
      <c r="AQ258" s="146">
        <v>0.5</v>
      </c>
      <c r="AR258" s="146">
        <v>0.7</v>
      </c>
      <c r="AS258" s="146">
        <v>0.8</v>
      </c>
      <c r="AT258" s="146">
        <v>1</v>
      </c>
    </row>
    <row r="259" spans="2:46">
      <c r="B259" s="146">
        <v>7</v>
      </c>
      <c r="D259" s="146" t="s">
        <v>366</v>
      </c>
      <c r="E259" s="146" t="s">
        <v>367</v>
      </c>
      <c r="F259" s="146" t="s">
        <v>368</v>
      </c>
      <c r="G259" s="146" t="s">
        <v>369</v>
      </c>
      <c r="H259" s="146" t="s">
        <v>370</v>
      </c>
      <c r="I259" s="146" t="s">
        <v>371</v>
      </c>
      <c r="J259" s="146" t="s">
        <v>372</v>
      </c>
      <c r="K259" s="146" t="s">
        <v>373</v>
      </c>
      <c r="L259" s="146" t="s">
        <v>374</v>
      </c>
    </row>
    <row r="260" spans="2:46">
      <c r="B260" s="146" t="s">
        <v>36</v>
      </c>
    </row>
    <row r="261" spans="2:46">
      <c r="B261" s="146" t="str">
        <f>IF($B$232=2,D261,IF($B$232=3,E261,IF($B$232=4,F261,IF($B$232=5,G261,IF($B$232=6,H261,IF($B$232=7,I261,IF($B$232=8,J261,IF($B$232=9,K261,IF($B$232=10,L261,IF($B$232=11,M261,""))))))))))</f>
        <v/>
      </c>
      <c r="D261" s="146" t="s">
        <v>36</v>
      </c>
      <c r="E261" s="146" t="s">
        <v>36</v>
      </c>
      <c r="F261" s="146" t="s">
        <v>36</v>
      </c>
      <c r="G261" s="426" t="s">
        <v>36</v>
      </c>
      <c r="H261" s="146" t="s">
        <v>36</v>
      </c>
      <c r="I261" s="146" t="s">
        <v>36</v>
      </c>
      <c r="K261" s="146" t="s">
        <v>36</v>
      </c>
      <c r="L261" s="146" t="s">
        <v>36</v>
      </c>
      <c r="M261" s="502" t="s">
        <v>2589</v>
      </c>
    </row>
    <row r="262" spans="2:46">
      <c r="B262" s="502" t="str">
        <f t="shared" ref="B262:B277" si="37">IF($B$232=2,D262,IF($B$232=3,E262,IF($B$232=4,F262,IF($B$232=5,G262,IF($B$232=6,H262,IF($B$232=7,I262,IF($B$232=8,J262,IF($B$232=9,K262,IF($B$232=10,L262,IF($B$232=11,M262,""))))))))))</f>
        <v/>
      </c>
      <c r="D262" s="146" t="s">
        <v>36</v>
      </c>
      <c r="E262" s="146" t="s">
        <v>36</v>
      </c>
      <c r="F262" s="427" t="s">
        <v>36</v>
      </c>
      <c r="G262" s="146" t="s">
        <v>12</v>
      </c>
      <c r="H262" s="448" t="s">
        <v>36</v>
      </c>
      <c r="I262" s="427" t="s">
        <v>36</v>
      </c>
      <c r="J262" s="146" t="s">
        <v>13</v>
      </c>
      <c r="K262" s="146" t="s">
        <v>36</v>
      </c>
      <c r="L262" s="146" t="s">
        <v>435</v>
      </c>
      <c r="M262" s="502" t="s">
        <v>36</v>
      </c>
    </row>
    <row r="263" spans="2:46">
      <c r="B263" s="502" t="str">
        <f t="shared" si="37"/>
        <v/>
      </c>
      <c r="D263" s="146" t="s">
        <v>36</v>
      </c>
      <c r="E263" s="146" t="s">
        <v>36</v>
      </c>
      <c r="F263" s="427" t="s">
        <v>36</v>
      </c>
      <c r="G263" s="146" t="s">
        <v>14</v>
      </c>
      <c r="H263" s="146" t="s">
        <v>36</v>
      </c>
      <c r="I263" s="253" t="s">
        <v>36</v>
      </c>
      <c r="J263" s="146" t="s">
        <v>15</v>
      </c>
      <c r="K263" s="146" t="s">
        <v>36</v>
      </c>
      <c r="L263" s="146" t="s">
        <v>379</v>
      </c>
      <c r="M263" s="502" t="s">
        <v>36</v>
      </c>
    </row>
    <row r="264" spans="2:46">
      <c r="B264" s="502" t="str">
        <f t="shared" si="37"/>
        <v/>
      </c>
      <c r="D264" s="146" t="s">
        <v>16</v>
      </c>
      <c r="E264" s="146" t="s">
        <v>16</v>
      </c>
      <c r="F264" s="146" t="s">
        <v>16</v>
      </c>
      <c r="G264" s="146" t="s">
        <v>16</v>
      </c>
      <c r="H264" s="146" t="s">
        <v>36</v>
      </c>
      <c r="I264" s="146" t="s">
        <v>17</v>
      </c>
      <c r="J264" s="146" t="s">
        <v>17</v>
      </c>
      <c r="K264" s="146" t="s">
        <v>36</v>
      </c>
      <c r="L264" s="146" t="s">
        <v>436</v>
      </c>
      <c r="M264" s="502" t="s">
        <v>36</v>
      </c>
    </row>
    <row r="265" spans="2:46">
      <c r="B265" s="502" t="str">
        <f t="shared" si="37"/>
        <v/>
      </c>
      <c r="D265" s="146" t="s">
        <v>36</v>
      </c>
      <c r="E265" s="146" t="s">
        <v>36</v>
      </c>
      <c r="F265" s="146" t="s">
        <v>36</v>
      </c>
      <c r="G265" s="146" t="s">
        <v>36</v>
      </c>
      <c r="H265" s="146" t="s">
        <v>36</v>
      </c>
      <c r="I265" s="146" t="s">
        <v>36</v>
      </c>
      <c r="J265" s="146" t="s">
        <v>36</v>
      </c>
      <c r="K265" s="146" t="s">
        <v>36</v>
      </c>
      <c r="L265" s="146" t="s">
        <v>36</v>
      </c>
      <c r="M265" s="502" t="s">
        <v>36</v>
      </c>
    </row>
    <row r="266" spans="2:46">
      <c r="B266" s="502" t="str">
        <f t="shared" si="37"/>
        <v/>
      </c>
      <c r="D266" s="146" t="s">
        <v>36</v>
      </c>
      <c r="E266" s="146" t="s">
        <v>36</v>
      </c>
      <c r="F266" s="146" t="s">
        <v>36</v>
      </c>
      <c r="G266" s="146" t="s">
        <v>18</v>
      </c>
      <c r="H266" s="146" t="s">
        <v>36</v>
      </c>
      <c r="I266" s="146" t="s">
        <v>36</v>
      </c>
      <c r="J266" s="146" t="s">
        <v>36</v>
      </c>
      <c r="K266" s="146" t="s">
        <v>36</v>
      </c>
      <c r="L266" s="146" t="s">
        <v>36</v>
      </c>
      <c r="M266" s="502" t="s">
        <v>36</v>
      </c>
    </row>
    <row r="267" spans="2:46">
      <c r="B267" s="502" t="str">
        <f t="shared" si="37"/>
        <v/>
      </c>
      <c r="D267" s="146" t="s">
        <v>36</v>
      </c>
      <c r="E267" s="146" t="s">
        <v>36</v>
      </c>
      <c r="F267" s="146" t="s">
        <v>36</v>
      </c>
      <c r="G267" s="146" t="s">
        <v>19</v>
      </c>
      <c r="H267" s="146" t="s">
        <v>36</v>
      </c>
      <c r="I267" s="146" t="s">
        <v>36</v>
      </c>
      <c r="J267" s="146" t="s">
        <v>20</v>
      </c>
      <c r="K267" s="146" t="s">
        <v>36</v>
      </c>
      <c r="L267" s="146" t="s">
        <v>36</v>
      </c>
      <c r="M267" s="502" t="s">
        <v>36</v>
      </c>
    </row>
    <row r="268" spans="2:46">
      <c r="B268" s="502" t="str">
        <f t="shared" si="37"/>
        <v/>
      </c>
      <c r="D268" s="146" t="s">
        <v>36</v>
      </c>
      <c r="E268" s="146" t="s">
        <v>36</v>
      </c>
      <c r="F268" s="146" t="s">
        <v>36</v>
      </c>
      <c r="G268" s="146" t="s">
        <v>36</v>
      </c>
      <c r="H268" s="146" t="s">
        <v>36</v>
      </c>
      <c r="I268" s="146" t="s">
        <v>36</v>
      </c>
      <c r="J268" s="146" t="s">
        <v>22</v>
      </c>
      <c r="K268" s="146" t="s">
        <v>36</v>
      </c>
      <c r="L268" s="495" t="s">
        <v>437</v>
      </c>
      <c r="M268" s="77" t="s">
        <v>36</v>
      </c>
    </row>
    <row r="269" spans="2:46">
      <c r="B269" s="502" t="str">
        <f t="shared" si="37"/>
        <v/>
      </c>
      <c r="D269" s="146" t="s">
        <v>36</v>
      </c>
      <c r="E269" s="232" t="s">
        <v>308</v>
      </c>
      <c r="F269" s="146" t="s">
        <v>308</v>
      </c>
      <c r="G269" s="146" t="s">
        <v>308</v>
      </c>
      <c r="H269" s="495" t="s">
        <v>275</v>
      </c>
      <c r="I269" s="232" t="s">
        <v>275</v>
      </c>
      <c r="J269" s="146" t="s">
        <v>275</v>
      </c>
      <c r="K269" s="146" t="s">
        <v>36</v>
      </c>
      <c r="L269" s="77" t="s">
        <v>2570</v>
      </c>
      <c r="M269" s="502" t="s">
        <v>36</v>
      </c>
    </row>
    <row r="270" spans="2:46">
      <c r="B270" s="502" t="str">
        <f t="shared" si="37"/>
        <v/>
      </c>
      <c r="D270" s="146" t="s">
        <v>36</v>
      </c>
      <c r="E270" s="146" t="s">
        <v>36</v>
      </c>
      <c r="F270" s="146" t="s">
        <v>23</v>
      </c>
      <c r="G270" s="146" t="s">
        <v>23</v>
      </c>
      <c r="H270" s="146" t="s">
        <v>24</v>
      </c>
      <c r="I270" s="146" t="s">
        <v>24</v>
      </c>
      <c r="J270" s="146" t="s">
        <v>24</v>
      </c>
      <c r="K270" s="146" t="s">
        <v>377</v>
      </c>
      <c r="L270" s="146" t="s">
        <v>380</v>
      </c>
      <c r="M270" s="502" t="s">
        <v>36</v>
      </c>
    </row>
    <row r="271" spans="2:46">
      <c r="B271" s="502" t="str">
        <f t="shared" si="37"/>
        <v/>
      </c>
      <c r="D271" s="146" t="s">
        <v>36</v>
      </c>
      <c r="E271" s="146" t="s">
        <v>36</v>
      </c>
      <c r="F271" s="146" t="s">
        <v>25</v>
      </c>
      <c r="G271" s="146" t="s">
        <v>25</v>
      </c>
      <c r="H271" s="146" t="s">
        <v>36</v>
      </c>
      <c r="I271" s="146" t="s">
        <v>26</v>
      </c>
      <c r="J271" s="146" t="s">
        <v>26</v>
      </c>
      <c r="K271" s="146" t="s">
        <v>36</v>
      </c>
      <c r="L271" s="146" t="s">
        <v>36</v>
      </c>
      <c r="M271" s="502" t="s">
        <v>36</v>
      </c>
    </row>
    <row r="272" spans="2:46">
      <c r="B272" s="502" t="str">
        <f t="shared" si="37"/>
        <v/>
      </c>
      <c r="D272" s="146" t="s">
        <v>36</v>
      </c>
      <c r="E272" s="146" t="s">
        <v>36</v>
      </c>
      <c r="F272" s="146" t="s">
        <v>36</v>
      </c>
      <c r="G272" s="146" t="s">
        <v>36</v>
      </c>
      <c r="H272" s="146" t="s">
        <v>36</v>
      </c>
      <c r="I272" s="146" t="s">
        <v>36</v>
      </c>
      <c r="J272" s="146" t="s">
        <v>36</v>
      </c>
      <c r="K272" s="146" t="s">
        <v>36</v>
      </c>
      <c r="L272" s="146" t="s">
        <v>438</v>
      </c>
      <c r="M272" s="502" t="s">
        <v>36</v>
      </c>
    </row>
    <row r="273" spans="2:13">
      <c r="B273" s="502" t="str">
        <f t="shared" si="37"/>
        <v/>
      </c>
      <c r="D273" s="146" t="s">
        <v>28</v>
      </c>
      <c r="E273" s="146" t="s">
        <v>28</v>
      </c>
      <c r="F273" s="146" t="s">
        <v>28</v>
      </c>
      <c r="G273" s="146" t="s">
        <v>28</v>
      </c>
      <c r="H273" s="146" t="s">
        <v>29</v>
      </c>
      <c r="I273" s="146" t="s">
        <v>29</v>
      </c>
      <c r="J273" s="146" t="s">
        <v>29</v>
      </c>
      <c r="K273" s="468" t="s">
        <v>36</v>
      </c>
      <c r="L273" s="146" t="s">
        <v>381</v>
      </c>
      <c r="M273" s="502" t="s">
        <v>36</v>
      </c>
    </row>
    <row r="274" spans="2:13">
      <c r="B274" s="502" t="str">
        <f t="shared" si="37"/>
        <v/>
      </c>
      <c r="D274" s="146" t="s">
        <v>36</v>
      </c>
      <c r="E274" s="146" t="s">
        <v>36</v>
      </c>
      <c r="F274" s="146" t="s">
        <v>36</v>
      </c>
      <c r="G274" s="146" t="s">
        <v>36</v>
      </c>
      <c r="H274" s="495" t="s">
        <v>36</v>
      </c>
      <c r="I274" s="146" t="s">
        <v>31</v>
      </c>
      <c r="J274" s="146" t="s">
        <v>31</v>
      </c>
      <c r="K274" s="146" t="s">
        <v>378</v>
      </c>
      <c r="L274" s="146" t="s">
        <v>382</v>
      </c>
      <c r="M274" s="502" t="s">
        <v>36</v>
      </c>
    </row>
    <row r="275" spans="2:13">
      <c r="B275" s="502" t="str">
        <f t="shared" si="37"/>
        <v/>
      </c>
      <c r="D275" s="146" t="s">
        <v>36</v>
      </c>
      <c r="E275" s="146" t="s">
        <v>36</v>
      </c>
      <c r="F275" s="146" t="s">
        <v>32</v>
      </c>
      <c r="G275" s="146" t="s">
        <v>32</v>
      </c>
      <c r="H275" s="146" t="s">
        <v>36</v>
      </c>
      <c r="I275" s="146" t="s">
        <v>36</v>
      </c>
      <c r="J275" s="146" t="s">
        <v>36</v>
      </c>
      <c r="K275" s="146" t="s">
        <v>36</v>
      </c>
      <c r="L275" s="146" t="s">
        <v>36</v>
      </c>
      <c r="M275" s="502" t="s">
        <v>36</v>
      </c>
    </row>
    <row r="276" spans="2:13">
      <c r="B276" s="502" t="str">
        <f t="shared" si="37"/>
        <v/>
      </c>
      <c r="D276" s="146" t="s">
        <v>36</v>
      </c>
      <c r="E276" s="146" t="s">
        <v>36</v>
      </c>
      <c r="F276" s="146" t="s">
        <v>36</v>
      </c>
      <c r="G276" s="146" t="s">
        <v>36</v>
      </c>
      <c r="H276" s="495" t="s">
        <v>34</v>
      </c>
      <c r="I276" s="146" t="s">
        <v>34</v>
      </c>
      <c r="J276" s="146" t="s">
        <v>34</v>
      </c>
      <c r="K276" s="146" t="s">
        <v>36</v>
      </c>
      <c r="L276" s="146" t="s">
        <v>383</v>
      </c>
      <c r="M276" s="502" t="s">
        <v>2591</v>
      </c>
    </row>
    <row r="277" spans="2:13">
      <c r="B277" s="502" t="str">
        <f t="shared" si="37"/>
        <v/>
      </c>
      <c r="D277" s="146" t="s">
        <v>36</v>
      </c>
      <c r="E277" s="146" t="s">
        <v>36</v>
      </c>
      <c r="F277" s="146" t="s">
        <v>35</v>
      </c>
      <c r="G277" s="146" t="s">
        <v>35</v>
      </c>
      <c r="H277" s="146" t="s">
        <v>36</v>
      </c>
      <c r="I277" s="146" t="s">
        <v>36</v>
      </c>
      <c r="J277" s="146" t="s">
        <v>36</v>
      </c>
      <c r="K277" s="146" t="s">
        <v>36</v>
      </c>
      <c r="L277" s="146" t="s">
        <v>36</v>
      </c>
      <c r="M277" s="502" t="s">
        <v>36</v>
      </c>
    </row>
    <row r="278" spans="2:13">
      <c r="B278" s="146" t="str">
        <f t="shared" ref="B278" si="38">IF($B$232=2,D278,IF($B$232=3,E278,IF($B$232=4,F278,IF($B$232=5,G278,IF($B$232=6,H278,IF($B$232=7,I278,IF($B$232=8,J278,IF($B$232=9,K278,IF($B$232=10,L278,"")))))))))</f>
        <v/>
      </c>
      <c r="D278" s="146" t="s">
        <v>36</v>
      </c>
      <c r="E278" s="146" t="s">
        <v>36</v>
      </c>
      <c r="F278" s="146" t="s">
        <v>36</v>
      </c>
      <c r="G278" s="443" t="s">
        <v>36</v>
      </c>
      <c r="H278" s="146" t="s">
        <v>36</v>
      </c>
      <c r="I278" s="146" t="s">
        <v>36</v>
      </c>
      <c r="J278" s="146" t="s">
        <v>36</v>
      </c>
      <c r="K278" s="146" t="s">
        <v>36</v>
      </c>
      <c r="L278" s="146" t="s">
        <v>36</v>
      </c>
      <c r="M278" s="146" t="s">
        <v>36</v>
      </c>
    </row>
    <row r="279" spans="2:13">
      <c r="B279" s="146">
        <v>1</v>
      </c>
    </row>
    <row r="281" spans="2:13">
      <c r="B281" s="146" t="s">
        <v>411</v>
      </c>
    </row>
    <row r="282" spans="2:13">
      <c r="B282" s="146" t="s">
        <v>36</v>
      </c>
    </row>
    <row r="283" spans="2:13">
      <c r="B283" s="146" t="s">
        <v>412</v>
      </c>
    </row>
    <row r="284" spans="2:13">
      <c r="B284" s="146" t="s">
        <v>36</v>
      </c>
    </row>
    <row r="285" spans="2:13">
      <c r="B285" s="434" t="s">
        <v>36</v>
      </c>
    </row>
    <row r="286" spans="2:13">
      <c r="B286" s="434" t="s">
        <v>36</v>
      </c>
    </row>
    <row r="287" spans="2:13">
      <c r="B287" s="146">
        <v>1</v>
      </c>
    </row>
    <row r="288" spans="2:13">
      <c r="B288" s="146" t="s">
        <v>192</v>
      </c>
    </row>
    <row r="289" spans="2:7">
      <c r="B289" s="146" t="s">
        <v>191</v>
      </c>
    </row>
    <row r="291" spans="2:7">
      <c r="B291" s="146">
        <v>1</v>
      </c>
      <c r="C291" s="146" t="s">
        <v>418</v>
      </c>
      <c r="D291" s="146" t="s">
        <v>419</v>
      </c>
      <c r="E291" s="146" t="s">
        <v>420</v>
      </c>
      <c r="F291" s="146" t="s">
        <v>392</v>
      </c>
      <c r="G291" s="146" t="s">
        <v>391</v>
      </c>
    </row>
    <row r="293" spans="2:7">
      <c r="B293" s="146" t="str">
        <f t="shared" ref="B293:B309" si="39">IF($P$2=2,C293,IF($P$2=3,D293,IF($P$2=4,E293,IF($P$2=6,F293,IF($P$2=7,G293,"")))))</f>
        <v xml:space="preserve"> </v>
      </c>
      <c r="C293" s="426" t="s">
        <v>36</v>
      </c>
      <c r="D293" s="146" t="s">
        <v>36</v>
      </c>
      <c r="E293" s="146" t="s">
        <v>36</v>
      </c>
      <c r="F293" s="146" t="s">
        <v>36</v>
      </c>
      <c r="G293" s="146" t="s">
        <v>36</v>
      </c>
    </row>
    <row r="294" spans="2:7">
      <c r="B294" s="146" t="str">
        <f t="shared" si="39"/>
        <v>3005-L</v>
      </c>
      <c r="C294" s="146" t="s">
        <v>12</v>
      </c>
      <c r="D294" s="146" t="s">
        <v>13</v>
      </c>
      <c r="E294" s="146" t="s">
        <v>13</v>
      </c>
      <c r="F294" s="146" t="s">
        <v>36</v>
      </c>
      <c r="G294" s="146" t="s">
        <v>36</v>
      </c>
    </row>
    <row r="295" spans="2:7">
      <c r="B295" s="146" t="str">
        <f t="shared" si="39"/>
        <v>3009-L</v>
      </c>
      <c r="C295" s="146" t="s">
        <v>14</v>
      </c>
      <c r="D295" s="146" t="s">
        <v>15</v>
      </c>
      <c r="E295" s="146" t="s">
        <v>15</v>
      </c>
      <c r="F295" s="146" t="s">
        <v>379</v>
      </c>
      <c r="G295" s="146" t="s">
        <v>36</v>
      </c>
    </row>
    <row r="296" spans="2:7">
      <c r="B296" s="146" t="str">
        <f t="shared" si="39"/>
        <v>3011-L</v>
      </c>
      <c r="C296" s="146" t="s">
        <v>16</v>
      </c>
      <c r="D296" s="146" t="s">
        <v>17</v>
      </c>
      <c r="E296" s="146" t="s">
        <v>17</v>
      </c>
      <c r="F296" s="146" t="s">
        <v>36</v>
      </c>
      <c r="G296" s="146" t="s">
        <v>36</v>
      </c>
    </row>
    <row r="297" spans="2:7">
      <c r="B297" s="146" t="str">
        <f t="shared" si="39"/>
        <v xml:space="preserve"> </v>
      </c>
      <c r="C297" s="146" t="s">
        <v>36</v>
      </c>
      <c r="D297" s="146" t="s">
        <v>36</v>
      </c>
      <c r="E297" s="146" t="s">
        <v>36</v>
      </c>
      <c r="F297" s="146" t="s">
        <v>36</v>
      </c>
      <c r="G297" s="146" t="s">
        <v>36</v>
      </c>
    </row>
    <row r="298" spans="2:7">
      <c r="B298" s="146" t="str">
        <f t="shared" si="39"/>
        <v>5010-L</v>
      </c>
      <c r="C298" s="146" t="s">
        <v>18</v>
      </c>
      <c r="D298" s="146" t="s">
        <v>36</v>
      </c>
      <c r="E298" s="146" t="s">
        <v>36</v>
      </c>
      <c r="F298" s="146" t="s">
        <v>36</v>
      </c>
      <c r="G298" s="146" t="s">
        <v>36</v>
      </c>
    </row>
    <row r="299" spans="2:7">
      <c r="B299" s="146" t="str">
        <f t="shared" si="39"/>
        <v>6005-L</v>
      </c>
      <c r="C299" s="146" t="s">
        <v>19</v>
      </c>
      <c r="D299" s="146" t="s">
        <v>20</v>
      </c>
      <c r="E299" s="146" t="s">
        <v>36</v>
      </c>
      <c r="F299" s="146" t="s">
        <v>36</v>
      </c>
      <c r="G299" s="146" t="s">
        <v>36</v>
      </c>
    </row>
    <row r="300" spans="2:7">
      <c r="B300" s="146" t="str">
        <f t="shared" si="39"/>
        <v xml:space="preserve"> </v>
      </c>
      <c r="C300" s="146" t="s">
        <v>36</v>
      </c>
      <c r="D300" s="146" t="s">
        <v>22</v>
      </c>
      <c r="E300" s="146" t="s">
        <v>36</v>
      </c>
      <c r="F300" s="146" t="s">
        <v>36</v>
      </c>
      <c r="G300" s="146" t="s">
        <v>36</v>
      </c>
    </row>
    <row r="301" spans="2:7">
      <c r="B301" s="146" t="str">
        <f t="shared" si="39"/>
        <v>7016-L</v>
      </c>
      <c r="C301" s="146" t="s">
        <v>308</v>
      </c>
      <c r="D301" s="146" t="s">
        <v>36</v>
      </c>
      <c r="E301" s="146" t="s">
        <v>36</v>
      </c>
      <c r="F301" s="146" t="s">
        <v>36</v>
      </c>
      <c r="G301" s="146" t="s">
        <v>36</v>
      </c>
    </row>
    <row r="302" spans="2:7">
      <c r="B302" s="146" t="str">
        <f t="shared" si="39"/>
        <v>7024-L</v>
      </c>
      <c r="C302" s="146" t="s">
        <v>23</v>
      </c>
      <c r="D302" s="146" t="s">
        <v>24</v>
      </c>
      <c r="E302" s="146" t="s">
        <v>24</v>
      </c>
      <c r="F302" s="146" t="s">
        <v>380</v>
      </c>
      <c r="G302" s="146" t="s">
        <v>377</v>
      </c>
    </row>
    <row r="303" spans="2:7">
      <c r="B303" s="146" t="str">
        <f t="shared" si="39"/>
        <v>8004-L</v>
      </c>
      <c r="C303" s="146" t="s">
        <v>25</v>
      </c>
      <c r="D303" s="146" t="s">
        <v>26</v>
      </c>
      <c r="E303" s="146" t="s">
        <v>26</v>
      </c>
      <c r="F303" s="146" t="s">
        <v>36</v>
      </c>
      <c r="G303" s="146" t="s">
        <v>36</v>
      </c>
    </row>
    <row r="304" spans="2:7">
      <c r="B304" s="146" t="str">
        <f t="shared" si="39"/>
        <v xml:space="preserve"> </v>
      </c>
      <c r="C304" s="146" t="s">
        <v>36</v>
      </c>
      <c r="D304" s="146" t="s">
        <v>36</v>
      </c>
      <c r="E304" s="146" t="s">
        <v>36</v>
      </c>
      <c r="F304" s="146" t="s">
        <v>36</v>
      </c>
      <c r="G304" s="146" t="s">
        <v>36</v>
      </c>
    </row>
    <row r="305" spans="2:33">
      <c r="B305" s="146" t="str">
        <f t="shared" si="39"/>
        <v>8017-L</v>
      </c>
      <c r="C305" s="146" t="s">
        <v>28</v>
      </c>
      <c r="D305" s="146" t="s">
        <v>29</v>
      </c>
      <c r="E305" s="146" t="s">
        <v>29</v>
      </c>
      <c r="F305" s="146" t="s">
        <v>381</v>
      </c>
      <c r="G305" s="468" t="s">
        <v>36</v>
      </c>
    </row>
    <row r="306" spans="2:33">
      <c r="B306" s="146" t="str">
        <f t="shared" si="39"/>
        <v xml:space="preserve"> </v>
      </c>
      <c r="C306" s="146" t="s">
        <v>36</v>
      </c>
      <c r="D306" s="146" t="s">
        <v>31</v>
      </c>
      <c r="E306" s="146" t="s">
        <v>31</v>
      </c>
      <c r="F306" s="146" t="s">
        <v>382</v>
      </c>
      <c r="G306" s="146" t="s">
        <v>378</v>
      </c>
    </row>
    <row r="307" spans="2:33">
      <c r="B307" s="146" t="str">
        <f t="shared" si="39"/>
        <v>9002-L</v>
      </c>
      <c r="C307" s="146" t="s">
        <v>32</v>
      </c>
      <c r="D307" s="146" t="s">
        <v>36</v>
      </c>
      <c r="E307" s="146" t="s">
        <v>36</v>
      </c>
      <c r="F307" s="146" t="s">
        <v>36</v>
      </c>
      <c r="G307" s="146" t="s">
        <v>36</v>
      </c>
    </row>
    <row r="308" spans="2:33">
      <c r="B308" s="146" t="str">
        <f t="shared" si="39"/>
        <v xml:space="preserve"> </v>
      </c>
      <c r="C308" s="146" t="s">
        <v>36</v>
      </c>
      <c r="D308" s="146" t="s">
        <v>34</v>
      </c>
      <c r="E308" s="146" t="s">
        <v>34</v>
      </c>
      <c r="F308" s="146" t="s">
        <v>383</v>
      </c>
      <c r="G308" s="146" t="s">
        <v>36</v>
      </c>
    </row>
    <row r="309" spans="2:33">
      <c r="B309" s="146" t="str">
        <f t="shared" si="39"/>
        <v>9006-L</v>
      </c>
      <c r="C309" s="146" t="s">
        <v>35</v>
      </c>
      <c r="D309" s="146" t="s">
        <v>36</v>
      </c>
      <c r="E309" s="146" t="s">
        <v>36</v>
      </c>
      <c r="F309" s="146" t="s">
        <v>36</v>
      </c>
      <c r="G309" s="146" t="s">
        <v>36</v>
      </c>
    </row>
    <row r="310" spans="2:33">
      <c r="B310" s="889">
        <v>1</v>
      </c>
      <c r="C310" s="889"/>
      <c r="D310" s="889">
        <v>2</v>
      </c>
      <c r="E310" s="889"/>
      <c r="F310" s="889">
        <v>3</v>
      </c>
      <c r="G310" s="889"/>
      <c r="H310" s="889">
        <v>4</v>
      </c>
      <c r="I310" s="889"/>
      <c r="J310" s="889">
        <v>5</v>
      </c>
      <c r="K310" s="889"/>
      <c r="L310" s="889">
        <v>6</v>
      </c>
      <c r="M310" s="889"/>
      <c r="N310" s="889">
        <v>7</v>
      </c>
      <c r="O310" s="889"/>
      <c r="P310" s="889">
        <v>8</v>
      </c>
      <c r="Q310" s="889"/>
      <c r="R310" s="889">
        <v>9</v>
      </c>
      <c r="S310" s="889"/>
      <c r="T310" s="889">
        <v>10</v>
      </c>
      <c r="U310" s="889"/>
      <c r="V310" s="889">
        <v>11</v>
      </c>
      <c r="W310" s="889"/>
      <c r="X310" s="889">
        <v>12</v>
      </c>
      <c r="Y310" s="889"/>
      <c r="Z310" s="889">
        <v>13</v>
      </c>
      <c r="AA310" s="889"/>
      <c r="AB310" s="889">
        <v>14</v>
      </c>
      <c r="AC310" s="889"/>
      <c r="AD310" s="889">
        <v>15</v>
      </c>
      <c r="AE310" s="889"/>
      <c r="AF310" s="889">
        <v>16</v>
      </c>
      <c r="AG310" s="889"/>
    </row>
    <row r="311" spans="2:33">
      <c r="B311" s="146">
        <v>1</v>
      </c>
      <c r="C311" s="146">
        <v>1</v>
      </c>
      <c r="D311" s="146">
        <v>1</v>
      </c>
      <c r="E311" s="146">
        <v>1</v>
      </c>
      <c r="F311" s="146">
        <v>1</v>
      </c>
      <c r="G311" s="146">
        <v>1</v>
      </c>
      <c r="H311" s="146">
        <v>1</v>
      </c>
      <c r="I311" s="146">
        <v>1</v>
      </c>
      <c r="J311" s="146">
        <v>1</v>
      </c>
      <c r="K311" s="146">
        <v>1</v>
      </c>
      <c r="L311" s="146">
        <v>1</v>
      </c>
      <c r="M311" s="146">
        <v>1</v>
      </c>
      <c r="N311" s="146">
        <v>1</v>
      </c>
      <c r="O311" s="146">
        <v>1</v>
      </c>
      <c r="P311" s="146">
        <v>1</v>
      </c>
      <c r="Q311" s="146">
        <v>1</v>
      </c>
      <c r="R311" s="146">
        <v>1</v>
      </c>
      <c r="S311" s="146">
        <v>1</v>
      </c>
      <c r="T311" s="146">
        <v>1</v>
      </c>
      <c r="U311" s="146">
        <v>1</v>
      </c>
      <c r="V311" s="146">
        <v>13</v>
      </c>
      <c r="W311" s="146">
        <v>4</v>
      </c>
      <c r="X311" s="146">
        <v>1</v>
      </c>
      <c r="Y311" s="146">
        <v>1</v>
      </c>
      <c r="Z311" s="146">
        <v>1</v>
      </c>
      <c r="AA311" s="146">
        <v>1</v>
      </c>
      <c r="AB311" s="146">
        <v>1</v>
      </c>
      <c r="AC311" s="146">
        <v>1</v>
      </c>
      <c r="AD311" s="146">
        <v>1</v>
      </c>
      <c r="AE311" s="146">
        <v>1</v>
      </c>
      <c r="AF311" s="146">
        <v>1</v>
      </c>
      <c r="AG311" s="146">
        <v>1</v>
      </c>
    </row>
    <row r="313" spans="2:33" ht="17.25" customHeight="1">
      <c r="B313" s="150" t="s">
        <v>126</v>
      </c>
      <c r="C313" s="150" t="s">
        <v>126</v>
      </c>
      <c r="D313" s="150" t="s">
        <v>126</v>
      </c>
      <c r="E313" s="150" t="s">
        <v>126</v>
      </c>
      <c r="F313" s="150" t="s">
        <v>126</v>
      </c>
      <c r="G313" s="150" t="s">
        <v>126</v>
      </c>
      <c r="H313" s="150" t="s">
        <v>126</v>
      </c>
      <c r="I313" s="150" t="s">
        <v>126</v>
      </c>
      <c r="J313" s="150" t="s">
        <v>126</v>
      </c>
      <c r="K313" s="150" t="s">
        <v>126</v>
      </c>
      <c r="L313" s="150" t="s">
        <v>126</v>
      </c>
      <c r="M313" s="150" t="s">
        <v>126</v>
      </c>
      <c r="N313" s="150" t="s">
        <v>126</v>
      </c>
      <c r="O313" s="150" t="s">
        <v>126</v>
      </c>
      <c r="P313" s="150" t="s">
        <v>126</v>
      </c>
      <c r="Q313" s="150" t="s">
        <v>126</v>
      </c>
      <c r="R313" s="150" t="s">
        <v>126</v>
      </c>
      <c r="S313" s="150" t="s">
        <v>126</v>
      </c>
      <c r="T313" s="150" t="s">
        <v>126</v>
      </c>
      <c r="U313" s="150" t="s">
        <v>126</v>
      </c>
      <c r="V313" s="150" t="s">
        <v>126</v>
      </c>
      <c r="W313" s="150" t="s">
        <v>126</v>
      </c>
      <c r="X313" s="150" t="s">
        <v>126</v>
      </c>
      <c r="Y313" s="150" t="s">
        <v>126</v>
      </c>
      <c r="Z313" s="151" t="s">
        <v>113</v>
      </c>
      <c r="AA313" s="151" t="s">
        <v>113</v>
      </c>
      <c r="AB313" s="151" t="s">
        <v>460</v>
      </c>
      <c r="AC313" s="151" t="s">
        <v>460</v>
      </c>
      <c r="AD313" s="151" t="s">
        <v>460</v>
      </c>
      <c r="AE313" s="151" t="s">
        <v>460</v>
      </c>
      <c r="AF313" s="146" t="s">
        <v>464</v>
      </c>
      <c r="AG313" s="146" t="s">
        <v>464</v>
      </c>
    </row>
    <row r="314" spans="2:33" ht="17.25" customHeight="1">
      <c r="B314" s="150" t="s">
        <v>125</v>
      </c>
      <c r="C314" s="150" t="s">
        <v>125</v>
      </c>
      <c r="D314" s="150" t="s">
        <v>125</v>
      </c>
      <c r="E314" s="150" t="s">
        <v>125</v>
      </c>
      <c r="F314" s="150" t="s">
        <v>125</v>
      </c>
      <c r="G314" s="150" t="s">
        <v>125</v>
      </c>
      <c r="H314" s="150" t="s">
        <v>125</v>
      </c>
      <c r="I314" s="150" t="s">
        <v>125</v>
      </c>
      <c r="J314" s="150" t="s">
        <v>125</v>
      </c>
      <c r="K314" s="150" t="s">
        <v>125</v>
      </c>
      <c r="L314" s="150" t="s">
        <v>125</v>
      </c>
      <c r="M314" s="150" t="s">
        <v>125</v>
      </c>
      <c r="N314" s="150" t="s">
        <v>125</v>
      </c>
      <c r="O314" s="150" t="s">
        <v>125</v>
      </c>
      <c r="P314" s="150" t="s">
        <v>125</v>
      </c>
      <c r="Q314" s="150" t="s">
        <v>125</v>
      </c>
      <c r="R314" s="150" t="s">
        <v>125</v>
      </c>
      <c r="S314" s="150" t="s">
        <v>125</v>
      </c>
      <c r="T314" s="150" t="s">
        <v>125</v>
      </c>
      <c r="U314" s="150" t="s">
        <v>125</v>
      </c>
      <c r="V314" s="150" t="s">
        <v>125</v>
      </c>
      <c r="W314" s="150" t="s">
        <v>125</v>
      </c>
      <c r="X314" s="150" t="s">
        <v>125</v>
      </c>
      <c r="Y314" s="150" t="s">
        <v>125</v>
      </c>
      <c r="Z314" s="151" t="s">
        <v>112</v>
      </c>
      <c r="AA314" s="151" t="s">
        <v>112</v>
      </c>
      <c r="AB314" s="151" t="s">
        <v>461</v>
      </c>
      <c r="AC314" s="151" t="s">
        <v>461</v>
      </c>
      <c r="AD314" s="151" t="s">
        <v>461</v>
      </c>
      <c r="AE314" s="151" t="s">
        <v>461</v>
      </c>
      <c r="AF314" s="146" t="s">
        <v>465</v>
      </c>
      <c r="AG314" s="146" t="s">
        <v>465</v>
      </c>
    </row>
    <row r="315" spans="2:33" ht="15.6">
      <c r="B315" s="150" t="s">
        <v>124</v>
      </c>
      <c r="C315" s="150" t="s">
        <v>124</v>
      </c>
      <c r="D315" s="150" t="s">
        <v>124</v>
      </c>
      <c r="E315" s="150" t="s">
        <v>124</v>
      </c>
      <c r="F315" s="150" t="s">
        <v>124</v>
      </c>
      <c r="G315" s="150" t="s">
        <v>124</v>
      </c>
      <c r="H315" s="150" t="s">
        <v>124</v>
      </c>
      <c r="I315" s="150" t="s">
        <v>124</v>
      </c>
      <c r="J315" s="150" t="s">
        <v>124</v>
      </c>
      <c r="K315" s="150" t="s">
        <v>124</v>
      </c>
      <c r="L315" s="150" t="s">
        <v>124</v>
      </c>
      <c r="M315" s="150" t="s">
        <v>124</v>
      </c>
      <c r="N315" s="150" t="s">
        <v>124</v>
      </c>
      <c r="O315" s="150" t="s">
        <v>124</v>
      </c>
      <c r="P315" s="150" t="s">
        <v>124</v>
      </c>
      <c r="Q315" s="150" t="s">
        <v>124</v>
      </c>
      <c r="R315" s="150" t="s">
        <v>124</v>
      </c>
      <c r="S315" s="150" t="s">
        <v>124</v>
      </c>
      <c r="T315" s="150" t="s">
        <v>36</v>
      </c>
      <c r="U315" s="150" t="s">
        <v>36</v>
      </c>
      <c r="V315" s="150" t="s">
        <v>36</v>
      </c>
      <c r="W315" s="150" t="s">
        <v>36</v>
      </c>
      <c r="X315" s="150" t="s">
        <v>124</v>
      </c>
      <c r="Y315" s="150" t="s">
        <v>124</v>
      </c>
      <c r="AB315" s="473" t="s">
        <v>462</v>
      </c>
      <c r="AC315" s="473" t="s">
        <v>462</v>
      </c>
      <c r="AD315" s="473" t="s">
        <v>462</v>
      </c>
      <c r="AE315" s="473" t="s">
        <v>462</v>
      </c>
    </row>
    <row r="316" spans="2:33" ht="31.2">
      <c r="B316" s="150" t="s">
        <v>123</v>
      </c>
      <c r="C316" s="150" t="s">
        <v>123</v>
      </c>
      <c r="D316" s="150" t="s">
        <v>123</v>
      </c>
      <c r="E316" s="150" t="s">
        <v>123</v>
      </c>
      <c r="F316" s="150" t="s">
        <v>123</v>
      </c>
      <c r="G316" s="150" t="s">
        <v>123</v>
      </c>
      <c r="H316" s="150" t="s">
        <v>123</v>
      </c>
      <c r="I316" s="150" t="s">
        <v>123</v>
      </c>
      <c r="J316" s="150" t="s">
        <v>123</v>
      </c>
      <c r="K316" s="150" t="s">
        <v>123</v>
      </c>
      <c r="L316" s="150" t="s">
        <v>123</v>
      </c>
      <c r="M316" s="150" t="s">
        <v>123</v>
      </c>
      <c r="N316" s="150" t="s">
        <v>123</v>
      </c>
      <c r="O316" s="150" t="s">
        <v>123</v>
      </c>
      <c r="P316" s="150" t="s">
        <v>123</v>
      </c>
      <c r="Q316" s="150" t="s">
        <v>123</v>
      </c>
      <c r="R316" s="150" t="s">
        <v>123</v>
      </c>
      <c r="S316" s="150" t="s">
        <v>123</v>
      </c>
      <c r="T316" s="150" t="s">
        <v>123</v>
      </c>
      <c r="U316" s="150" t="s">
        <v>123</v>
      </c>
      <c r="V316" s="150" t="s">
        <v>123</v>
      </c>
      <c r="W316" s="150" t="s">
        <v>123</v>
      </c>
      <c r="X316" s="150" t="s">
        <v>123</v>
      </c>
      <c r="Y316" s="150" t="s">
        <v>123</v>
      </c>
      <c r="AB316" s="473" t="s">
        <v>2213</v>
      </c>
      <c r="AC316" s="473" t="s">
        <v>2213</v>
      </c>
      <c r="AD316" s="473" t="s">
        <v>2213</v>
      </c>
      <c r="AE316" s="473" t="s">
        <v>2213</v>
      </c>
    </row>
    <row r="317" spans="2:33" ht="15.6">
      <c r="B317" s="150" t="s">
        <v>122</v>
      </c>
      <c r="C317" s="150" t="s">
        <v>122</v>
      </c>
      <c r="D317" s="150" t="s">
        <v>122</v>
      </c>
      <c r="E317" s="150" t="s">
        <v>122</v>
      </c>
      <c r="F317" s="150" t="s">
        <v>122</v>
      </c>
      <c r="G317" s="150" t="s">
        <v>122</v>
      </c>
      <c r="H317" s="150" t="s">
        <v>122</v>
      </c>
      <c r="I317" s="150" t="s">
        <v>122</v>
      </c>
      <c r="J317" s="150" t="s">
        <v>122</v>
      </c>
      <c r="K317" s="150" t="s">
        <v>122</v>
      </c>
      <c r="L317" s="150" t="s">
        <v>122</v>
      </c>
      <c r="M317" s="150" t="s">
        <v>122</v>
      </c>
      <c r="N317" s="150" t="s">
        <v>122</v>
      </c>
      <c r="O317" s="150" t="s">
        <v>122</v>
      </c>
      <c r="P317" s="150" t="s">
        <v>122</v>
      </c>
      <c r="Q317" s="150" t="s">
        <v>122</v>
      </c>
      <c r="R317" s="150" t="s">
        <v>122</v>
      </c>
      <c r="S317" s="150" t="s">
        <v>122</v>
      </c>
      <c r="T317" s="150" t="s">
        <v>122</v>
      </c>
      <c r="U317" s="150" t="s">
        <v>122</v>
      </c>
      <c r="V317" s="150" t="s">
        <v>122</v>
      </c>
      <c r="W317" s="150" t="s">
        <v>122</v>
      </c>
      <c r="X317" s="150" t="s">
        <v>122</v>
      </c>
      <c r="Y317" s="150" t="s">
        <v>122</v>
      </c>
      <c r="AB317" s="473" t="s">
        <v>463</v>
      </c>
      <c r="AC317" s="473" t="s">
        <v>463</v>
      </c>
      <c r="AD317" s="473" t="s">
        <v>463</v>
      </c>
      <c r="AE317" s="473" t="s">
        <v>463</v>
      </c>
    </row>
    <row r="318" spans="2:33" ht="31.2">
      <c r="B318" s="150" t="s">
        <v>121</v>
      </c>
      <c r="C318" s="150" t="s">
        <v>121</v>
      </c>
      <c r="D318" s="150" t="s">
        <v>121</v>
      </c>
      <c r="E318" s="150" t="s">
        <v>121</v>
      </c>
      <c r="F318" s="150" t="s">
        <v>121</v>
      </c>
      <c r="G318" s="150" t="s">
        <v>121</v>
      </c>
      <c r="H318" s="150" t="s">
        <v>121</v>
      </c>
      <c r="I318" s="150" t="s">
        <v>121</v>
      </c>
      <c r="J318" s="150" t="s">
        <v>121</v>
      </c>
      <c r="K318" s="150" t="s">
        <v>121</v>
      </c>
      <c r="L318" s="150" t="s">
        <v>121</v>
      </c>
      <c r="M318" s="150" t="s">
        <v>121</v>
      </c>
      <c r="N318" s="150" t="s">
        <v>121</v>
      </c>
      <c r="O318" s="150" t="s">
        <v>121</v>
      </c>
      <c r="P318" s="150" t="s">
        <v>121</v>
      </c>
      <c r="Q318" s="150" t="s">
        <v>121</v>
      </c>
      <c r="R318" s="150" t="s">
        <v>121</v>
      </c>
      <c r="S318" s="150" t="s">
        <v>121</v>
      </c>
      <c r="T318" s="150" t="s">
        <v>121</v>
      </c>
      <c r="U318" s="150" t="s">
        <v>121</v>
      </c>
      <c r="V318" s="150" t="s">
        <v>121</v>
      </c>
      <c r="W318" s="150" t="s">
        <v>121</v>
      </c>
      <c r="X318" s="150" t="s">
        <v>121</v>
      </c>
      <c r="Y318" s="150" t="s">
        <v>121</v>
      </c>
      <c r="AB318" s="473" t="s">
        <v>1665</v>
      </c>
      <c r="AC318" s="473" t="s">
        <v>1665</v>
      </c>
      <c r="AD318" s="473" t="s">
        <v>1665</v>
      </c>
      <c r="AE318" s="473" t="s">
        <v>1665</v>
      </c>
    </row>
    <row r="319" spans="2:33" ht="31.2">
      <c r="B319" s="150" t="s">
        <v>120</v>
      </c>
      <c r="C319" s="150" t="s">
        <v>120</v>
      </c>
      <c r="D319" s="150" t="s">
        <v>120</v>
      </c>
      <c r="E319" s="150" t="s">
        <v>120</v>
      </c>
      <c r="F319" s="150" t="s">
        <v>120</v>
      </c>
      <c r="G319" s="150" t="s">
        <v>120</v>
      </c>
      <c r="H319" s="150" t="s">
        <v>120</v>
      </c>
      <c r="I319" s="150" t="s">
        <v>120</v>
      </c>
      <c r="J319" s="150" t="s">
        <v>120</v>
      </c>
      <c r="K319" s="150" t="s">
        <v>120</v>
      </c>
      <c r="L319" s="150" t="s">
        <v>120</v>
      </c>
      <c r="M319" s="150" t="s">
        <v>120</v>
      </c>
      <c r="N319" s="150" t="s">
        <v>120</v>
      </c>
      <c r="O319" s="150" t="s">
        <v>120</v>
      </c>
      <c r="P319" s="150" t="s">
        <v>120</v>
      </c>
      <c r="Q319" s="150" t="s">
        <v>120</v>
      </c>
      <c r="R319" s="150" t="s">
        <v>120</v>
      </c>
      <c r="S319" s="150" t="s">
        <v>120</v>
      </c>
      <c r="T319" s="150" t="s">
        <v>120</v>
      </c>
      <c r="U319" s="150" t="s">
        <v>120</v>
      </c>
      <c r="V319" s="150" t="s">
        <v>120</v>
      </c>
      <c r="W319" s="150" t="s">
        <v>120</v>
      </c>
      <c r="X319" s="150" t="s">
        <v>120</v>
      </c>
      <c r="Y319" s="150" t="s">
        <v>120</v>
      </c>
      <c r="AB319" s="473" t="s">
        <v>2214</v>
      </c>
      <c r="AC319" s="473" t="s">
        <v>2214</v>
      </c>
      <c r="AD319" s="473" t="s">
        <v>2214</v>
      </c>
      <c r="AE319" s="473" t="s">
        <v>2214</v>
      </c>
    </row>
    <row r="320" spans="2:33" ht="31.2">
      <c r="B320" s="150" t="s">
        <v>119</v>
      </c>
      <c r="C320" s="150" t="s">
        <v>119</v>
      </c>
      <c r="D320" s="150" t="s">
        <v>119</v>
      </c>
      <c r="E320" s="150" t="s">
        <v>119</v>
      </c>
      <c r="F320" s="150" t="s">
        <v>119</v>
      </c>
      <c r="G320" s="150" t="s">
        <v>119</v>
      </c>
      <c r="H320" s="150" t="s">
        <v>119</v>
      </c>
      <c r="I320" s="150" t="s">
        <v>119</v>
      </c>
      <c r="J320" s="150" t="s">
        <v>119</v>
      </c>
      <c r="K320" s="150" t="s">
        <v>119</v>
      </c>
      <c r="L320" s="150" t="s">
        <v>119</v>
      </c>
      <c r="M320" s="150" t="s">
        <v>119</v>
      </c>
      <c r="N320" s="150" t="s">
        <v>119</v>
      </c>
      <c r="O320" s="150" t="s">
        <v>119</v>
      </c>
      <c r="P320" s="150" t="s">
        <v>119</v>
      </c>
      <c r="Q320" s="150" t="s">
        <v>119</v>
      </c>
      <c r="R320" s="150" t="s">
        <v>119</v>
      </c>
      <c r="S320" s="150" t="s">
        <v>119</v>
      </c>
      <c r="T320" s="150" t="s">
        <v>119</v>
      </c>
      <c r="U320" s="150" t="s">
        <v>119</v>
      </c>
      <c r="V320" s="150" t="s">
        <v>119</v>
      </c>
      <c r="W320" s="150" t="s">
        <v>119</v>
      </c>
      <c r="X320" s="150" t="s">
        <v>119</v>
      </c>
      <c r="Y320" s="150" t="s">
        <v>119</v>
      </c>
    </row>
    <row r="321" spans="1:25" ht="31.2">
      <c r="B321" s="150" t="s">
        <v>118</v>
      </c>
      <c r="C321" s="150" t="s">
        <v>118</v>
      </c>
      <c r="D321" s="150" t="s">
        <v>118</v>
      </c>
      <c r="E321" s="150" t="s">
        <v>118</v>
      </c>
      <c r="F321" s="150" t="s">
        <v>118</v>
      </c>
      <c r="G321" s="150" t="s">
        <v>118</v>
      </c>
      <c r="H321" s="150" t="s">
        <v>118</v>
      </c>
      <c r="I321" s="150" t="s">
        <v>118</v>
      </c>
      <c r="J321" s="150" t="s">
        <v>118</v>
      </c>
      <c r="K321" s="150" t="s">
        <v>118</v>
      </c>
      <c r="L321" s="150" t="s">
        <v>118</v>
      </c>
      <c r="M321" s="150" t="s">
        <v>118</v>
      </c>
      <c r="N321" s="150" t="s">
        <v>118</v>
      </c>
      <c r="O321" s="150" t="s">
        <v>118</v>
      </c>
      <c r="P321" s="150" t="s">
        <v>118</v>
      </c>
      <c r="Q321" s="150" t="s">
        <v>118</v>
      </c>
      <c r="R321" s="150" t="s">
        <v>118</v>
      </c>
      <c r="S321" s="150" t="s">
        <v>118</v>
      </c>
      <c r="T321" s="150" t="s">
        <v>118</v>
      </c>
      <c r="U321" s="150" t="s">
        <v>118</v>
      </c>
      <c r="V321" s="150" t="s">
        <v>118</v>
      </c>
      <c r="W321" s="150" t="s">
        <v>118</v>
      </c>
      <c r="X321" s="150" t="s">
        <v>118</v>
      </c>
      <c r="Y321" s="150" t="s">
        <v>118</v>
      </c>
    </row>
    <row r="322" spans="1:25" ht="31.2">
      <c r="B322" s="150" t="s">
        <v>117</v>
      </c>
      <c r="C322" s="150" t="s">
        <v>117</v>
      </c>
      <c r="D322" s="150" t="s">
        <v>117</v>
      </c>
      <c r="E322" s="150" t="s">
        <v>117</v>
      </c>
      <c r="F322" s="150" t="s">
        <v>117</v>
      </c>
      <c r="G322" s="150" t="s">
        <v>117</v>
      </c>
      <c r="H322" s="150" t="s">
        <v>117</v>
      </c>
      <c r="I322" s="150" t="s">
        <v>117</v>
      </c>
      <c r="J322" s="150" t="s">
        <v>117</v>
      </c>
      <c r="K322" s="150" t="s">
        <v>117</v>
      </c>
      <c r="L322" s="150" t="s">
        <v>117</v>
      </c>
      <c r="M322" s="150" t="s">
        <v>117</v>
      </c>
      <c r="N322" s="150" t="s">
        <v>117</v>
      </c>
      <c r="O322" s="150" t="s">
        <v>117</v>
      </c>
      <c r="P322" s="150" t="s">
        <v>117</v>
      </c>
      <c r="Q322" s="150" t="s">
        <v>117</v>
      </c>
      <c r="R322" s="150" t="s">
        <v>117</v>
      </c>
      <c r="S322" s="150" t="s">
        <v>117</v>
      </c>
      <c r="T322" s="150" t="s">
        <v>117</v>
      </c>
      <c r="U322" s="150" t="s">
        <v>117</v>
      </c>
      <c r="V322" s="150" t="s">
        <v>117</v>
      </c>
      <c r="W322" s="150" t="s">
        <v>117</v>
      </c>
      <c r="X322" s="150" t="s">
        <v>117</v>
      </c>
      <c r="Y322" s="150" t="s">
        <v>117</v>
      </c>
    </row>
    <row r="323" spans="1:25" ht="31.2">
      <c r="B323" s="150" t="s">
        <v>116</v>
      </c>
      <c r="C323" s="150" t="s">
        <v>116</v>
      </c>
      <c r="D323" s="150" t="s">
        <v>36</v>
      </c>
      <c r="E323" s="150" t="s">
        <v>36</v>
      </c>
      <c r="F323" s="150" t="s">
        <v>116</v>
      </c>
      <c r="G323" s="150" t="s">
        <v>116</v>
      </c>
      <c r="H323" s="150" t="s">
        <v>36</v>
      </c>
      <c r="I323" s="150" t="s">
        <v>36</v>
      </c>
      <c r="J323" s="150" t="s">
        <v>116</v>
      </c>
      <c r="K323" s="150" t="s">
        <v>116</v>
      </c>
      <c r="L323" s="150" t="s">
        <v>36</v>
      </c>
      <c r="M323" s="150" t="s">
        <v>36</v>
      </c>
      <c r="N323" s="150" t="s">
        <v>116</v>
      </c>
      <c r="O323" s="150" t="s">
        <v>116</v>
      </c>
      <c r="P323" s="150" t="s">
        <v>36</v>
      </c>
      <c r="Q323" s="150" t="s">
        <v>36</v>
      </c>
      <c r="R323" s="150" t="s">
        <v>116</v>
      </c>
      <c r="S323" s="150" t="s">
        <v>116</v>
      </c>
      <c r="T323" s="150" t="s">
        <v>36</v>
      </c>
      <c r="U323" s="150" t="s">
        <v>36</v>
      </c>
      <c r="V323" s="150" t="s">
        <v>36</v>
      </c>
      <c r="W323" s="150" t="s">
        <v>36</v>
      </c>
      <c r="X323" s="150" t="s">
        <v>116</v>
      </c>
      <c r="Y323" s="150" t="s">
        <v>116</v>
      </c>
    </row>
    <row r="324" spans="1:25" ht="31.2">
      <c r="B324" s="150" t="s">
        <v>115</v>
      </c>
      <c r="C324" s="150" t="s">
        <v>115</v>
      </c>
      <c r="D324" s="150" t="s">
        <v>115</v>
      </c>
      <c r="E324" s="150" t="s">
        <v>115</v>
      </c>
      <c r="F324" s="150" t="s">
        <v>115</v>
      </c>
      <c r="G324" s="150" t="s">
        <v>115</v>
      </c>
      <c r="H324" s="150" t="s">
        <v>115</v>
      </c>
      <c r="I324" s="150" t="s">
        <v>115</v>
      </c>
      <c r="J324" s="150" t="s">
        <v>115</v>
      </c>
      <c r="K324" s="150" t="s">
        <v>115</v>
      </c>
      <c r="L324" s="150" t="s">
        <v>115</v>
      </c>
      <c r="M324" s="150" t="s">
        <v>115</v>
      </c>
      <c r="N324" s="150" t="s">
        <v>115</v>
      </c>
      <c r="O324" s="150" t="s">
        <v>115</v>
      </c>
      <c r="P324" s="150" t="s">
        <v>115</v>
      </c>
      <c r="Q324" s="150" t="s">
        <v>115</v>
      </c>
      <c r="R324" s="150" t="s">
        <v>115</v>
      </c>
      <c r="S324" s="150" t="s">
        <v>115</v>
      </c>
      <c r="T324" s="150" t="s">
        <v>36</v>
      </c>
      <c r="U324" s="150" t="s">
        <v>36</v>
      </c>
      <c r="V324" s="150" t="s">
        <v>36</v>
      </c>
      <c r="W324" s="150" t="s">
        <v>36</v>
      </c>
      <c r="X324" s="150" t="s">
        <v>115</v>
      </c>
      <c r="Y324" s="150" t="s">
        <v>115</v>
      </c>
    </row>
    <row r="325" spans="1:25" ht="31.2">
      <c r="B325" s="150" t="s">
        <v>114</v>
      </c>
      <c r="C325" s="150" t="s">
        <v>114</v>
      </c>
      <c r="D325" s="150" t="s">
        <v>36</v>
      </c>
      <c r="E325" s="150" t="s">
        <v>36</v>
      </c>
      <c r="F325" s="150" t="s">
        <v>114</v>
      </c>
      <c r="G325" s="150" t="s">
        <v>114</v>
      </c>
      <c r="H325" s="150" t="s">
        <v>36</v>
      </c>
      <c r="I325" s="150" t="s">
        <v>36</v>
      </c>
      <c r="J325" s="150" t="s">
        <v>114</v>
      </c>
      <c r="K325" s="150" t="s">
        <v>114</v>
      </c>
      <c r="L325" s="150" t="s">
        <v>36</v>
      </c>
      <c r="M325" s="150" t="s">
        <v>36</v>
      </c>
      <c r="N325" s="150" t="s">
        <v>114</v>
      </c>
      <c r="O325" s="150" t="s">
        <v>114</v>
      </c>
      <c r="P325" s="150" t="s">
        <v>36</v>
      </c>
      <c r="Q325" s="150" t="s">
        <v>36</v>
      </c>
      <c r="R325" s="150" t="s">
        <v>114</v>
      </c>
      <c r="S325" s="150" t="s">
        <v>114</v>
      </c>
      <c r="T325" s="150" t="s">
        <v>36</v>
      </c>
      <c r="U325" s="150" t="s">
        <v>36</v>
      </c>
      <c r="V325" s="150" t="s">
        <v>36</v>
      </c>
      <c r="W325" s="150" t="s">
        <v>36</v>
      </c>
      <c r="X325" s="150" t="s">
        <v>114</v>
      </c>
      <c r="Y325" s="150" t="s">
        <v>114</v>
      </c>
    </row>
    <row r="327" spans="1:25">
      <c r="B327" s="147"/>
    </row>
    <row r="328" spans="1:25">
      <c r="B328" s="147"/>
    </row>
    <row r="329" spans="1:25">
      <c r="B329" s="147"/>
    </row>
    <row r="330" spans="1:25">
      <c r="B330" s="147"/>
    </row>
    <row r="331" spans="1:25">
      <c r="B331" s="147">
        <v>1</v>
      </c>
      <c r="C331" s="146">
        <f>INDEX(B332:B345,B331)</f>
        <v>0</v>
      </c>
      <c r="D331" s="146">
        <f>IFERROR(VLOOKUP(C331,B333:C345,2,FALSE),0)</f>
        <v>0</v>
      </c>
    </row>
    <row r="332" spans="1:25">
      <c r="B332" s="147"/>
      <c r="C332" s="146" t="str">
        <f>C331&amp;" "&amp;INDEX(B350:B357,B349)</f>
        <v xml:space="preserve">0 </v>
      </c>
      <c r="D332" s="146">
        <f>IFERROR(VLOOKUP(E332,In!A2:F5102,6,FALSE),0)</f>
        <v>0</v>
      </c>
      <c r="E332" s="146" t="str">
        <f>C331&amp;" "&amp;INDEX(A350:A357,A349)</f>
        <v xml:space="preserve">0 </v>
      </c>
    </row>
    <row r="333" spans="1:25">
      <c r="B333" s="147" t="s">
        <v>154</v>
      </c>
      <c r="C333" s="493">
        <v>540</v>
      </c>
    </row>
    <row r="334" spans="1:25" s="493" customFormat="1">
      <c r="A334" s="507"/>
      <c r="B334" s="147" t="s">
        <v>2380</v>
      </c>
      <c r="C334" s="493">
        <v>540</v>
      </c>
    </row>
    <row r="335" spans="1:25" s="493" customFormat="1">
      <c r="A335" s="507"/>
      <c r="B335" s="147" t="s">
        <v>2396</v>
      </c>
      <c r="C335" s="493">
        <v>340</v>
      </c>
    </row>
    <row r="336" spans="1:25" s="494" customFormat="1">
      <c r="A336" s="507"/>
      <c r="B336" s="147" t="s">
        <v>2397</v>
      </c>
      <c r="C336" s="494">
        <v>340</v>
      </c>
    </row>
    <row r="337" spans="1:9" s="494" customFormat="1">
      <c r="A337" s="507"/>
      <c r="B337" s="147" t="s">
        <v>2398</v>
      </c>
      <c r="C337" s="494">
        <v>340</v>
      </c>
    </row>
    <row r="338" spans="1:9" s="494" customFormat="1">
      <c r="A338" s="507"/>
      <c r="B338" s="147" t="s">
        <v>2399</v>
      </c>
      <c r="C338" s="494">
        <v>340</v>
      </c>
    </row>
    <row r="339" spans="1:9">
      <c r="B339" s="147" t="s">
        <v>2400</v>
      </c>
      <c r="C339" s="493">
        <v>550</v>
      </c>
    </row>
    <row r="340" spans="1:9" s="494" customFormat="1">
      <c r="A340" s="507"/>
      <c r="B340" s="147" t="s">
        <v>2401</v>
      </c>
      <c r="C340" s="494">
        <v>550</v>
      </c>
    </row>
    <row r="341" spans="1:9" s="494" customFormat="1">
      <c r="A341" s="507"/>
      <c r="B341" s="147" t="s">
        <v>2402</v>
      </c>
      <c r="C341" s="494">
        <v>550</v>
      </c>
    </row>
    <row r="342" spans="1:9" s="494" customFormat="1">
      <c r="A342" s="507"/>
      <c r="B342" s="147" t="s">
        <v>2443</v>
      </c>
      <c r="C342" s="494">
        <v>550</v>
      </c>
    </row>
    <row r="343" spans="1:9">
      <c r="B343" s="147" t="s">
        <v>484</v>
      </c>
      <c r="C343" s="493">
        <v>540</v>
      </c>
    </row>
    <row r="344" spans="1:9">
      <c r="B344" s="147" t="s">
        <v>485</v>
      </c>
      <c r="C344" s="493">
        <v>535</v>
      </c>
      <c r="E344" s="147"/>
    </row>
    <row r="345" spans="1:9">
      <c r="B345" s="147" t="s">
        <v>486</v>
      </c>
      <c r="C345" s="493">
        <v>410</v>
      </c>
      <c r="E345" s="147"/>
    </row>
    <row r="348" spans="1:9">
      <c r="C348" s="146" t="s">
        <v>154</v>
      </c>
      <c r="D348" s="146" t="s">
        <v>488</v>
      </c>
      <c r="E348" s="146" t="str">
        <f>B335</f>
        <v>Click Elegant 340 Fara Profilare</v>
      </c>
      <c r="F348" s="146" t="str">
        <f>B339</f>
        <v>Click Elegant 550 Fara Profilare</v>
      </c>
      <c r="G348" s="147" t="s">
        <v>484</v>
      </c>
      <c r="H348" s="147" t="s">
        <v>485</v>
      </c>
      <c r="I348" s="147" t="s">
        <v>486</v>
      </c>
    </row>
    <row r="349" spans="1:9">
      <c r="A349" s="507">
        <f>B349</f>
        <v>1</v>
      </c>
      <c r="B349" s="146">
        <v>1</v>
      </c>
      <c r="G349" s="147"/>
      <c r="H349" s="147"/>
      <c r="I349" s="147"/>
    </row>
    <row r="350" spans="1:9">
      <c r="C350" s="146" t="s">
        <v>36</v>
      </c>
      <c r="D350" s="146" t="s">
        <v>36</v>
      </c>
      <c r="G350" s="146" t="s">
        <v>36</v>
      </c>
      <c r="H350" s="146" t="s">
        <v>36</v>
      </c>
      <c r="I350" s="146" t="s">
        <v>36</v>
      </c>
    </row>
    <row r="351" spans="1:9">
      <c r="A351" s="507" t="s">
        <v>368</v>
      </c>
      <c r="B351" s="146" t="str">
        <f>IF($B$331=2,C351,IF($B$331=3,D351,IF(OR($B$331=4,$B$331=5,$B$331=6,$B$331=7),E351,IF(OR($B$331=8,$B$331=9,$B$331=10,$B$331=11),F351,IF($B$331=12,G351,IF($B$331=13,H351,IF($B$331=14,I351,"")))))))</f>
        <v/>
      </c>
      <c r="C351" s="146" t="s">
        <v>36</v>
      </c>
      <c r="D351" s="146" t="s">
        <v>36</v>
      </c>
      <c r="E351" s="493" t="str">
        <f>D351</f>
        <v xml:space="preserve"> </v>
      </c>
      <c r="F351" s="493" t="str">
        <f>E351</f>
        <v xml:space="preserve"> </v>
      </c>
      <c r="G351" s="146" t="str">
        <f>B236</f>
        <v>LUCIOS 0.45</v>
      </c>
      <c r="H351" s="146" t="s">
        <v>36</v>
      </c>
      <c r="I351" s="146" t="s">
        <v>36</v>
      </c>
    </row>
    <row r="352" spans="1:9">
      <c r="A352" s="507" t="s">
        <v>369</v>
      </c>
      <c r="B352" s="494" t="str">
        <f t="shared" ref="B352:B356" si="40">IF($B$331=2,C352,IF($B$331=3,D352,IF(OR($B$331=4,$B$331=5,$B$331=6,$B$331=7),E352,IF(OR($B$331=8,$B$331=9,$B$331=10,$B$331=11),F352,IF($B$331=12,G352,IF($B$331=13,H352,IF($B$331=14,I352,"")))))))</f>
        <v/>
      </c>
      <c r="C352" s="146" t="str">
        <f>D352</f>
        <v>LUCIOS 0.5</v>
      </c>
      <c r="D352" s="146" t="str">
        <f>G352</f>
        <v>LUCIOS 0.5</v>
      </c>
      <c r="E352" s="493" t="str">
        <f t="shared" ref="E352:F357" si="41">D352</f>
        <v>LUCIOS 0.5</v>
      </c>
      <c r="F352" s="493" t="str">
        <f t="shared" si="41"/>
        <v>LUCIOS 0.5</v>
      </c>
      <c r="G352" s="146" t="str">
        <f>B237</f>
        <v>LUCIOS 0.5</v>
      </c>
      <c r="H352" s="146" t="s">
        <v>36</v>
      </c>
      <c r="I352" s="146" t="s">
        <v>36</v>
      </c>
    </row>
    <row r="353" spans="1:11">
      <c r="A353" s="507" t="s">
        <v>371</v>
      </c>
      <c r="B353" s="494" t="str">
        <f t="shared" si="40"/>
        <v/>
      </c>
      <c r="C353" s="146" t="str">
        <f t="shared" ref="C353" si="42">D353</f>
        <v>MAT 0.45</v>
      </c>
      <c r="D353" s="146" t="str">
        <f>G353</f>
        <v>MAT 0.45</v>
      </c>
      <c r="E353" s="493" t="str">
        <f t="shared" si="41"/>
        <v>MAT 0.45</v>
      </c>
      <c r="F353" s="493" t="str">
        <f t="shared" si="41"/>
        <v>MAT 0.45</v>
      </c>
      <c r="G353" s="146" t="str">
        <f>B239</f>
        <v>MAT 0.45</v>
      </c>
      <c r="H353" s="146" t="s">
        <v>36</v>
      </c>
      <c r="I353" s="146" t="s">
        <v>36</v>
      </c>
    </row>
    <row r="354" spans="1:11">
      <c r="A354" s="507" t="s">
        <v>372</v>
      </c>
      <c r="B354" s="494" t="str">
        <f t="shared" si="40"/>
        <v/>
      </c>
      <c r="C354" s="146" t="str">
        <f t="shared" ref="C354" si="43">D354</f>
        <v>MAT 0.5</v>
      </c>
      <c r="D354" s="146" t="str">
        <f>G354</f>
        <v>MAT 0.5</v>
      </c>
      <c r="E354" s="493" t="str">
        <f t="shared" si="41"/>
        <v>MAT 0.5</v>
      </c>
      <c r="F354" s="493" t="str">
        <f t="shared" si="41"/>
        <v>MAT 0.5</v>
      </c>
      <c r="G354" s="146" t="str">
        <f>B240</f>
        <v>MAT 0.5</v>
      </c>
      <c r="H354" s="146" t="s">
        <v>36</v>
      </c>
      <c r="I354" s="146" t="s">
        <v>36</v>
      </c>
    </row>
    <row r="355" spans="1:11">
      <c r="A355" s="507" t="s">
        <v>373</v>
      </c>
      <c r="B355" s="494" t="str">
        <f t="shared" si="40"/>
        <v/>
      </c>
      <c r="C355" s="146" t="str">
        <f t="shared" ref="C355" si="44">D355</f>
        <v>SUPREM 50 0.5</v>
      </c>
      <c r="D355" s="146" t="str">
        <f>G355</f>
        <v>SUPREM 50 0.5</v>
      </c>
      <c r="E355" s="493" t="str">
        <f t="shared" si="41"/>
        <v>SUPREM 50 0.5</v>
      </c>
      <c r="F355" s="493" t="str">
        <f t="shared" si="41"/>
        <v>SUPREM 50 0.5</v>
      </c>
      <c r="G355" s="146" t="str">
        <f>B241</f>
        <v>SUPREM 50 0.5</v>
      </c>
      <c r="H355" s="146" t="s">
        <v>36</v>
      </c>
      <c r="I355" s="146" t="s">
        <v>36</v>
      </c>
    </row>
    <row r="356" spans="1:11">
      <c r="A356" s="507" t="s">
        <v>374</v>
      </c>
      <c r="B356" s="494" t="str">
        <f t="shared" si="40"/>
        <v/>
      </c>
      <c r="C356" s="146" t="str">
        <f t="shared" ref="C356" si="45">D356</f>
        <v>NEOMAT 30 0.5</v>
      </c>
      <c r="D356" s="146" t="str">
        <f>G356</f>
        <v>NEOMAT 30 0.5</v>
      </c>
      <c r="E356" s="493" t="str">
        <f t="shared" si="41"/>
        <v>NEOMAT 30 0.5</v>
      </c>
      <c r="F356" s="493" t="str">
        <f t="shared" si="41"/>
        <v>NEOMAT 30 0.5</v>
      </c>
      <c r="G356" s="146" t="str">
        <f>B242</f>
        <v>NEOMAT 30 0.5</v>
      </c>
      <c r="H356" s="146" t="s">
        <v>36</v>
      </c>
      <c r="I356" s="146" t="s">
        <v>36</v>
      </c>
    </row>
    <row r="357" spans="1:11">
      <c r="B357" s="494" t="str">
        <f>IF($B$331=2,C357,IF($B$331=3,D357,IF(OR($B$331=4,$B$331=5,$B$331=6,$B$331=7),E357,IF(OR($B$331=8,$B$331=9,$B$331=10,$B$331=11),F357,IF($B$331=12,G357,IF($B$331=13,H357,IF($B$331=14,I357,"")))))))</f>
        <v/>
      </c>
      <c r="C357" s="146" t="s">
        <v>36</v>
      </c>
      <c r="D357" s="146" t="s">
        <v>36</v>
      </c>
      <c r="E357" s="493" t="str">
        <f t="shared" si="41"/>
        <v xml:space="preserve"> </v>
      </c>
      <c r="F357" s="493" t="s">
        <v>36</v>
      </c>
      <c r="G357" s="146" t="s">
        <v>36</v>
      </c>
      <c r="H357" s="511" t="s">
        <v>492</v>
      </c>
      <c r="I357" s="511" t="s">
        <v>492</v>
      </c>
    </row>
    <row r="358" spans="1:11">
      <c r="B358" s="493"/>
    </row>
    <row r="360" spans="1:11">
      <c r="C360" s="146" t="s">
        <v>493</v>
      </c>
      <c r="D360" s="146" t="s">
        <v>141</v>
      </c>
      <c r="E360" s="146" t="s">
        <v>494</v>
      </c>
      <c r="F360" s="146" t="s">
        <v>495</v>
      </c>
      <c r="G360" s="146" t="s">
        <v>496</v>
      </c>
      <c r="H360" s="146" t="s">
        <v>497</v>
      </c>
      <c r="I360" s="146" t="s">
        <v>490</v>
      </c>
      <c r="J360" s="146" t="s">
        <v>491</v>
      </c>
      <c r="K360" s="146" t="s">
        <v>498</v>
      </c>
    </row>
    <row r="361" spans="1:11">
      <c r="B361" s="146">
        <v>1</v>
      </c>
    </row>
    <row r="363" spans="1:11">
      <c r="B363" s="146" t="str">
        <f>IF($B$349=2,C363,IF($B$349=3,D363,IF($B$349=4,E363,IF($B$349=5,F363,IF($B$349=6,G363,IF($B$349=7,H363,IF($B$349=8,I363,IF($B$349=9,J363,IF($B$349=10,K363,"")))))))))</f>
        <v/>
      </c>
      <c r="C363" s="146" t="s">
        <v>36</v>
      </c>
      <c r="D363" s="426" t="s">
        <v>36</v>
      </c>
      <c r="E363" s="146" t="s">
        <v>36</v>
      </c>
      <c r="G363" s="146" t="s">
        <v>36</v>
      </c>
      <c r="H363" s="146" t="s">
        <v>36</v>
      </c>
      <c r="I363" s="503" t="s">
        <v>36</v>
      </c>
      <c r="J363" s="503" t="s">
        <v>36</v>
      </c>
      <c r="K363" s="146" t="s">
        <v>36</v>
      </c>
    </row>
    <row r="364" spans="1:11">
      <c r="B364" s="514" t="str">
        <f t="shared" ref="B364:B379" si="46">IF($B$349=2,C364,IF($B$349=3,D364,IF($B$349=4,E364,IF($B$349=5,F364,IF($B$349=6,G364,IF($B$349=7,H364,IF($B$349=8,I364,IF($B$349=9,J364,IF($B$349=10,K364,"")))))))))</f>
        <v/>
      </c>
      <c r="C364" s="427" t="s">
        <v>36</v>
      </c>
      <c r="D364" s="146" t="s">
        <v>12</v>
      </c>
      <c r="E364" s="427" t="s">
        <v>36</v>
      </c>
      <c r="F364" s="146" t="s">
        <v>13</v>
      </c>
      <c r="G364" s="146" t="s">
        <v>36</v>
      </c>
      <c r="H364" s="146" t="s">
        <v>435</v>
      </c>
      <c r="I364" s="503">
        <v>3005</v>
      </c>
      <c r="J364" s="503">
        <v>3005</v>
      </c>
      <c r="K364" s="146">
        <v>3005</v>
      </c>
    </row>
    <row r="365" spans="1:11">
      <c r="B365" s="514" t="str">
        <f t="shared" si="46"/>
        <v/>
      </c>
      <c r="C365" s="427" t="s">
        <v>36</v>
      </c>
      <c r="D365" s="146" t="s">
        <v>14</v>
      </c>
      <c r="E365" s="253" t="s">
        <v>36</v>
      </c>
      <c r="F365" s="146" t="s">
        <v>15</v>
      </c>
      <c r="G365" s="146" t="s">
        <v>36</v>
      </c>
      <c r="H365" s="146" t="s">
        <v>379</v>
      </c>
      <c r="I365" s="503" t="s">
        <v>74</v>
      </c>
      <c r="J365" s="503" t="s">
        <v>74</v>
      </c>
      <c r="K365" s="146" t="s">
        <v>74</v>
      </c>
    </row>
    <row r="366" spans="1:11">
      <c r="B366" s="514" t="str">
        <f t="shared" si="46"/>
        <v/>
      </c>
      <c r="C366" s="146" t="s">
        <v>16</v>
      </c>
      <c r="D366" s="146" t="s">
        <v>16</v>
      </c>
      <c r="E366" s="146" t="s">
        <v>17</v>
      </c>
      <c r="F366" s="146" t="s">
        <v>17</v>
      </c>
      <c r="G366" s="146" t="s">
        <v>36</v>
      </c>
      <c r="H366" s="146" t="s">
        <v>436</v>
      </c>
      <c r="I366" s="503">
        <v>3011</v>
      </c>
      <c r="J366" s="503">
        <v>3011</v>
      </c>
      <c r="K366" s="146">
        <v>3011</v>
      </c>
    </row>
    <row r="367" spans="1:11">
      <c r="B367" s="514" t="str">
        <f t="shared" si="46"/>
        <v/>
      </c>
      <c r="C367" s="146" t="s">
        <v>36</v>
      </c>
      <c r="D367" s="146" t="s">
        <v>36</v>
      </c>
      <c r="E367" s="146" t="s">
        <v>36</v>
      </c>
      <c r="F367" s="146" t="s">
        <v>36</v>
      </c>
      <c r="G367" s="146" t="s">
        <v>36</v>
      </c>
      <c r="H367" s="146" t="s">
        <v>36</v>
      </c>
      <c r="I367" s="503">
        <v>5010</v>
      </c>
      <c r="J367" s="503">
        <v>5010</v>
      </c>
      <c r="K367" s="146">
        <v>5010</v>
      </c>
    </row>
    <row r="368" spans="1:11">
      <c r="B368" s="514" t="str">
        <f t="shared" si="46"/>
        <v/>
      </c>
      <c r="C368" s="146" t="s">
        <v>36</v>
      </c>
      <c r="D368" s="146" t="s">
        <v>18</v>
      </c>
      <c r="E368" s="146" t="s">
        <v>36</v>
      </c>
      <c r="F368" s="146" t="s">
        <v>36</v>
      </c>
      <c r="G368" s="146" t="s">
        <v>36</v>
      </c>
      <c r="H368" s="146" t="s">
        <v>36</v>
      </c>
      <c r="I368" s="503" t="s">
        <v>36</v>
      </c>
      <c r="J368" s="503" t="s">
        <v>36</v>
      </c>
      <c r="K368" s="146" t="s">
        <v>36</v>
      </c>
    </row>
    <row r="369" spans="1:11">
      <c r="B369" s="514" t="str">
        <f t="shared" si="46"/>
        <v/>
      </c>
      <c r="C369" s="146" t="s">
        <v>36</v>
      </c>
      <c r="D369" s="146" t="s">
        <v>19</v>
      </c>
      <c r="E369" s="146" t="s">
        <v>36</v>
      </c>
      <c r="F369" s="146" t="s">
        <v>20</v>
      </c>
      <c r="G369" s="146" t="s">
        <v>36</v>
      </c>
      <c r="H369" s="146" t="s">
        <v>36</v>
      </c>
      <c r="I369" s="503">
        <v>6005</v>
      </c>
      <c r="J369" s="503">
        <v>6005</v>
      </c>
      <c r="K369" s="146">
        <v>6005</v>
      </c>
    </row>
    <row r="370" spans="1:11">
      <c r="B370" s="514" t="str">
        <f t="shared" si="46"/>
        <v/>
      </c>
      <c r="C370" s="146" t="s">
        <v>36</v>
      </c>
      <c r="D370" s="146" t="s">
        <v>36</v>
      </c>
      <c r="E370" s="146" t="s">
        <v>36</v>
      </c>
      <c r="F370" s="146" t="s">
        <v>22</v>
      </c>
      <c r="G370" s="146" t="s">
        <v>36</v>
      </c>
      <c r="H370" s="146" t="s">
        <v>437</v>
      </c>
      <c r="I370" s="503">
        <v>6020</v>
      </c>
      <c r="J370" s="503">
        <v>6020</v>
      </c>
      <c r="K370" s="146">
        <v>6020</v>
      </c>
    </row>
    <row r="371" spans="1:11">
      <c r="B371" s="514" t="str">
        <f t="shared" si="46"/>
        <v/>
      </c>
      <c r="C371" s="146" t="s">
        <v>308</v>
      </c>
      <c r="D371" s="146" t="s">
        <v>308</v>
      </c>
      <c r="E371" s="232" t="s">
        <v>275</v>
      </c>
      <c r="F371" s="146" t="s">
        <v>275</v>
      </c>
      <c r="G371" s="146" t="s">
        <v>36</v>
      </c>
      <c r="H371" s="77" t="s">
        <v>2570</v>
      </c>
      <c r="I371" s="503">
        <v>7016</v>
      </c>
      <c r="J371" s="503">
        <v>7016</v>
      </c>
      <c r="K371" s="146">
        <v>7016</v>
      </c>
    </row>
    <row r="372" spans="1:11">
      <c r="B372" s="514" t="str">
        <f t="shared" si="46"/>
        <v/>
      </c>
      <c r="C372" s="146" t="s">
        <v>23</v>
      </c>
      <c r="D372" s="146" t="s">
        <v>23</v>
      </c>
      <c r="E372" s="146" t="s">
        <v>24</v>
      </c>
      <c r="F372" s="146" t="s">
        <v>24</v>
      </c>
      <c r="G372" s="146" t="s">
        <v>377</v>
      </c>
      <c r="H372" s="146" t="s">
        <v>380</v>
      </c>
      <c r="I372" s="503">
        <v>7024</v>
      </c>
      <c r="J372" s="503">
        <v>7024</v>
      </c>
      <c r="K372" s="146">
        <v>7024</v>
      </c>
    </row>
    <row r="373" spans="1:11">
      <c r="B373" s="514" t="str">
        <f t="shared" si="46"/>
        <v/>
      </c>
      <c r="C373" s="146" t="s">
        <v>25</v>
      </c>
      <c r="D373" s="146" t="s">
        <v>25</v>
      </c>
      <c r="E373" s="146" t="s">
        <v>26</v>
      </c>
      <c r="F373" s="146" t="s">
        <v>26</v>
      </c>
      <c r="G373" s="146" t="s">
        <v>36</v>
      </c>
      <c r="H373" s="146" t="s">
        <v>36</v>
      </c>
      <c r="I373" s="503">
        <v>8004</v>
      </c>
      <c r="J373" s="503">
        <v>8004</v>
      </c>
      <c r="K373" s="146">
        <v>8004</v>
      </c>
    </row>
    <row r="374" spans="1:11">
      <c r="B374" s="514" t="str">
        <f t="shared" si="46"/>
        <v/>
      </c>
      <c r="C374" s="146" t="s">
        <v>36</v>
      </c>
      <c r="D374" s="146" t="s">
        <v>36</v>
      </c>
      <c r="E374" s="146" t="s">
        <v>36</v>
      </c>
      <c r="F374" s="146" t="s">
        <v>36</v>
      </c>
      <c r="G374" s="146" t="s">
        <v>36</v>
      </c>
      <c r="H374" s="146" t="s">
        <v>438</v>
      </c>
      <c r="I374" s="503" t="s">
        <v>36</v>
      </c>
      <c r="J374" s="503" t="s">
        <v>36</v>
      </c>
      <c r="K374" s="146" t="s">
        <v>36</v>
      </c>
    </row>
    <row r="375" spans="1:11">
      <c r="B375" s="514" t="str">
        <f t="shared" si="46"/>
        <v/>
      </c>
      <c r="C375" s="146" t="s">
        <v>28</v>
      </c>
      <c r="D375" s="146" t="s">
        <v>28</v>
      </c>
      <c r="E375" s="146" t="s">
        <v>29</v>
      </c>
      <c r="F375" s="146" t="s">
        <v>29</v>
      </c>
      <c r="G375" s="468" t="s">
        <v>36</v>
      </c>
      <c r="H375" s="146" t="s">
        <v>381</v>
      </c>
      <c r="I375" s="503">
        <v>8017</v>
      </c>
      <c r="J375" s="503">
        <v>8017</v>
      </c>
      <c r="K375" s="146">
        <v>8017</v>
      </c>
    </row>
    <row r="376" spans="1:11">
      <c r="B376" s="514" t="str">
        <f t="shared" si="46"/>
        <v/>
      </c>
      <c r="C376" s="146" t="s">
        <v>36</v>
      </c>
      <c r="D376" s="146" t="s">
        <v>36</v>
      </c>
      <c r="E376" s="146" t="s">
        <v>31</v>
      </c>
      <c r="F376" s="146" t="s">
        <v>31</v>
      </c>
      <c r="G376" s="146" t="s">
        <v>378</v>
      </c>
      <c r="H376" s="146" t="s">
        <v>382</v>
      </c>
      <c r="I376" s="503">
        <v>8019</v>
      </c>
      <c r="J376" s="503">
        <v>8019</v>
      </c>
      <c r="K376" s="146">
        <v>8019</v>
      </c>
    </row>
    <row r="377" spans="1:11">
      <c r="B377" s="514" t="str">
        <f t="shared" si="46"/>
        <v/>
      </c>
      <c r="C377" s="146" t="s">
        <v>32</v>
      </c>
      <c r="D377" s="146" t="s">
        <v>32</v>
      </c>
      <c r="E377" s="146" t="s">
        <v>36</v>
      </c>
      <c r="F377" s="146" t="s">
        <v>36</v>
      </c>
      <c r="G377" s="146" t="s">
        <v>36</v>
      </c>
      <c r="H377" s="146" t="s">
        <v>36</v>
      </c>
      <c r="I377" s="503" t="s">
        <v>36</v>
      </c>
      <c r="J377" s="503" t="s">
        <v>36</v>
      </c>
      <c r="K377" s="146" t="s">
        <v>36</v>
      </c>
    </row>
    <row r="378" spans="1:11">
      <c r="B378" s="514" t="str">
        <f t="shared" si="46"/>
        <v/>
      </c>
      <c r="C378" s="146" t="s">
        <v>36</v>
      </c>
      <c r="D378" s="146" t="s">
        <v>36</v>
      </c>
      <c r="E378" s="146" t="s">
        <v>34</v>
      </c>
      <c r="F378" s="146" t="s">
        <v>34</v>
      </c>
      <c r="G378" s="146" t="s">
        <v>36</v>
      </c>
      <c r="H378" s="146" t="s">
        <v>383</v>
      </c>
      <c r="I378" s="503">
        <v>9005</v>
      </c>
      <c r="J378" s="503">
        <v>9005</v>
      </c>
      <c r="K378" s="146">
        <v>9005</v>
      </c>
    </row>
    <row r="379" spans="1:11">
      <c r="B379" s="514" t="str">
        <f t="shared" si="46"/>
        <v/>
      </c>
      <c r="C379" s="146" t="s">
        <v>35</v>
      </c>
      <c r="D379" s="146" t="s">
        <v>35</v>
      </c>
      <c r="E379" s="146" t="s">
        <v>36</v>
      </c>
      <c r="F379" s="146" t="s">
        <v>36</v>
      </c>
      <c r="G379" s="146" t="s">
        <v>36</v>
      </c>
      <c r="H379" s="146" t="s">
        <v>36</v>
      </c>
      <c r="I379" s="503" t="s">
        <v>36</v>
      </c>
      <c r="J379" s="503" t="s">
        <v>36</v>
      </c>
      <c r="K379" s="146" t="s">
        <v>36</v>
      </c>
    </row>
    <row r="380" spans="1:11">
      <c r="B380" s="146" t="str">
        <f t="shared" ref="B380:B415" si="47">IF($B$349=2,C380,IF($B$349=3,D380,IF($B$349=4,E380,IF($B$349=5,F380,IF($B$349=6,G380,IF($B$349=7,H380,IF($B$349=8,I380,IF($B$349=9,J380,IF($B$349=10,K380,"")))))))))</f>
        <v/>
      </c>
      <c r="C380" s="146" t="s">
        <v>36</v>
      </c>
      <c r="D380" s="443" t="s">
        <v>36</v>
      </c>
      <c r="E380" s="146" t="s">
        <v>36</v>
      </c>
      <c r="F380" s="146" t="s">
        <v>36</v>
      </c>
      <c r="G380" s="146" t="s">
        <v>36</v>
      </c>
      <c r="H380" s="146" t="s">
        <v>36</v>
      </c>
      <c r="I380" s="503" t="s">
        <v>72</v>
      </c>
      <c r="J380" s="503" t="s">
        <v>72</v>
      </c>
      <c r="K380" s="146" t="s">
        <v>72</v>
      </c>
    </row>
    <row r="381" spans="1:11" s="495" customFormat="1">
      <c r="A381" s="507"/>
    </row>
    <row r="382" spans="1:11" s="495" customFormat="1">
      <c r="A382" s="507"/>
    </row>
    <row r="383" spans="1:11" s="495" customFormat="1">
      <c r="A383" s="507"/>
    </row>
    <row r="384" spans="1:11" s="495" customFormat="1">
      <c r="A384" s="507"/>
    </row>
    <row r="385" spans="1:4" s="495" customFormat="1">
      <c r="A385" s="507"/>
      <c r="B385" s="77" t="s">
        <v>1847</v>
      </c>
      <c r="C385" s="495" t="str">
        <f>B385&amp;" "&amp;INDEX($B$350:$B$357,$B$349)</f>
        <v xml:space="preserve">Coama dreapta mare </v>
      </c>
      <c r="D385" s="495">
        <f>IFERROR(VLOOKUP(C385,In!A2:F5102,6,FALSE),0)</f>
        <v>0</v>
      </c>
    </row>
    <row r="386" spans="1:4" s="495" customFormat="1">
      <c r="A386" s="507"/>
      <c r="B386" s="77" t="s">
        <v>1848</v>
      </c>
      <c r="C386" s="495" t="str">
        <f t="shared" ref="C386:C405" si="48">B386&amp;" "&amp;INDEX($B$350:$B$357,$B$349)</f>
        <v xml:space="preserve">Racord calcan Click  </v>
      </c>
      <c r="D386" s="495">
        <f>IFERROR(VLOOKUP(C386,In!A3:F5103,6,FALSE),0)</f>
        <v>0</v>
      </c>
    </row>
    <row r="387" spans="1:4" s="495" customFormat="1">
      <c r="A387" s="507"/>
      <c r="B387" s="77" t="s">
        <v>145</v>
      </c>
      <c r="C387" s="495" t="str">
        <f t="shared" si="48"/>
        <v xml:space="preserve">Dolie </v>
      </c>
      <c r="D387" s="495">
        <f>IFERROR(VLOOKUP(C387,In!A4:F5104,6,FALSE),0)</f>
        <v>0</v>
      </c>
    </row>
    <row r="388" spans="1:4" s="495" customFormat="1">
      <c r="A388" s="507"/>
      <c r="B388" s="77" t="s">
        <v>146</v>
      </c>
      <c r="C388" s="495" t="str">
        <f t="shared" si="48"/>
        <v xml:space="preserve">Pazie  Click </v>
      </c>
      <c r="D388" s="495">
        <f>IFERROR(VLOOKUP(C388,In!A5:F5105,6,FALSE),0)</f>
        <v>0</v>
      </c>
    </row>
    <row r="389" spans="1:4" s="495" customFormat="1">
      <c r="A389" s="507"/>
      <c r="B389" s="77" t="s">
        <v>2243</v>
      </c>
      <c r="C389" s="495" t="str">
        <f t="shared" si="48"/>
        <v xml:space="preserve">Racord Perete Click </v>
      </c>
      <c r="D389" s="495">
        <f>IFERROR(VLOOKUP(C389,In!A6:F5106,6,FALSE),0)</f>
        <v>0</v>
      </c>
    </row>
    <row r="390" spans="1:4" s="495" customFormat="1">
      <c r="A390" s="507"/>
      <c r="B390" s="77" t="s">
        <v>1849</v>
      </c>
      <c r="C390" s="495" t="str">
        <f t="shared" si="48"/>
        <v xml:space="preserve">Semicoama  </v>
      </c>
      <c r="D390" s="495">
        <f>IFERROR(VLOOKUP(C390,In!A7:F5107,6,FALSE),0)</f>
        <v>0</v>
      </c>
    </row>
    <row r="391" spans="1:4" s="495" customFormat="1">
      <c r="A391" s="507"/>
      <c r="B391" s="77" t="s">
        <v>149</v>
      </c>
      <c r="C391" s="495" t="str">
        <f t="shared" si="48"/>
        <v xml:space="preserve">Sort  Click streasina </v>
      </c>
      <c r="D391" s="495">
        <f>IFERROR(VLOOKUP(C391,In!A8:F5108,6,FALSE),0)</f>
        <v>0</v>
      </c>
    </row>
    <row r="392" spans="1:4" s="495" customFormat="1">
      <c r="A392" s="507"/>
      <c r="B392" s="77" t="s">
        <v>150</v>
      </c>
      <c r="C392" s="495" t="str">
        <f t="shared" si="48"/>
        <v xml:space="preserve">Sort imbinare Click </v>
      </c>
      <c r="D392" s="495">
        <f>IFERROR(VLOOKUP(C392,In!A9:F5109,6,FALSE),0)</f>
        <v>0</v>
      </c>
    </row>
    <row r="393" spans="1:4" s="495" customFormat="1">
      <c r="A393" s="507"/>
      <c r="B393" s="77" t="s">
        <v>1850</v>
      </c>
      <c r="C393" s="495" t="str">
        <f t="shared" si="48"/>
        <v xml:space="preserve">Piesa imbinare Click </v>
      </c>
      <c r="D393" s="495">
        <f>IFERROR(VLOOKUP(C393,In!A10:F5110,6,FALSE),0)</f>
        <v>0</v>
      </c>
    </row>
    <row r="394" spans="1:4" s="495" customFormat="1">
      <c r="A394" s="507"/>
      <c r="B394" s="77" t="s">
        <v>1851</v>
      </c>
      <c r="C394" s="495" t="str">
        <f t="shared" si="48"/>
        <v xml:space="preserve">Rupere panta interior </v>
      </c>
      <c r="D394" s="495">
        <f>IFERROR(VLOOKUP(C394,In!A11:F5111,6,FALSE),0)</f>
        <v>0</v>
      </c>
    </row>
    <row r="395" spans="1:4" s="495" customFormat="1">
      <c r="A395" s="507"/>
      <c r="B395" s="77" t="s">
        <v>152</v>
      </c>
      <c r="C395" s="495" t="str">
        <f t="shared" si="48"/>
        <v xml:space="preserve">Rupere panta exerior Click </v>
      </c>
      <c r="D395" s="495">
        <f>IFERROR(VLOOKUP(C395,In!A12:F5112,6,FALSE),0)</f>
        <v>0</v>
      </c>
    </row>
    <row r="396" spans="1:4" s="495" customFormat="1">
      <c r="A396" s="507"/>
      <c r="B396" s="77" t="s">
        <v>153</v>
      </c>
      <c r="C396" s="495" t="str">
        <f t="shared" si="48"/>
        <v xml:space="preserve">Suport inchideri Click </v>
      </c>
      <c r="D396" s="495">
        <f>IFERROR(VLOOKUP(C396,In!A13:F5113,6,FALSE),0)</f>
        <v>0</v>
      </c>
    </row>
    <row r="397" spans="1:4" s="495" customFormat="1">
      <c r="A397" s="507"/>
      <c r="B397" s="77" t="s">
        <v>1658</v>
      </c>
      <c r="C397" s="495" t="str">
        <f t="shared" si="48"/>
        <v xml:space="preserve">Profil ventilatie coama Click(Negru/Gri) </v>
      </c>
      <c r="D397" s="495">
        <f>IFERROR(VLOOKUP(C397,In!A14:F5114,6,FALSE),0)</f>
        <v>0</v>
      </c>
    </row>
    <row r="398" spans="1:4" s="495" customFormat="1">
      <c r="A398" s="507"/>
      <c r="B398" s="77" t="s">
        <v>1852</v>
      </c>
      <c r="C398" s="495" t="str">
        <f t="shared" si="48"/>
        <v xml:space="preserve">Banda fonica Click </v>
      </c>
      <c r="D398" s="495">
        <f>IFERROR(VLOOKUP(C398,In!A15:F5115,6,FALSE),0)</f>
        <v>0</v>
      </c>
    </row>
    <row r="399" spans="1:4" s="495" customFormat="1">
      <c r="A399" s="507"/>
      <c r="B399" s="77" t="s">
        <v>1853</v>
      </c>
      <c r="C399" s="495" t="str">
        <f t="shared" si="48"/>
        <v xml:space="preserve">Suport Parazapada Click  ( Negru/Gri ) </v>
      </c>
      <c r="D399" s="495">
        <f>IFERROR(VLOOKUP(C399,In!A16:F5116,6,FALSE),0)</f>
        <v>0</v>
      </c>
    </row>
    <row r="400" spans="1:4" s="495" customFormat="1">
      <c r="A400" s="507"/>
      <c r="B400" s="77" t="s">
        <v>1854</v>
      </c>
      <c r="C400" s="495" t="str">
        <f t="shared" si="48"/>
        <v xml:space="preserve">Bara parazapada click 2m ( Negru/Gri ) </v>
      </c>
      <c r="D400" s="495">
        <f>IFERROR(VLOOKUP(C400,In!A17:F5117,6,FALSE),0)</f>
        <v>0</v>
      </c>
    </row>
    <row r="401" spans="1:11" s="495" customFormat="1">
      <c r="A401" s="507"/>
      <c r="B401" s="77" t="s">
        <v>1855</v>
      </c>
      <c r="C401" s="495" t="str">
        <f t="shared" si="48"/>
        <v xml:space="preserve">Conector bara ( Negru/Gri ) </v>
      </c>
      <c r="D401" s="495">
        <f>IFERROR(VLOOKUP(C401,In!A18:F5118,6,FALSE),0)</f>
        <v>0</v>
      </c>
    </row>
    <row r="402" spans="1:11" s="495" customFormat="1">
      <c r="A402" s="507"/>
      <c r="B402" s="77" t="s">
        <v>1856</v>
      </c>
      <c r="C402" s="495" t="str">
        <f t="shared" si="48"/>
        <v xml:space="preserve">Capac bara ( Negru/Gri ) </v>
      </c>
      <c r="D402" s="495">
        <f>IFERROR(VLOOKUP(C402,In!A19:F5119,6,FALSE),0)</f>
        <v>0</v>
      </c>
    </row>
    <row r="403" spans="1:11" s="495" customFormat="1">
      <c r="A403" s="507"/>
      <c r="B403" s="77" t="s">
        <v>1662</v>
      </c>
      <c r="C403" s="495" t="str">
        <f t="shared" si="48"/>
        <v xml:space="preserve">Blocator bara </v>
      </c>
      <c r="D403" s="495">
        <f>IFERROR(VLOOKUP(C403,In!A20:F5120,6,FALSE),0)</f>
        <v>0</v>
      </c>
    </row>
    <row r="404" spans="1:11" s="495" customFormat="1">
      <c r="A404" s="507"/>
      <c r="B404" s="77" t="s">
        <v>2200</v>
      </c>
      <c r="C404" s="495" t="str">
        <f t="shared" si="48"/>
        <v xml:space="preserve">Clema fixa inox 28 mm </v>
      </c>
      <c r="D404" s="495">
        <f>IFERROR(VLOOKUP(C404,In!A21:F5121,6,FALSE),0)</f>
        <v>0</v>
      </c>
    </row>
    <row r="405" spans="1:11" s="495" customFormat="1">
      <c r="A405" s="507"/>
      <c r="B405" s="77" t="s">
        <v>2201</v>
      </c>
      <c r="C405" s="495" t="str">
        <f t="shared" si="48"/>
        <v xml:space="preserve">Clema mobila inox 28 mm </v>
      </c>
      <c r="D405" s="495">
        <f>IFERROR(VLOOKUP(C405,In!A22:F5122,6,FALSE),0)</f>
        <v>0</v>
      </c>
    </row>
    <row r="406" spans="1:11" s="495" customFormat="1">
      <c r="A406" s="507"/>
    </row>
    <row r="407" spans="1:11" s="495" customFormat="1">
      <c r="A407" s="507"/>
    </row>
    <row r="408" spans="1:11" s="495" customFormat="1">
      <c r="A408" s="507"/>
    </row>
    <row r="409" spans="1:11" s="495" customFormat="1">
      <c r="A409" s="507"/>
    </row>
    <row r="410" spans="1:11" s="495" customFormat="1">
      <c r="A410" s="507"/>
    </row>
    <row r="411" spans="1:11" s="495" customFormat="1">
      <c r="A411" s="507"/>
    </row>
    <row r="412" spans="1:11" s="495" customFormat="1">
      <c r="A412" s="507"/>
    </row>
    <row r="413" spans="1:11" s="495" customFormat="1">
      <c r="A413" s="507"/>
    </row>
    <row r="414" spans="1:11" s="495" customFormat="1">
      <c r="A414" s="507"/>
    </row>
    <row r="415" spans="1:11">
      <c r="B415" s="146" t="str">
        <f t="shared" si="47"/>
        <v/>
      </c>
      <c r="C415" s="146" t="s">
        <v>36</v>
      </c>
      <c r="D415" s="146" t="s">
        <v>36</v>
      </c>
      <c r="E415" s="146" t="s">
        <v>36</v>
      </c>
      <c r="F415" s="146" t="s">
        <v>36</v>
      </c>
      <c r="G415" s="146" t="s">
        <v>36</v>
      </c>
      <c r="H415" s="146" t="s">
        <v>36</v>
      </c>
      <c r="I415" s="146" t="s">
        <v>36</v>
      </c>
      <c r="J415" s="146" t="s">
        <v>36</v>
      </c>
      <c r="K415" s="146" t="s">
        <v>36</v>
      </c>
    </row>
    <row r="416" spans="1:11" s="364" customFormat="1">
      <c r="C416" s="364" t="str">
        <f>INDEX(B418:B437,B417)&amp;" "&amp;INDEX(B441:B462,B440)</f>
        <v xml:space="preserve"> </v>
      </c>
      <c r="D416" s="364">
        <f>IFERROR(VLOOKUP(C416,In!A61:F2258,6,FALSE),0)</f>
        <v>0</v>
      </c>
      <c r="E416" s="364">
        <f>INDEX(B418:B437,B417)</f>
        <v>0</v>
      </c>
      <c r="F416" s="364">
        <f>IFERROR(VLOOKUP(E416,B419:D437,3,FALSE),0)</f>
        <v>0</v>
      </c>
    </row>
    <row r="417" spans="1:5" s="352" customFormat="1">
      <c r="A417" s="507"/>
      <c r="B417" s="352">
        <v>1</v>
      </c>
    </row>
    <row r="418" spans="1:5" s="352" customFormat="1">
      <c r="A418" s="507"/>
    </row>
    <row r="419" spans="1:5" s="352" customFormat="1">
      <c r="A419" s="507"/>
      <c r="B419" s="352" t="s">
        <v>268</v>
      </c>
      <c r="D419" s="352">
        <v>1195</v>
      </c>
      <c r="E419" s="352">
        <v>2</v>
      </c>
    </row>
    <row r="420" spans="1:5" s="352" customFormat="1">
      <c r="A420" s="507"/>
      <c r="B420" s="430" t="s">
        <v>2073</v>
      </c>
      <c r="D420" s="352">
        <v>1150</v>
      </c>
      <c r="E420" s="352">
        <v>3</v>
      </c>
    </row>
    <row r="421" spans="1:5" s="425" customFormat="1">
      <c r="A421" s="507"/>
      <c r="B421" s="430" t="s">
        <v>2074</v>
      </c>
      <c r="D421" s="425">
        <v>1150</v>
      </c>
      <c r="E421" s="425">
        <v>4</v>
      </c>
    </row>
    <row r="422" spans="1:5" s="352" customFormat="1">
      <c r="A422" s="507"/>
      <c r="B422" s="425" t="s">
        <v>1871</v>
      </c>
      <c r="D422" s="352">
        <v>1150</v>
      </c>
      <c r="E422" s="425">
        <v>5</v>
      </c>
    </row>
    <row r="423" spans="1:5" s="352" customFormat="1">
      <c r="A423" s="507"/>
      <c r="B423" s="352" t="s">
        <v>1868</v>
      </c>
      <c r="D423" s="352">
        <v>1150</v>
      </c>
      <c r="E423" s="425">
        <v>6</v>
      </c>
    </row>
    <row r="424" spans="1:5" s="352" customFormat="1">
      <c r="A424" s="507"/>
      <c r="B424" s="352" t="s">
        <v>1873</v>
      </c>
      <c r="D424" s="352">
        <v>1125</v>
      </c>
      <c r="E424" s="425">
        <v>7</v>
      </c>
    </row>
    <row r="425" spans="1:5" s="352" customFormat="1">
      <c r="A425" s="507"/>
      <c r="B425" s="352" t="s">
        <v>1872</v>
      </c>
      <c r="D425" s="352">
        <v>1125</v>
      </c>
      <c r="E425" s="425">
        <v>8</v>
      </c>
    </row>
    <row r="426" spans="1:5" s="352" customFormat="1">
      <c r="A426" s="507"/>
      <c r="B426" s="352" t="s">
        <v>1874</v>
      </c>
      <c r="D426" s="352">
        <v>905</v>
      </c>
      <c r="E426" s="425">
        <v>9</v>
      </c>
    </row>
    <row r="427" spans="1:5" s="352" customFormat="1">
      <c r="A427" s="507"/>
      <c r="B427" s="352" t="s">
        <v>1875</v>
      </c>
      <c r="D427" s="352">
        <v>905</v>
      </c>
      <c r="E427" s="425">
        <v>10</v>
      </c>
    </row>
    <row r="428" spans="1:5" s="352" customFormat="1">
      <c r="A428" s="507"/>
      <c r="B428" s="352" t="s">
        <v>1877</v>
      </c>
      <c r="D428" s="352">
        <v>1150</v>
      </c>
      <c r="E428" s="425">
        <v>11</v>
      </c>
    </row>
    <row r="429" spans="1:5" s="352" customFormat="1">
      <c r="A429" s="507"/>
      <c r="B429" s="352" t="s">
        <v>1876</v>
      </c>
      <c r="D429" s="352">
        <v>1125</v>
      </c>
      <c r="E429" s="425">
        <v>12</v>
      </c>
    </row>
    <row r="430" spans="1:5" s="352" customFormat="1">
      <c r="A430" s="507"/>
      <c r="B430" s="352" t="s">
        <v>1869</v>
      </c>
      <c r="D430" s="352">
        <v>905</v>
      </c>
      <c r="E430" s="430">
        <v>13</v>
      </c>
    </row>
    <row r="431" spans="1:5" s="426" customFormat="1">
      <c r="A431" s="507"/>
      <c r="B431" s="430" t="s">
        <v>2104</v>
      </c>
      <c r="D431" s="426">
        <v>1155</v>
      </c>
      <c r="E431" s="430">
        <v>14</v>
      </c>
    </row>
    <row r="432" spans="1:5" s="426" customFormat="1">
      <c r="A432" s="507"/>
      <c r="B432" s="430" t="s">
        <v>2105</v>
      </c>
      <c r="D432" s="430">
        <v>1155</v>
      </c>
      <c r="E432" s="430">
        <v>15</v>
      </c>
    </row>
    <row r="433" spans="1:21" s="426" customFormat="1">
      <c r="A433" s="507"/>
      <c r="B433" s="430" t="s">
        <v>2106</v>
      </c>
      <c r="C433" s="430"/>
      <c r="D433" s="430">
        <v>1075</v>
      </c>
      <c r="E433" s="430">
        <v>16</v>
      </c>
    </row>
    <row r="434" spans="1:21" s="426" customFormat="1">
      <c r="A434" s="507"/>
      <c r="B434" s="430" t="s">
        <v>2109</v>
      </c>
      <c r="C434" s="430"/>
      <c r="D434" s="430">
        <v>1075</v>
      </c>
      <c r="E434" s="430">
        <v>17</v>
      </c>
    </row>
    <row r="435" spans="1:21" s="426" customFormat="1">
      <c r="A435" s="507"/>
      <c r="B435" s="430" t="s">
        <v>2107</v>
      </c>
      <c r="C435" s="430"/>
      <c r="D435" s="430">
        <v>1050</v>
      </c>
      <c r="E435" s="430">
        <v>18</v>
      </c>
    </row>
    <row r="436" spans="1:21" s="426" customFormat="1">
      <c r="A436" s="507"/>
      <c r="B436" s="430" t="s">
        <v>2108</v>
      </c>
      <c r="C436" s="430"/>
      <c r="D436" s="430">
        <v>1050</v>
      </c>
      <c r="E436" s="430">
        <v>19</v>
      </c>
    </row>
    <row r="437" spans="1:21" s="426" customFormat="1">
      <c r="A437" s="507"/>
      <c r="B437" s="430" t="s">
        <v>2103</v>
      </c>
      <c r="C437" s="430"/>
      <c r="D437" s="430">
        <v>1050</v>
      </c>
      <c r="E437" s="430">
        <v>20</v>
      </c>
    </row>
    <row r="438" spans="1:21" s="426" customFormat="1">
      <c r="A438" s="507"/>
      <c r="B438" s="430"/>
      <c r="C438" s="430"/>
      <c r="D438" s="430"/>
      <c r="E438" s="430"/>
    </row>
    <row r="439" spans="1:21" s="352" customFormat="1">
      <c r="A439" s="507"/>
    </row>
    <row r="440" spans="1:21" s="352" customFormat="1">
      <c r="A440" s="507"/>
      <c r="B440" s="352">
        <v>1</v>
      </c>
      <c r="C440" s="352" t="s">
        <v>268</v>
      </c>
      <c r="D440" s="425" t="s">
        <v>2057</v>
      </c>
      <c r="E440" s="425" t="s">
        <v>2058</v>
      </c>
      <c r="F440" s="352" t="s">
        <v>1928</v>
      </c>
      <c r="G440" s="352" t="s">
        <v>1929</v>
      </c>
      <c r="H440" s="352" t="s">
        <v>1930</v>
      </c>
      <c r="I440" s="352" t="s">
        <v>1931</v>
      </c>
      <c r="J440" s="352" t="s">
        <v>1932</v>
      </c>
      <c r="K440" s="352" t="s">
        <v>1933</v>
      </c>
      <c r="L440" s="352" t="s">
        <v>1934</v>
      </c>
      <c r="M440" s="352" t="s">
        <v>1935</v>
      </c>
      <c r="N440" s="352" t="s">
        <v>1936</v>
      </c>
      <c r="O440" s="352" t="str">
        <f>B431</f>
        <v>JIS16,5 Acoperis</v>
      </c>
      <c r="P440" s="352" t="str">
        <f>B432</f>
        <v>JIS16,5 Perete</v>
      </c>
      <c r="Q440" s="352" t="str">
        <f>B433</f>
        <v>JIS35 Acoperis</v>
      </c>
      <c r="R440" s="352" t="str">
        <f>B434</f>
        <v>JIS35 Perete</v>
      </c>
      <c r="S440" s="430" t="str">
        <f>B435</f>
        <v>JIS45 Acoperis</v>
      </c>
      <c r="T440" s="352" t="str">
        <f>B436</f>
        <v>JIS45 Perete</v>
      </c>
      <c r="U440" s="352" t="str">
        <f>B437</f>
        <v>JIS45 Acoperis cu DRIPSTOP</v>
      </c>
    </row>
    <row r="441" spans="1:21" s="352" customFormat="1">
      <c r="A441" s="507"/>
      <c r="C441" s="352">
        <v>2</v>
      </c>
      <c r="D441" s="352">
        <v>3</v>
      </c>
      <c r="E441" s="425">
        <v>4</v>
      </c>
      <c r="F441" s="425">
        <v>5</v>
      </c>
      <c r="G441" s="425">
        <v>6</v>
      </c>
      <c r="H441" s="425">
        <v>7</v>
      </c>
      <c r="I441" s="425">
        <v>8</v>
      </c>
      <c r="J441" s="425">
        <v>9</v>
      </c>
      <c r="K441" s="425">
        <v>10</v>
      </c>
      <c r="L441" s="425">
        <v>11</v>
      </c>
      <c r="M441" s="425">
        <v>12</v>
      </c>
      <c r="N441" s="425">
        <v>13</v>
      </c>
      <c r="O441" s="426">
        <v>14</v>
      </c>
      <c r="P441" s="426">
        <v>15</v>
      </c>
      <c r="Q441" s="426">
        <v>16</v>
      </c>
      <c r="R441" s="426">
        <v>17</v>
      </c>
      <c r="S441" s="430">
        <v>18</v>
      </c>
      <c r="T441" s="430">
        <v>19</v>
      </c>
      <c r="U441" s="430">
        <v>20</v>
      </c>
    </row>
    <row r="442" spans="1:21" s="352" customFormat="1">
      <c r="A442" s="507"/>
      <c r="B442" s="352" t="str">
        <f>IF(Select!$B$417=2,C442,IF(Select!$B$417=3,D442,IF(Select!$B$417=4,E442,IF(Select!$B$417=5,F442,IF(Select!$B$417=6,G442,IF(Select!$B$417=7,H442,IF(Select!$B$417=8,I442,IF(Select!$B$417=9,J442,IF(Select!$B$417=10,K442,IF(Select!$B$417=11,L442,IF(Select!$B$417=12,M442,IF(Select!$B$417=13,N442,IF(Select!$B$417=14,O442,IF(Select!$B$417=15,P442,IF(Select!$B$417=16,Q442,IF(Select!$B$417=17,R442,IF(Select!$B$417=18,S442,IF(Select!$B$417=19,T442,IF(Select!$B$417=20,U442,"")))))))))))))))))))</f>
        <v/>
      </c>
      <c r="C442" s="352" t="s">
        <v>366</v>
      </c>
      <c r="D442" s="352" t="s">
        <v>366</v>
      </c>
      <c r="E442" s="425" t="s">
        <v>366</v>
      </c>
      <c r="F442" s="352" t="s">
        <v>366</v>
      </c>
      <c r="G442" s="352" t="s">
        <v>366</v>
      </c>
      <c r="H442" s="352" t="s">
        <v>36</v>
      </c>
      <c r="I442" s="352" t="s">
        <v>36</v>
      </c>
      <c r="L442" s="352" t="s">
        <v>36</v>
      </c>
      <c r="M442" s="352" t="s">
        <v>36</v>
      </c>
      <c r="O442" s="426" t="s">
        <v>366</v>
      </c>
      <c r="P442" s="430" t="s">
        <v>366</v>
      </c>
      <c r="Q442" s="426" t="s">
        <v>36</v>
      </c>
      <c r="R442" s="430" t="s">
        <v>36</v>
      </c>
      <c r="S442" s="430" t="s">
        <v>36</v>
      </c>
      <c r="T442" s="430" t="s">
        <v>36</v>
      </c>
      <c r="U442" s="430" t="s">
        <v>36</v>
      </c>
    </row>
    <row r="443" spans="1:21" s="352" customFormat="1">
      <c r="A443" s="507"/>
      <c r="B443" s="430" t="str">
        <f>IF(Select!$B$417=2,C443,IF(Select!$B$417=3,D443,IF(Select!$B$417=4,E443,IF(Select!$B$417=5,F443,IF(Select!$B$417=6,G443,IF(Select!$B$417=7,H443,IF(Select!$B$417=8,I443,IF(Select!$B$417=9,J443,IF(Select!$B$417=10,K443,IF(Select!$B$417=11,L443,IF(Select!$B$417=12,M443,IF(Select!$B$417=13,N443,IF(Select!$B$417=14,O443,IF(Select!$B$417=15,P443,IF(Select!$B$417=16,Q443,IF(Select!$B$417=17,R443,IF(Select!$B$417=18,S443,IF(Select!$B$417=19,T443,IF(Select!$B$417=20,U443,"")))))))))))))))))))</f>
        <v/>
      </c>
      <c r="C443" s="352" t="s">
        <v>367</v>
      </c>
      <c r="D443" s="352" t="s">
        <v>367</v>
      </c>
      <c r="E443" s="425" t="s">
        <v>367</v>
      </c>
      <c r="F443" s="352" t="s">
        <v>367</v>
      </c>
      <c r="G443" s="352" t="s">
        <v>367</v>
      </c>
      <c r="H443" s="352" t="s">
        <v>36</v>
      </c>
      <c r="I443" s="352" t="s">
        <v>36</v>
      </c>
      <c r="L443" s="352" t="s">
        <v>36</v>
      </c>
      <c r="M443" s="352" t="s">
        <v>36</v>
      </c>
      <c r="O443" s="426" t="s">
        <v>367</v>
      </c>
      <c r="P443" s="430" t="s">
        <v>367</v>
      </c>
      <c r="Q443" s="426" t="s">
        <v>36</v>
      </c>
      <c r="R443" s="430" t="s">
        <v>36</v>
      </c>
      <c r="S443" s="430" t="s">
        <v>36</v>
      </c>
      <c r="T443" s="430" t="s">
        <v>36</v>
      </c>
      <c r="U443" s="430" t="s">
        <v>36</v>
      </c>
    </row>
    <row r="444" spans="1:21" s="352" customFormat="1">
      <c r="A444" s="507"/>
      <c r="B444" s="430" t="str">
        <f>IF(Select!$B$417=2,C444,IF(Select!$B$417=3,D444,IF(Select!$B$417=4,E444,IF(Select!$B$417=5,F444,IF(Select!$B$417=6,G444,IF(Select!$B$417=7,H444,IF(Select!$B$417=8,I444,IF(Select!$B$417=9,J444,IF(Select!$B$417=10,K444,IF(Select!$B$417=11,L444,IF(Select!$B$417=12,M444,IF(Select!$B$417=13,N444,IF(Select!$B$417=14,O444,IF(Select!$B$417=15,P444,IF(Select!$B$417=16,Q444,IF(Select!$B$417=17,R444,IF(Select!$B$417=18,S444,IF(Select!$B$417=19,T444,IF(Select!$B$417=20,U444,"")))))))))))))))))))</f>
        <v/>
      </c>
      <c r="C444" s="352" t="s">
        <v>368</v>
      </c>
      <c r="D444" s="352" t="s">
        <v>368</v>
      </c>
      <c r="E444" s="425" t="s">
        <v>368</v>
      </c>
      <c r="F444" s="352" t="s">
        <v>368</v>
      </c>
      <c r="G444" s="352" t="s">
        <v>368</v>
      </c>
      <c r="H444" s="352" t="s">
        <v>368</v>
      </c>
      <c r="I444" s="352" t="s">
        <v>368</v>
      </c>
      <c r="J444" s="352" t="s">
        <v>36</v>
      </c>
      <c r="K444" s="352" t="s">
        <v>36</v>
      </c>
      <c r="L444" s="352" t="s">
        <v>368</v>
      </c>
      <c r="M444" s="352" t="s">
        <v>368</v>
      </c>
      <c r="N444" s="352" t="s">
        <v>36</v>
      </c>
      <c r="O444" s="426" t="s">
        <v>368</v>
      </c>
      <c r="P444" s="430" t="s">
        <v>368</v>
      </c>
      <c r="Q444" s="426" t="s">
        <v>368</v>
      </c>
      <c r="R444" s="430" t="s">
        <v>368</v>
      </c>
      <c r="S444" s="430" t="s">
        <v>368</v>
      </c>
      <c r="T444" s="430" t="s">
        <v>368</v>
      </c>
      <c r="U444" s="430" t="s">
        <v>368</v>
      </c>
    </row>
    <row r="445" spans="1:21" s="352" customFormat="1">
      <c r="A445" s="507"/>
      <c r="B445" s="430" t="str">
        <f>IF(Select!$B$417=2,C445,IF(Select!$B$417=3,D445,IF(Select!$B$417=4,E445,IF(Select!$B$417=5,F445,IF(Select!$B$417=6,G445,IF(Select!$B$417=7,H445,IF(Select!$B$417=8,I445,IF(Select!$B$417=9,J445,IF(Select!$B$417=10,K445,IF(Select!$B$417=11,L445,IF(Select!$B$417=12,M445,IF(Select!$B$417=13,N445,IF(Select!$B$417=14,O445,IF(Select!$B$417=15,P445,IF(Select!$B$417=16,Q445,IF(Select!$B$417=17,R445,IF(Select!$B$417=18,S445,IF(Select!$B$417=19,T445,IF(Select!$B$417=20,U445,"")))))))))))))))))))</f>
        <v/>
      </c>
      <c r="C445" s="352" t="s">
        <v>369</v>
      </c>
      <c r="D445" s="352" t="s">
        <v>369</v>
      </c>
      <c r="E445" s="425" t="s">
        <v>369</v>
      </c>
      <c r="F445" s="352" t="s">
        <v>369</v>
      </c>
      <c r="G445" s="352" t="s">
        <v>369</v>
      </c>
      <c r="H445" s="352" t="s">
        <v>369</v>
      </c>
      <c r="I445" s="352" t="s">
        <v>369</v>
      </c>
      <c r="J445" s="352" t="s">
        <v>369</v>
      </c>
      <c r="K445" s="352" t="s">
        <v>369</v>
      </c>
      <c r="L445" s="352" t="s">
        <v>369</v>
      </c>
      <c r="M445" s="352" t="s">
        <v>369</v>
      </c>
      <c r="N445" s="352" t="s">
        <v>369</v>
      </c>
      <c r="O445" s="426" t="s">
        <v>369</v>
      </c>
      <c r="P445" s="430" t="s">
        <v>369</v>
      </c>
      <c r="Q445" s="426" t="s">
        <v>369</v>
      </c>
      <c r="R445" s="430" t="s">
        <v>369</v>
      </c>
      <c r="S445" s="430" t="s">
        <v>369</v>
      </c>
      <c r="T445" s="430" t="s">
        <v>369</v>
      </c>
      <c r="U445" s="430" t="s">
        <v>369</v>
      </c>
    </row>
    <row r="446" spans="1:21" s="352" customFormat="1">
      <c r="A446" s="507"/>
      <c r="B446" s="430" t="str">
        <f>IF(Select!$B$417=2,C446,IF(Select!$B$417=3,D446,IF(Select!$B$417=4,E446,IF(Select!$B$417=5,F446,IF(Select!$B$417=6,G446,IF(Select!$B$417=7,H446,IF(Select!$B$417=8,I446,IF(Select!$B$417=9,J446,IF(Select!$B$417=10,K446,IF(Select!$B$417=11,L446,IF(Select!$B$417=12,M446,IF(Select!$B$417=13,N446,IF(Select!$B$417=14,O446,IF(Select!$B$417=15,P446,IF(Select!$B$417=16,Q446,IF(Select!$B$417=17,R446,IF(Select!$B$417=18,S446,IF(Select!$B$417=19,T446,IF(Select!$B$417=20,U446,"")))))))))))))))))))</f>
        <v/>
      </c>
      <c r="C446" s="352" t="s">
        <v>36</v>
      </c>
      <c r="D446" s="426" t="s">
        <v>1616</v>
      </c>
      <c r="E446" s="426" t="s">
        <v>1616</v>
      </c>
      <c r="F446" s="426" t="s">
        <v>1616</v>
      </c>
      <c r="G446" s="426" t="s">
        <v>1616</v>
      </c>
      <c r="H446" s="352" t="str">
        <f t="shared" ref="H446:N446" si="49">G446</f>
        <v>LUCIOS 0.6</v>
      </c>
      <c r="I446" s="352" t="str">
        <f t="shared" si="49"/>
        <v>LUCIOS 0.6</v>
      </c>
      <c r="J446" s="352" t="str">
        <f t="shared" si="49"/>
        <v>LUCIOS 0.6</v>
      </c>
      <c r="K446" s="352" t="str">
        <f t="shared" si="49"/>
        <v>LUCIOS 0.6</v>
      </c>
      <c r="L446" s="426" t="str">
        <f t="shared" si="49"/>
        <v>LUCIOS 0.6</v>
      </c>
      <c r="M446" s="352" t="str">
        <f t="shared" si="49"/>
        <v>LUCIOS 0.6</v>
      </c>
      <c r="N446" s="352" t="str">
        <f t="shared" si="49"/>
        <v>LUCIOS 0.6</v>
      </c>
      <c r="O446" s="426" t="s">
        <v>1616</v>
      </c>
      <c r="P446" s="430" t="s">
        <v>1616</v>
      </c>
      <c r="Q446" s="426" t="str">
        <f>P446</f>
        <v>LUCIOS 0.6</v>
      </c>
      <c r="R446" s="430" t="str">
        <f>Q446</f>
        <v>LUCIOS 0.6</v>
      </c>
      <c r="S446" s="430" t="str">
        <f>R446</f>
        <v>LUCIOS 0.6</v>
      </c>
      <c r="T446" s="430" t="str">
        <f>S446</f>
        <v>LUCIOS 0.6</v>
      </c>
      <c r="U446" s="430" t="str">
        <f>T446</f>
        <v>LUCIOS 0.6</v>
      </c>
    </row>
    <row r="447" spans="1:21" s="352" customFormat="1">
      <c r="A447" s="507"/>
      <c r="B447" s="430" t="str">
        <f>IF(Select!$B$417=2,C447,IF(Select!$B$417=3,D447,IF(Select!$B$417=4,E447,IF(Select!$B$417=5,F447,IF(Select!$B$417=6,G447,IF(Select!$B$417=7,H447,IF(Select!$B$417=8,I447,IF(Select!$B$417=9,J447,IF(Select!$B$417=10,K447,IF(Select!$B$417=11,L447,IF(Select!$B$417=12,M447,IF(Select!$B$417=13,N447,IF(Select!$B$417=14,O447,IF(Select!$B$417=15,P447,IF(Select!$B$417=16,Q447,IF(Select!$B$417=17,R447,IF(Select!$B$417=18,S447,IF(Select!$B$417=19,T447,IF(Select!$B$417=20,U447,"")))))))))))))))))))</f>
        <v/>
      </c>
      <c r="C447" s="352" t="s">
        <v>36</v>
      </c>
      <c r="D447" s="352" t="s">
        <v>36</v>
      </c>
      <c r="E447" s="425" t="s">
        <v>36</v>
      </c>
      <c r="F447" s="352" t="s">
        <v>36</v>
      </c>
      <c r="G447" s="352" t="s">
        <v>36</v>
      </c>
      <c r="H447" s="352" t="s">
        <v>1710</v>
      </c>
      <c r="I447" s="352" t="s">
        <v>1710</v>
      </c>
      <c r="J447" s="352" t="s">
        <v>1710</v>
      </c>
      <c r="K447" s="352" t="s">
        <v>1710</v>
      </c>
      <c r="L447" s="352" t="s">
        <v>36</v>
      </c>
      <c r="M447" s="352" t="s">
        <v>1710</v>
      </c>
      <c r="N447" s="352" t="s">
        <v>1710</v>
      </c>
      <c r="O447" s="426" t="s">
        <v>36</v>
      </c>
      <c r="P447" s="430" t="s">
        <v>36</v>
      </c>
      <c r="Q447" s="508" t="s">
        <v>1710</v>
      </c>
      <c r="R447" s="508" t="s">
        <v>1710</v>
      </c>
      <c r="S447" s="508" t="s">
        <v>1710</v>
      </c>
      <c r="T447" s="508" t="s">
        <v>1710</v>
      </c>
      <c r="U447" s="508" t="s">
        <v>1710</v>
      </c>
    </row>
    <row r="448" spans="1:21" s="352" customFormat="1">
      <c r="A448" s="507"/>
      <c r="B448" s="430" t="str">
        <f>IF(Select!$B$417=2,C448,IF(Select!$B$417=3,D448,IF(Select!$B$417=4,E448,IF(Select!$B$417=5,F448,IF(Select!$B$417=6,G448,IF(Select!$B$417=7,H448,IF(Select!$B$417=8,I448,IF(Select!$B$417=9,J448,IF(Select!$B$417=10,K448,IF(Select!$B$417=11,L448,IF(Select!$B$417=12,M448,IF(Select!$B$417=13,N448,IF(Select!$B$417=14,O448,IF(Select!$B$417=15,P448,IF(Select!$B$417=16,Q448,IF(Select!$B$417=17,R448,IF(Select!$B$417=18,S448,IF(Select!$B$417=19,T448,IF(Select!$B$417=20,U448,"")))))))))))))))))))</f>
        <v/>
      </c>
      <c r="C448" s="352" t="s">
        <v>36</v>
      </c>
      <c r="D448" s="352" t="s">
        <v>36</v>
      </c>
      <c r="E448" s="425" t="s">
        <v>36</v>
      </c>
      <c r="F448" s="352" t="s">
        <v>36</v>
      </c>
      <c r="G448" s="352" t="s">
        <v>36</v>
      </c>
      <c r="H448" s="352" t="s">
        <v>1620</v>
      </c>
      <c r="I448" s="352" t="s">
        <v>1620</v>
      </c>
      <c r="J448" s="352" t="s">
        <v>1620</v>
      </c>
      <c r="K448" s="352" t="s">
        <v>1620</v>
      </c>
      <c r="L448" s="352" t="s">
        <v>36</v>
      </c>
      <c r="M448" s="352" t="s">
        <v>1620</v>
      </c>
      <c r="N448" s="352" t="s">
        <v>1620</v>
      </c>
      <c r="O448" s="426" t="s">
        <v>36</v>
      </c>
      <c r="P448" s="430" t="s">
        <v>36</v>
      </c>
      <c r="Q448" s="426" t="s">
        <v>1620</v>
      </c>
      <c r="R448" s="430" t="s">
        <v>1620</v>
      </c>
      <c r="S448" s="430" t="s">
        <v>1620</v>
      </c>
      <c r="T448" s="430" t="s">
        <v>1620</v>
      </c>
      <c r="U448" s="430" t="s">
        <v>1620</v>
      </c>
    </row>
    <row r="449" spans="1:22" s="352" customFormat="1">
      <c r="A449" s="507"/>
      <c r="B449" s="430" t="str">
        <f>IF(Select!$B$417=2,C449,IF(Select!$B$417=3,D449,IF(Select!$B$417=4,E449,IF(Select!$B$417=5,F449,IF(Select!$B$417=6,G449,IF(Select!$B$417=7,H449,IF(Select!$B$417=8,I449,IF(Select!$B$417=9,J449,IF(Select!$B$417=10,K449,IF(Select!$B$417=11,L449,IF(Select!$B$417=12,M449,IF(Select!$B$417=13,N449,IF(Select!$B$417=14,O449,IF(Select!$B$417=15,P449,IF(Select!$B$417=16,Q449,IF(Select!$B$417=17,R449,IF(Select!$B$417=18,S449,IF(Select!$B$417=19,T449,IF(Select!$B$417=20,U449,"")))))))))))))))))))</f>
        <v/>
      </c>
      <c r="C449" s="352" t="s">
        <v>370</v>
      </c>
      <c r="D449" s="352" t="s">
        <v>370</v>
      </c>
      <c r="E449" s="425" t="s">
        <v>370</v>
      </c>
      <c r="F449" s="352" t="s">
        <v>370</v>
      </c>
      <c r="G449" s="352" t="s">
        <v>370</v>
      </c>
      <c r="H449" s="520" t="s">
        <v>36</v>
      </c>
      <c r="I449" s="490" t="s">
        <v>36</v>
      </c>
      <c r="J449" s="352" t="s">
        <v>36</v>
      </c>
      <c r="K449" s="352" t="s">
        <v>36</v>
      </c>
      <c r="L449" s="352" t="s">
        <v>36</v>
      </c>
      <c r="M449" s="352" t="s">
        <v>36</v>
      </c>
      <c r="N449" s="352" t="s">
        <v>36</v>
      </c>
      <c r="O449" s="426" t="s">
        <v>370</v>
      </c>
      <c r="P449" s="430" t="s">
        <v>370</v>
      </c>
      <c r="Q449" s="426" t="s">
        <v>36</v>
      </c>
      <c r="R449" s="430" t="s">
        <v>36</v>
      </c>
      <c r="S449" s="430" t="s">
        <v>36</v>
      </c>
      <c r="T449" s="430" t="s">
        <v>36</v>
      </c>
      <c r="U449" s="430" t="s">
        <v>36</v>
      </c>
    </row>
    <row r="450" spans="1:22" s="352" customFormat="1">
      <c r="A450" s="507"/>
      <c r="B450" s="430" t="str">
        <f>IF(Select!$B$417=2,C450,IF(Select!$B$417=3,D450,IF(Select!$B$417=4,E450,IF(Select!$B$417=5,F450,IF(Select!$B$417=6,G450,IF(Select!$B$417=7,H450,IF(Select!$B$417=8,I450,IF(Select!$B$417=9,J450,IF(Select!$B$417=10,K450,IF(Select!$B$417=11,L450,IF(Select!$B$417=12,M450,IF(Select!$B$417=13,N450,IF(Select!$B$417=14,O450,IF(Select!$B$417=15,P450,IF(Select!$B$417=16,Q450,IF(Select!$B$417=17,R450,IF(Select!$B$417=18,S450,IF(Select!$B$417=19,T450,IF(Select!$B$417=20,U450,"")))))))))))))))))))</f>
        <v/>
      </c>
      <c r="C450" s="352" t="s">
        <v>371</v>
      </c>
      <c r="D450" s="352" t="s">
        <v>371</v>
      </c>
      <c r="E450" s="425" t="s">
        <v>371</v>
      </c>
      <c r="F450" s="352" t="s">
        <v>371</v>
      </c>
      <c r="G450" s="352" t="s">
        <v>371</v>
      </c>
      <c r="H450" s="352" t="s">
        <v>371</v>
      </c>
      <c r="I450" s="352" t="s">
        <v>371</v>
      </c>
      <c r="J450" s="352" t="s">
        <v>36</v>
      </c>
      <c r="K450" s="352" t="s">
        <v>36</v>
      </c>
      <c r="L450" s="352" t="s">
        <v>371</v>
      </c>
      <c r="M450" s="352" t="s">
        <v>371</v>
      </c>
      <c r="N450" s="352" t="s">
        <v>36</v>
      </c>
      <c r="O450" s="426" t="s">
        <v>371</v>
      </c>
      <c r="P450" s="430" t="s">
        <v>371</v>
      </c>
      <c r="Q450" s="426" t="s">
        <v>371</v>
      </c>
      <c r="R450" s="430" t="s">
        <v>371</v>
      </c>
      <c r="S450" s="430" t="s">
        <v>371</v>
      </c>
      <c r="T450" s="430" t="s">
        <v>371</v>
      </c>
      <c r="U450" s="430" t="s">
        <v>371</v>
      </c>
    </row>
    <row r="451" spans="1:22" s="352" customFormat="1">
      <c r="A451" s="507"/>
      <c r="B451" s="430" t="str">
        <f>IF(Select!$B$417=2,C451,IF(Select!$B$417=3,D451,IF(Select!$B$417=4,E451,IF(Select!$B$417=5,F451,IF(Select!$B$417=6,G451,IF(Select!$B$417=7,H451,IF(Select!$B$417=8,I451,IF(Select!$B$417=9,J451,IF(Select!$B$417=10,K451,IF(Select!$B$417=11,L451,IF(Select!$B$417=12,M451,IF(Select!$B$417=13,N451,IF(Select!$B$417=14,O451,IF(Select!$B$417=15,P451,IF(Select!$B$417=16,Q451,IF(Select!$B$417=17,R451,IF(Select!$B$417=18,S451,IF(Select!$B$417=19,T451,IF(Select!$B$417=20,U451,"")))))))))))))))))))</f>
        <v/>
      </c>
      <c r="C451" s="352" t="s">
        <v>372</v>
      </c>
      <c r="D451" s="352" t="s">
        <v>372</v>
      </c>
      <c r="E451" s="425" t="s">
        <v>372</v>
      </c>
      <c r="F451" s="352" t="s">
        <v>372</v>
      </c>
      <c r="G451" s="352" t="s">
        <v>372</v>
      </c>
      <c r="H451" s="352" t="s">
        <v>372</v>
      </c>
      <c r="I451" s="352" t="s">
        <v>372</v>
      </c>
      <c r="J451" s="352" t="s">
        <v>372</v>
      </c>
      <c r="K451" s="352" t="s">
        <v>372</v>
      </c>
      <c r="L451" s="352" t="s">
        <v>372</v>
      </c>
      <c r="M451" s="352" t="s">
        <v>372</v>
      </c>
      <c r="N451" s="352" t="s">
        <v>372</v>
      </c>
      <c r="O451" s="426" t="s">
        <v>372</v>
      </c>
      <c r="P451" s="430" t="s">
        <v>372</v>
      </c>
      <c r="Q451" s="426" t="s">
        <v>372</v>
      </c>
      <c r="R451" s="430" t="s">
        <v>372</v>
      </c>
      <c r="S451" s="430" t="s">
        <v>372</v>
      </c>
      <c r="T451" s="430" t="s">
        <v>372</v>
      </c>
      <c r="U451" s="430" t="s">
        <v>372</v>
      </c>
    </row>
    <row r="452" spans="1:22" s="520" customFormat="1">
      <c r="B452" s="520" t="str">
        <f>IF(Select!$B$417=2,C452,IF(Select!$B$417=3,D452,IF(Select!$B$417=4,E452,IF(Select!$B$417=5,F452,IF(Select!$B$417=6,G452,IF(Select!$B$417=7,H452,IF(Select!$B$417=8,I452,IF(Select!$B$417=9,J452,IF(Select!$B$417=10,K452,IF(Select!$B$417=11,L452,IF(Select!$B$417=12,M452,IF(Select!$B$417=13,N452,IF(Select!$B$417=14,O452,IF(Select!$B$417=15,P452,IF(Select!$B$417=16,Q452,IF(Select!$B$417=17,R452,IF(Select!$B$417=18,S452,IF(Select!$B$417=19,T452,IF(Select!$B$417=20,U452,"")))))))))))))))))))</f>
        <v/>
      </c>
      <c r="C452" s="520" t="s">
        <v>36</v>
      </c>
      <c r="D452" s="520" t="s">
        <v>36</v>
      </c>
      <c r="E452" s="520" t="s">
        <v>36</v>
      </c>
      <c r="F452" s="520" t="s">
        <v>3213</v>
      </c>
      <c r="G452" s="520" t="s">
        <v>3213</v>
      </c>
      <c r="H452" s="520" t="s">
        <v>3213</v>
      </c>
      <c r="I452" s="520" t="s">
        <v>3213</v>
      </c>
      <c r="J452" s="520" t="s">
        <v>36</v>
      </c>
      <c r="K452" s="520" t="s">
        <v>36</v>
      </c>
      <c r="L452" s="520" t="s">
        <v>36</v>
      </c>
      <c r="M452" s="520" t="s">
        <v>36</v>
      </c>
      <c r="N452" s="520" t="s">
        <v>36</v>
      </c>
      <c r="O452" s="520" t="s">
        <v>3213</v>
      </c>
      <c r="P452" s="520" t="s">
        <v>3213</v>
      </c>
      <c r="Q452" s="520" t="s">
        <v>3213</v>
      </c>
      <c r="R452" s="520" t="s">
        <v>3213</v>
      </c>
      <c r="S452" s="520" t="s">
        <v>3213</v>
      </c>
      <c r="T452" s="520" t="s">
        <v>3213</v>
      </c>
      <c r="U452" s="520" t="s">
        <v>36</v>
      </c>
    </row>
    <row r="453" spans="1:22" s="352" customFormat="1">
      <c r="A453" s="507"/>
      <c r="B453" s="430" t="str">
        <f>IF(Select!$B$417=2,C453,IF(Select!$B$417=3,D453,IF(Select!$B$417=4,E453,IF(Select!$B$417=5,F453,IF(Select!$B$417=6,G453,IF(Select!$B$417=7,H453,IF(Select!$B$417=8,I453,IF(Select!$B$417=9,J453,IF(Select!$B$417=10,K453,IF(Select!$B$417=11,L453,IF(Select!$B$417=12,M453,IF(Select!$B$417=13,N453,IF(Select!$B$417=14,O453,IF(Select!$B$417=15,P453,IF(Select!$B$417=16,Q453,IF(Select!$B$417=17,R453,IF(Select!$B$417=18,S453,IF(Select!$B$417=19,T453,IF(Select!$B$417=20,U453,"")))))))))))))))))))</f>
        <v/>
      </c>
      <c r="C453" s="352" t="s">
        <v>373</v>
      </c>
      <c r="D453" s="352" t="s">
        <v>373</v>
      </c>
      <c r="E453" s="425" t="s">
        <v>373</v>
      </c>
      <c r="F453" s="352" t="s">
        <v>373</v>
      </c>
      <c r="G453" s="352" t="s">
        <v>373</v>
      </c>
      <c r="H453" s="352" t="s">
        <v>373</v>
      </c>
      <c r="I453" s="352" t="s">
        <v>373</v>
      </c>
      <c r="J453" s="352" t="s">
        <v>373</v>
      </c>
      <c r="K453" s="352" t="s">
        <v>373</v>
      </c>
      <c r="L453" s="352" t="s">
        <v>373</v>
      </c>
      <c r="M453" s="352" t="s">
        <v>373</v>
      </c>
      <c r="N453" s="352" t="s">
        <v>373</v>
      </c>
      <c r="O453" s="426" t="s">
        <v>373</v>
      </c>
      <c r="P453" s="430" t="s">
        <v>373</v>
      </c>
      <c r="Q453" s="426" t="s">
        <v>373</v>
      </c>
      <c r="R453" s="430" t="s">
        <v>373</v>
      </c>
      <c r="S453" s="430" t="s">
        <v>373</v>
      </c>
      <c r="T453" s="430" t="s">
        <v>373</v>
      </c>
      <c r="U453" s="430" t="s">
        <v>373</v>
      </c>
    </row>
    <row r="454" spans="1:22" s="352" customFormat="1">
      <c r="A454" s="507"/>
      <c r="B454" s="430" t="str">
        <f>IF(Select!$B$417=2,C454,IF(Select!$B$417=3,D454,IF(Select!$B$417=4,E454,IF(Select!$B$417=5,F454,IF(Select!$B$417=6,G454,IF(Select!$B$417=7,H454,IF(Select!$B$417=8,I454,IF(Select!$B$417=9,J454,IF(Select!$B$417=10,K454,IF(Select!$B$417=11,L454,IF(Select!$B$417=12,M454,IF(Select!$B$417=13,N454,IF(Select!$B$417=14,O454,IF(Select!$B$417=15,P454,IF(Select!$B$417=16,Q454,IF(Select!$B$417=17,R454,IF(Select!$B$417=18,S454,IF(Select!$B$417=19,T454,IF(Select!$B$417=20,U454,"")))))))))))))))))))</f>
        <v/>
      </c>
      <c r="C454" s="352" t="s">
        <v>374</v>
      </c>
      <c r="D454" s="352" t="s">
        <v>374</v>
      </c>
      <c r="E454" s="425" t="s">
        <v>374</v>
      </c>
      <c r="F454" s="352" t="s">
        <v>374</v>
      </c>
      <c r="G454" s="352" t="s">
        <v>374</v>
      </c>
      <c r="H454" s="352" t="s">
        <v>374</v>
      </c>
      <c r="I454" s="352" t="s">
        <v>374</v>
      </c>
      <c r="J454" s="352" t="s">
        <v>374</v>
      </c>
      <c r="K454" s="352" t="s">
        <v>374</v>
      </c>
      <c r="L454" s="352" t="s">
        <v>374</v>
      </c>
      <c r="M454" s="352" t="s">
        <v>374</v>
      </c>
      <c r="N454" s="352" t="s">
        <v>374</v>
      </c>
      <c r="O454" s="426" t="s">
        <v>374</v>
      </c>
      <c r="P454" s="430" t="s">
        <v>374</v>
      </c>
      <c r="Q454" s="426" t="s">
        <v>374</v>
      </c>
      <c r="R454" s="430" t="s">
        <v>374</v>
      </c>
      <c r="S454" s="430" t="s">
        <v>374</v>
      </c>
      <c r="T454" s="430" t="s">
        <v>374</v>
      </c>
      <c r="U454" s="430" t="s">
        <v>374</v>
      </c>
    </row>
    <row r="455" spans="1:22" s="352" customFormat="1">
      <c r="A455" s="507"/>
      <c r="B455" s="430" t="str">
        <f>IF(Select!$B$417=2,C455,IF(Select!$B$417=3,D455,IF(Select!$B$417=4,E455,IF(Select!$B$417=5,F455,IF(Select!$B$417=6,G455,IF(Select!$B$417=7,H455,IF(Select!$B$417=8,I455,IF(Select!$B$417=9,J455,IF(Select!$B$417=10,K455,IF(Select!$B$417=11,L455,IF(Select!$B$417=12,M455,IF(Select!$B$417=13,N455,IF(Select!$B$417=14,O455,IF(Select!$B$417=15,P455,IF(Select!$B$417=16,Q455,IF(Select!$B$417=17,R455,IF(Select!$B$417=18,S455,IF(Select!$B$417=19,T455,IF(Select!$B$417=20,U455,"")))))))))))))))))))</f>
        <v/>
      </c>
      <c r="C455" s="352" t="s">
        <v>1161</v>
      </c>
      <c r="D455" s="352" t="s">
        <v>1161</v>
      </c>
      <c r="E455" s="425" t="s">
        <v>1161</v>
      </c>
      <c r="F455" s="352" t="s">
        <v>1161</v>
      </c>
      <c r="G455" s="352" t="s">
        <v>1161</v>
      </c>
      <c r="H455" s="352" t="s">
        <v>36</v>
      </c>
      <c r="I455" s="352" t="s">
        <v>36</v>
      </c>
      <c r="J455" s="352" t="s">
        <v>36</v>
      </c>
      <c r="K455" s="352" t="s">
        <v>36</v>
      </c>
      <c r="L455" s="352" t="s">
        <v>36</v>
      </c>
      <c r="M455" s="352" t="s">
        <v>36</v>
      </c>
      <c r="N455" s="352" t="s">
        <v>36</v>
      </c>
      <c r="O455" s="426" t="s">
        <v>36</v>
      </c>
      <c r="P455" s="426" t="s">
        <v>36</v>
      </c>
      <c r="Q455" s="426" t="s">
        <v>36</v>
      </c>
      <c r="R455" s="430" t="s">
        <v>36</v>
      </c>
      <c r="S455" s="430" t="s">
        <v>36</v>
      </c>
      <c r="T455" s="430" t="s">
        <v>36</v>
      </c>
      <c r="U455" s="430" t="s">
        <v>36</v>
      </c>
    </row>
    <row r="456" spans="1:22" s="352" customFormat="1">
      <c r="A456" s="507"/>
      <c r="B456" s="430" t="str">
        <f>IF(Select!$B$417=2,C456,IF(Select!$B$417=3,D456,IF(Select!$B$417=4,E456,IF(Select!$B$417=5,F456,IF(Select!$B$417=6,G456,IF(Select!$B$417=7,H456,IF(Select!$B$417=8,I456,IF(Select!$B$417=9,J456,IF(Select!$B$417=10,K456,IF(Select!$B$417=11,L456,IF(Select!$B$417=12,M456,IF(Select!$B$417=13,N456,IF(Select!$B$417=14,O456,IF(Select!$B$417=15,P456,IF(Select!$B$417=16,Q456,IF(Select!$B$417=17,R456,IF(Select!$B$417=18,S456,IF(Select!$B$417=19,T456,IF(Select!$B$417=20,U456,"")))))))))))))))))))</f>
        <v/>
      </c>
      <c r="C456" s="352" t="s">
        <v>1624</v>
      </c>
      <c r="D456" s="352" t="s">
        <v>1624</v>
      </c>
      <c r="E456" s="425" t="s">
        <v>1624</v>
      </c>
      <c r="F456" s="352" t="s">
        <v>1624</v>
      </c>
      <c r="G456" s="352" t="s">
        <v>1624</v>
      </c>
      <c r="H456" s="352" t="s">
        <v>36</v>
      </c>
      <c r="I456" s="352" t="s">
        <v>36</v>
      </c>
      <c r="J456" s="352" t="s">
        <v>36</v>
      </c>
      <c r="K456" s="352" t="s">
        <v>36</v>
      </c>
      <c r="L456" s="352" t="s">
        <v>36</v>
      </c>
      <c r="M456" s="352" t="s">
        <v>36</v>
      </c>
      <c r="N456" s="352" t="s">
        <v>36</v>
      </c>
      <c r="O456" s="426" t="s">
        <v>36</v>
      </c>
      <c r="P456" s="426" t="s">
        <v>36</v>
      </c>
      <c r="Q456" s="426" t="s">
        <v>36</v>
      </c>
      <c r="R456" s="430" t="s">
        <v>36</v>
      </c>
      <c r="S456" s="430" t="s">
        <v>36</v>
      </c>
      <c r="T456" s="430" t="s">
        <v>36</v>
      </c>
      <c r="U456" s="430" t="s">
        <v>36</v>
      </c>
    </row>
    <row r="457" spans="1:22" s="352" customFormat="1">
      <c r="A457" s="507"/>
      <c r="B457" s="430" t="str">
        <f>IF(Select!$B$417=2,C457,IF(Select!$B$417=3,D457,IF(Select!$B$417=4,E457,IF(Select!$B$417=5,F457,IF(Select!$B$417=6,G457,IF(Select!$B$417=7,H457,IF(Select!$B$417=8,I457,IF(Select!$B$417=9,J457,IF(Select!$B$417=10,K457,IF(Select!$B$417=11,L457,IF(Select!$B$417=12,M457,IF(Select!$B$417=13,N457,IF(Select!$B$417=14,O457,IF(Select!$B$417=15,P457,IF(Select!$B$417=16,Q457,IF(Select!$B$417=17,R457,IF(Select!$B$417=18,S457,IF(Select!$B$417=19,T457,IF(Select!$B$417=20,U457,"")))))))))))))))))))</f>
        <v/>
      </c>
      <c r="C457" s="352" t="s">
        <v>411</v>
      </c>
      <c r="D457" s="352" t="s">
        <v>411</v>
      </c>
      <c r="E457" s="425" t="s">
        <v>411</v>
      </c>
      <c r="F457" s="352" t="s">
        <v>411</v>
      </c>
      <c r="G457" s="352" t="s">
        <v>411</v>
      </c>
      <c r="H457" s="352" t="s">
        <v>36</v>
      </c>
      <c r="I457" s="352" t="s">
        <v>36</v>
      </c>
      <c r="J457" s="352" t="s">
        <v>36</v>
      </c>
      <c r="K457" s="352" t="s">
        <v>36</v>
      </c>
      <c r="L457" s="352" t="s">
        <v>36</v>
      </c>
      <c r="M457" s="352" t="s">
        <v>36</v>
      </c>
      <c r="N457" s="352" t="s">
        <v>36</v>
      </c>
      <c r="O457" s="426" t="s">
        <v>36</v>
      </c>
      <c r="P457" s="426" t="s">
        <v>36</v>
      </c>
      <c r="Q457" s="426" t="s">
        <v>36</v>
      </c>
      <c r="R457" s="430" t="s">
        <v>36</v>
      </c>
      <c r="S457" s="430" t="s">
        <v>36</v>
      </c>
      <c r="T457" s="430" t="s">
        <v>36</v>
      </c>
      <c r="U457" s="430" t="s">
        <v>36</v>
      </c>
    </row>
    <row r="458" spans="1:22" s="352" customFormat="1">
      <c r="A458" s="507"/>
      <c r="B458" s="430" t="str">
        <f>IF(Select!$B$417=2,C458,IF(Select!$B$417=3,D458,IF(Select!$B$417=4,E458,IF(Select!$B$417=5,F458,IF(Select!$B$417=6,G458,IF(Select!$B$417=7,H458,IF(Select!$B$417=8,I458,IF(Select!$B$417=9,J458,IF(Select!$B$417=10,K458,IF(Select!$B$417=11,L458,IF(Select!$B$417=12,M458,IF(Select!$B$417=13,N458,IF(Select!$B$417=14,O458,IF(Select!$B$417=15,P458,IF(Select!$B$417=16,Q458,IF(Select!$B$417=17,R458,IF(Select!$B$417=18,S458,IF(Select!$B$417=19,T458,IF(Select!$B$417=20,U458,"")))))))))))))))))))</f>
        <v/>
      </c>
      <c r="C458" s="352" t="s">
        <v>412</v>
      </c>
      <c r="D458" s="352" t="s">
        <v>412</v>
      </c>
      <c r="E458" s="425" t="s">
        <v>412</v>
      </c>
      <c r="F458" s="352" t="s">
        <v>412</v>
      </c>
      <c r="G458" s="352" t="s">
        <v>412</v>
      </c>
      <c r="H458" s="352" t="s">
        <v>412</v>
      </c>
      <c r="I458" s="352" t="s">
        <v>412</v>
      </c>
      <c r="J458" s="352" t="s">
        <v>412</v>
      </c>
      <c r="K458" s="352" t="s">
        <v>412</v>
      </c>
      <c r="L458" s="352" t="s">
        <v>36</v>
      </c>
      <c r="M458" s="352" t="s">
        <v>36</v>
      </c>
      <c r="N458" s="352" t="s">
        <v>36</v>
      </c>
      <c r="O458" s="426" t="s">
        <v>36</v>
      </c>
      <c r="P458" s="426" t="s">
        <v>36</v>
      </c>
      <c r="Q458" s="426" t="s">
        <v>36</v>
      </c>
      <c r="R458" s="430" t="s">
        <v>36</v>
      </c>
      <c r="S458" s="430" t="s">
        <v>36</v>
      </c>
      <c r="T458" s="430" t="s">
        <v>36</v>
      </c>
      <c r="U458" s="430" t="s">
        <v>36</v>
      </c>
    </row>
    <row r="459" spans="1:22" s="495" customFormat="1">
      <c r="A459" s="507"/>
      <c r="B459" s="495" t="str">
        <f>IF(Select!$B$417=2,C459,IF(Select!$B$417=3,D459,IF(Select!$B$417=4,E459,IF(Select!$B$417=5,F459,IF(Select!$B$417=6,G459,IF(Select!$B$417=7,H459,IF(Select!$B$417=8,I459,IF(Select!$B$417=9,J459,IF(Select!$B$417=10,K459,IF(Select!$B$417=11,L459,IF(Select!$B$417=12,M459,IF(Select!$B$417=13,N459,IF(Select!$B$417=14,O459,IF(Select!$B$417=15,P459,IF(Select!$B$417=16,Q459,IF(Select!$B$417=17,R459,IF(Select!$B$417=18,S459,IF(Select!$B$417=19,T459,IF(Select!$B$417=20,U459,"")))))))))))))))))))</f>
        <v/>
      </c>
      <c r="C459" s="495" t="s">
        <v>36</v>
      </c>
      <c r="D459" s="495" t="s">
        <v>36</v>
      </c>
      <c r="E459" s="495" t="s">
        <v>36</v>
      </c>
      <c r="F459" s="495" t="s">
        <v>36</v>
      </c>
      <c r="G459" s="495" t="s">
        <v>36</v>
      </c>
      <c r="H459" s="495" t="s">
        <v>2571</v>
      </c>
      <c r="I459" s="495" t="s">
        <v>2571</v>
      </c>
      <c r="J459" s="495" t="s">
        <v>2571</v>
      </c>
      <c r="K459" s="495" t="s">
        <v>2571</v>
      </c>
      <c r="L459" s="495" t="s">
        <v>36</v>
      </c>
      <c r="M459" s="495" t="s">
        <v>36</v>
      </c>
      <c r="N459" s="495" t="s">
        <v>36</v>
      </c>
      <c r="O459" s="495" t="s">
        <v>36</v>
      </c>
      <c r="P459" s="495" t="s">
        <v>36</v>
      </c>
      <c r="Q459" s="495" t="s">
        <v>36</v>
      </c>
      <c r="R459" s="495" t="s">
        <v>36</v>
      </c>
      <c r="S459" s="495" t="s">
        <v>36</v>
      </c>
      <c r="T459" s="495" t="s">
        <v>36</v>
      </c>
      <c r="U459" s="495" t="s">
        <v>36</v>
      </c>
      <c r="V459" s="495" t="s">
        <v>36</v>
      </c>
    </row>
    <row r="460" spans="1:22" s="352" customFormat="1">
      <c r="A460" s="507"/>
      <c r="B460" s="430" t="str">
        <f>IF(Select!$B$417=2,C460,IF(Select!$B$417=3,D460,IF(Select!$B$417=4,E460,IF(Select!$B$417=5,F460,IF(Select!$B$417=6,G460,IF(Select!$B$417=7,H460,IF(Select!$B$417=8,I460,IF(Select!$B$417=9,J460,IF(Select!$B$417=10,K460,IF(Select!$B$417=11,L460,IF(Select!$B$417=12,M460,IF(Select!$B$417=13,N460,IF(Select!$B$417=14,O460,IF(Select!$B$417=15,P460,IF(Select!$B$417=16,Q460,IF(Select!$B$417=17,R460,IF(Select!$B$417=18,S460,IF(Select!$B$417=19,T460,IF(Select!$B$417=20,U460,"")))))))))))))))))))</f>
        <v/>
      </c>
      <c r="C460" s="352" t="s">
        <v>36</v>
      </c>
      <c r="D460" s="352" t="s">
        <v>36</v>
      </c>
      <c r="F460" s="352" t="s">
        <v>36</v>
      </c>
      <c r="G460" s="352" t="s">
        <v>36</v>
      </c>
      <c r="H460" s="352" t="s">
        <v>413</v>
      </c>
      <c r="I460" s="352" t="s">
        <v>413</v>
      </c>
      <c r="J460" s="352" t="s">
        <v>413</v>
      </c>
      <c r="K460" s="352" t="s">
        <v>413</v>
      </c>
      <c r="L460" s="352" t="s">
        <v>36</v>
      </c>
      <c r="M460" s="352" t="s">
        <v>36</v>
      </c>
      <c r="N460" s="352" t="s">
        <v>36</v>
      </c>
      <c r="O460" s="426" t="s">
        <v>36</v>
      </c>
      <c r="P460" s="426" t="s">
        <v>36</v>
      </c>
      <c r="Q460" s="426" t="s">
        <v>36</v>
      </c>
      <c r="R460" s="430" t="s">
        <v>36</v>
      </c>
      <c r="S460" s="430" t="s">
        <v>36</v>
      </c>
      <c r="T460" s="430" t="s">
        <v>36</v>
      </c>
      <c r="U460" s="430" t="s">
        <v>36</v>
      </c>
    </row>
    <row r="461" spans="1:22" s="352" customFormat="1">
      <c r="A461" s="507"/>
      <c r="B461" s="430" t="str">
        <f>IF(Select!$B$417=2,C461,IF(Select!$B$417=3,D461,IF(Select!$B$417=4,E461,IF(Select!$B$417=5,F461,IF(Select!$B$417=6,G461,IF(Select!$B$417=7,H461,IF(Select!$B$417=8,I461,IF(Select!$B$417=9,J461,IF(Select!$B$417=10,K461,IF(Select!$B$417=11,L461,IF(Select!$B$417=12,M461,IF(Select!$B$417=13,N461,IF(Select!$B$417=14,O461,IF(Select!$B$417=15,P461,IF(Select!$B$417=16,Q461,IF(Select!$B$417=17,R461,IF(Select!$B$417=18,S461,IF(Select!$B$417=19,T461,IF(Select!$B$417=20,U461,"")))))))))))))))))))</f>
        <v/>
      </c>
      <c r="C461" s="352" t="s">
        <v>36</v>
      </c>
      <c r="D461" s="352" t="s">
        <v>36</v>
      </c>
      <c r="F461" s="352" t="s">
        <v>36</v>
      </c>
      <c r="G461" s="352" t="s">
        <v>36</v>
      </c>
      <c r="H461" s="352" t="s">
        <v>508</v>
      </c>
      <c r="I461" s="352" t="s">
        <v>508</v>
      </c>
      <c r="J461" s="352" t="s">
        <v>508</v>
      </c>
      <c r="K461" s="352" t="s">
        <v>508</v>
      </c>
      <c r="L461" s="352" t="s">
        <v>36</v>
      </c>
      <c r="M461" s="352" t="s">
        <v>36</v>
      </c>
      <c r="N461" s="352" t="s">
        <v>36</v>
      </c>
      <c r="O461" s="426" t="s">
        <v>36</v>
      </c>
      <c r="P461" s="426" t="s">
        <v>36</v>
      </c>
      <c r="Q461" s="426" t="s">
        <v>36</v>
      </c>
      <c r="R461" s="430" t="s">
        <v>36</v>
      </c>
      <c r="S461" s="430" t="s">
        <v>36</v>
      </c>
      <c r="T461" s="430" t="s">
        <v>36</v>
      </c>
      <c r="U461" s="430" t="s">
        <v>36</v>
      </c>
    </row>
    <row r="462" spans="1:22" s="352" customFormat="1">
      <c r="A462" s="507"/>
      <c r="B462" s="352" t="str">
        <f>IF(Select!$B$417=2,C462,IF(Select!$B$417=3,D462,IF(Select!$B$417=4,E462,IF(Select!$B$417=5,F462,IF(Select!$B$417=6,G462,IF(Select!$B$417=7,H462,IF(Select!$B$417=8,I462,IF(Select!$B$417=9,J462,IF(Select!$B$417=10,K462,IF(Select!$B$417=11,L462,IF(Select!$B$417=12,M462,"")))))))))))</f>
        <v/>
      </c>
      <c r="C462" s="352" t="s">
        <v>36</v>
      </c>
      <c r="D462" s="352" t="s">
        <v>36</v>
      </c>
      <c r="E462" s="352" t="s">
        <v>36</v>
      </c>
      <c r="F462" s="352" t="s">
        <v>36</v>
      </c>
      <c r="G462" s="352" t="s">
        <v>36</v>
      </c>
      <c r="H462" s="352" t="s">
        <v>36</v>
      </c>
      <c r="I462" s="352" t="s">
        <v>36</v>
      </c>
      <c r="J462" s="352" t="s">
        <v>36</v>
      </c>
      <c r="K462" s="352" t="s">
        <v>36</v>
      </c>
      <c r="L462" s="352" t="s">
        <v>36</v>
      </c>
      <c r="M462" s="352" t="s">
        <v>36</v>
      </c>
      <c r="N462" s="352" t="s">
        <v>36</v>
      </c>
      <c r="O462" s="352" t="s">
        <v>36</v>
      </c>
      <c r="P462" s="352" t="s">
        <v>36</v>
      </c>
    </row>
    <row r="463" spans="1:22" s="352" customFormat="1">
      <c r="A463" s="507"/>
    </row>
    <row r="464" spans="1:22">
      <c r="C464" s="146">
        <v>2</v>
      </c>
      <c r="D464" s="146">
        <v>3</v>
      </c>
      <c r="E464" s="352">
        <v>4</v>
      </c>
      <c r="F464" s="352">
        <v>5</v>
      </c>
      <c r="G464" s="352">
        <v>6</v>
      </c>
      <c r="H464" s="352">
        <v>7</v>
      </c>
      <c r="I464" s="352">
        <v>8</v>
      </c>
      <c r="J464" s="352">
        <v>9</v>
      </c>
      <c r="K464" s="352">
        <v>10</v>
      </c>
      <c r="L464" s="352">
        <v>11</v>
      </c>
      <c r="M464" s="352">
        <v>12</v>
      </c>
      <c r="N464" s="352">
        <v>13</v>
      </c>
      <c r="O464" s="352">
        <v>14</v>
      </c>
      <c r="P464" s="352">
        <v>15</v>
      </c>
      <c r="Q464" s="352">
        <v>16</v>
      </c>
      <c r="R464" s="352">
        <v>17</v>
      </c>
      <c r="S464" s="352">
        <v>18</v>
      </c>
      <c r="T464" s="352">
        <v>19</v>
      </c>
      <c r="U464" s="146">
        <v>20</v>
      </c>
      <c r="V464" s="352"/>
    </row>
    <row r="465" spans="2:21">
      <c r="C465" s="146" t="s">
        <v>509</v>
      </c>
      <c r="D465" s="146" t="s">
        <v>510</v>
      </c>
      <c r="E465" s="146" t="s">
        <v>511</v>
      </c>
      <c r="F465" s="146" t="s">
        <v>141</v>
      </c>
      <c r="G465" s="146" t="s">
        <v>512</v>
      </c>
      <c r="H465" s="146" t="s">
        <v>513</v>
      </c>
      <c r="I465" s="352" t="s">
        <v>1986</v>
      </c>
      <c r="J465" s="352" t="s">
        <v>370</v>
      </c>
      <c r="K465" s="352" t="s">
        <v>371</v>
      </c>
      <c r="L465" s="352" t="s">
        <v>372</v>
      </c>
      <c r="M465" s="520"/>
      <c r="N465" s="352" t="s">
        <v>373</v>
      </c>
      <c r="O465" s="352" t="s">
        <v>374</v>
      </c>
      <c r="P465" s="352" t="s">
        <v>514</v>
      </c>
      <c r="Q465" s="352" t="s">
        <v>515</v>
      </c>
      <c r="R465" s="352" t="s">
        <v>516</v>
      </c>
      <c r="S465" s="352" t="s">
        <v>517</v>
      </c>
      <c r="T465" s="352" t="s">
        <v>518</v>
      </c>
      <c r="U465" s="352" t="s">
        <v>519</v>
      </c>
    </row>
    <row r="466" spans="2:21">
      <c r="B466" s="146">
        <v>1</v>
      </c>
      <c r="J466" s="352"/>
      <c r="K466" s="352"/>
      <c r="L466" s="352"/>
      <c r="M466" s="520" t="s">
        <v>36</v>
      </c>
      <c r="N466" s="352"/>
      <c r="O466" s="352"/>
      <c r="P466" s="352"/>
      <c r="Q466" s="352"/>
      <c r="R466" s="352"/>
      <c r="S466" s="352"/>
      <c r="T466" s="352"/>
      <c r="U466" s="352"/>
    </row>
    <row r="467" spans="2:21">
      <c r="J467" s="352"/>
      <c r="K467" s="352"/>
      <c r="L467" s="352"/>
      <c r="M467" s="520" t="s">
        <v>36</v>
      </c>
      <c r="N467" s="352"/>
      <c r="O467" s="352"/>
      <c r="P467" s="352"/>
      <c r="Q467" s="352"/>
      <c r="R467" s="352"/>
      <c r="S467" s="352"/>
      <c r="T467" s="352"/>
      <c r="U467" s="352"/>
    </row>
    <row r="468" spans="2:21">
      <c r="B468" s="146" t="str">
        <f>IF($B$440=2,C468,IF($B$440=3,D468,IF($B$440=4,E468,IF($B$440=5,F468,IF($B$440=6,G468,IF($B$440=7,H468,IF($B$440=8,I468,IF($B$440=9,J468,IF($B$440=10,K468,IF($B$440=11,L468,IF($B$440=12,M468,IF($B$440=13,N468,IF($B$440=14,O468,IF($B$440=15,P468,IF($B$440=16,Q468,IF($B$440=17,R468,IF($B$440=18,S468,IF($B$440=19,T468,IF($B$440=20,U468,"")))))))))))))))))))</f>
        <v/>
      </c>
      <c r="C468" s="146" t="s">
        <v>36</v>
      </c>
      <c r="D468" s="146" t="s">
        <v>36</v>
      </c>
      <c r="E468" s="146" t="s">
        <v>36</v>
      </c>
      <c r="F468" s="426" t="s">
        <v>36</v>
      </c>
      <c r="G468" s="146" t="s">
        <v>36</v>
      </c>
      <c r="H468" s="146" t="s">
        <v>36</v>
      </c>
      <c r="I468" s="146" t="s">
        <v>36</v>
      </c>
      <c r="J468" s="352" t="s">
        <v>36</v>
      </c>
      <c r="K468" s="352" t="s">
        <v>36</v>
      </c>
      <c r="L468" s="352" t="s">
        <v>36</v>
      </c>
      <c r="M468" s="520" t="s">
        <v>36</v>
      </c>
      <c r="N468" s="352" t="s">
        <v>36</v>
      </c>
      <c r="O468" s="352" t="s">
        <v>36</v>
      </c>
      <c r="P468" s="352" t="s">
        <v>506</v>
      </c>
      <c r="Q468" s="502" t="s">
        <v>2589</v>
      </c>
      <c r="R468" s="352" t="s">
        <v>54</v>
      </c>
      <c r="S468" s="352" t="s">
        <v>54</v>
      </c>
      <c r="T468" s="352" t="s">
        <v>54</v>
      </c>
      <c r="U468" s="352" t="s">
        <v>54</v>
      </c>
    </row>
    <row r="469" spans="2:21">
      <c r="B469" s="520" t="str">
        <f t="shared" ref="B469:B485" si="50">IF($B$440=2,C469,IF($B$440=3,D469,IF($B$440=4,E469,IF($B$440=5,F469,IF($B$440=6,G469,IF($B$440=7,H469,IF($B$440=8,I469,IF($B$440=9,J469,IF($B$440=10,K469,IF($B$440=11,L469,IF($B$440=12,M469,IF($B$440=13,N469,IF($B$440=14,O469,IF($B$440=15,P469,IF($B$440=16,Q469,IF($B$440=17,R469,IF($B$440=18,S469,IF($B$440=19,T469,IF($B$440=20,U469,"")))))))))))))))))))</f>
        <v/>
      </c>
      <c r="C469" s="146" t="s">
        <v>36</v>
      </c>
      <c r="D469" s="146" t="s">
        <v>36</v>
      </c>
      <c r="E469" s="427" t="s">
        <v>36</v>
      </c>
      <c r="F469" s="146" t="s">
        <v>12</v>
      </c>
      <c r="G469" s="146" t="s">
        <v>36</v>
      </c>
      <c r="H469" s="146" t="s">
        <v>36</v>
      </c>
      <c r="I469" s="520" t="s">
        <v>36</v>
      </c>
      <c r="J469" s="352" t="s">
        <v>36</v>
      </c>
      <c r="K469" s="427" t="s">
        <v>36</v>
      </c>
      <c r="L469" s="352" t="s">
        <v>13</v>
      </c>
      <c r="M469" s="520" t="s">
        <v>36</v>
      </c>
      <c r="N469" s="352" t="s">
        <v>36</v>
      </c>
      <c r="O469" s="352" t="s">
        <v>435</v>
      </c>
      <c r="P469" s="352" t="s">
        <v>36</v>
      </c>
      <c r="Q469" s="502" t="s">
        <v>2590</v>
      </c>
      <c r="R469" s="352" t="s">
        <v>36</v>
      </c>
      <c r="S469" s="352" t="s">
        <v>36</v>
      </c>
      <c r="T469" s="352" t="s">
        <v>36</v>
      </c>
      <c r="U469" s="352" t="s">
        <v>36</v>
      </c>
    </row>
    <row r="470" spans="2:21">
      <c r="B470" s="520" t="str">
        <f t="shared" si="50"/>
        <v/>
      </c>
      <c r="C470" s="146" t="s">
        <v>36</v>
      </c>
      <c r="D470" s="146" t="s">
        <v>36</v>
      </c>
      <c r="E470" s="427" t="s">
        <v>36</v>
      </c>
      <c r="F470" s="146" t="s">
        <v>14</v>
      </c>
      <c r="G470" s="146" t="s">
        <v>36</v>
      </c>
      <c r="H470" s="146" t="s">
        <v>36</v>
      </c>
      <c r="I470" s="520" t="s">
        <v>36</v>
      </c>
      <c r="J470" s="352" t="s">
        <v>36</v>
      </c>
      <c r="K470" s="352" t="s">
        <v>36</v>
      </c>
      <c r="L470" s="352" t="s">
        <v>15</v>
      </c>
      <c r="M470" s="520" t="s">
        <v>36</v>
      </c>
      <c r="N470" s="352" t="s">
        <v>36</v>
      </c>
      <c r="O470" s="352" t="s">
        <v>379</v>
      </c>
      <c r="P470" s="352" t="s">
        <v>36</v>
      </c>
      <c r="Q470" s="352" t="s">
        <v>36</v>
      </c>
      <c r="R470" s="352" t="s">
        <v>36</v>
      </c>
      <c r="S470" s="352" t="s">
        <v>36</v>
      </c>
      <c r="T470" s="352" t="s">
        <v>36</v>
      </c>
      <c r="U470" s="352" t="s">
        <v>36</v>
      </c>
    </row>
    <row r="471" spans="2:21">
      <c r="B471" s="520" t="str">
        <f t="shared" si="50"/>
        <v/>
      </c>
      <c r="C471" s="146" t="s">
        <v>16</v>
      </c>
      <c r="D471" s="146" t="s">
        <v>16</v>
      </c>
      <c r="E471" s="146" t="s">
        <v>16</v>
      </c>
      <c r="F471" s="146" t="s">
        <v>16</v>
      </c>
      <c r="G471" s="146" t="s">
        <v>36</v>
      </c>
      <c r="H471" s="146" t="s">
        <v>36</v>
      </c>
      <c r="I471" s="520" t="s">
        <v>36</v>
      </c>
      <c r="J471" s="352" t="s">
        <v>36</v>
      </c>
      <c r="K471" s="352" t="s">
        <v>17</v>
      </c>
      <c r="L471" s="352" t="s">
        <v>17</v>
      </c>
      <c r="M471" s="520" t="s">
        <v>36</v>
      </c>
      <c r="N471" s="352" t="s">
        <v>36</v>
      </c>
      <c r="O471" s="352" t="s">
        <v>436</v>
      </c>
      <c r="P471" s="352" t="s">
        <v>36</v>
      </c>
      <c r="Q471" s="352" t="s">
        <v>36</v>
      </c>
      <c r="R471" s="352" t="s">
        <v>36</v>
      </c>
      <c r="S471" s="352" t="s">
        <v>36</v>
      </c>
      <c r="T471" s="352" t="s">
        <v>36</v>
      </c>
      <c r="U471" s="352" t="s">
        <v>36</v>
      </c>
    </row>
    <row r="472" spans="2:21">
      <c r="B472" s="520" t="str">
        <f t="shared" si="50"/>
        <v/>
      </c>
      <c r="C472" s="146" t="s">
        <v>36</v>
      </c>
      <c r="D472" s="146" t="s">
        <v>36</v>
      </c>
      <c r="E472" s="146" t="s">
        <v>36</v>
      </c>
      <c r="F472" s="146" t="s">
        <v>36</v>
      </c>
      <c r="G472" s="146" t="s">
        <v>36</v>
      </c>
      <c r="H472" s="146" t="s">
        <v>36</v>
      </c>
      <c r="I472" s="520" t="s">
        <v>36</v>
      </c>
      <c r="J472" s="352" t="s">
        <v>36</v>
      </c>
      <c r="K472" s="352" t="s">
        <v>36</v>
      </c>
      <c r="L472" s="352" t="s">
        <v>36</v>
      </c>
      <c r="M472" s="520" t="s">
        <v>36</v>
      </c>
      <c r="N472" s="352" t="s">
        <v>36</v>
      </c>
      <c r="O472" s="352" t="s">
        <v>36</v>
      </c>
      <c r="P472" s="352" t="s">
        <v>36</v>
      </c>
      <c r="Q472" s="352" t="s">
        <v>36</v>
      </c>
      <c r="R472" s="352" t="s">
        <v>36</v>
      </c>
      <c r="S472" s="352" t="s">
        <v>36</v>
      </c>
      <c r="T472" s="352" t="s">
        <v>36</v>
      </c>
      <c r="U472" s="352" t="s">
        <v>36</v>
      </c>
    </row>
    <row r="473" spans="2:21">
      <c r="B473" s="520" t="str">
        <f t="shared" si="50"/>
        <v/>
      </c>
      <c r="C473" s="146" t="s">
        <v>36</v>
      </c>
      <c r="D473" s="146" t="s">
        <v>36</v>
      </c>
      <c r="E473" s="146" t="s">
        <v>36</v>
      </c>
      <c r="F473" s="146" t="s">
        <v>18</v>
      </c>
      <c r="G473" s="146" t="s">
        <v>36</v>
      </c>
      <c r="H473" s="146" t="s">
        <v>36</v>
      </c>
      <c r="I473" s="520" t="s">
        <v>36</v>
      </c>
      <c r="J473" s="352" t="s">
        <v>36</v>
      </c>
      <c r="K473" s="352" t="s">
        <v>36</v>
      </c>
      <c r="L473" s="352" t="s">
        <v>36</v>
      </c>
      <c r="M473" s="520" t="s">
        <v>36</v>
      </c>
      <c r="N473" s="352" t="s">
        <v>36</v>
      </c>
      <c r="O473" s="352" t="s">
        <v>36</v>
      </c>
      <c r="P473" s="352" t="s">
        <v>36</v>
      </c>
      <c r="Q473" s="352" t="s">
        <v>36</v>
      </c>
      <c r="R473" s="352" t="s">
        <v>36</v>
      </c>
      <c r="S473" s="352" t="s">
        <v>36</v>
      </c>
      <c r="T473" s="352" t="s">
        <v>36</v>
      </c>
      <c r="U473" s="352" t="s">
        <v>36</v>
      </c>
    </row>
    <row r="474" spans="2:21">
      <c r="B474" s="520" t="str">
        <f t="shared" si="50"/>
        <v/>
      </c>
      <c r="C474" s="146" t="s">
        <v>36</v>
      </c>
      <c r="D474" s="146" t="s">
        <v>36</v>
      </c>
      <c r="E474" s="146" t="s">
        <v>36</v>
      </c>
      <c r="F474" s="146" t="s">
        <v>19</v>
      </c>
      <c r="G474" s="146" t="s">
        <v>36</v>
      </c>
      <c r="H474" s="146" t="s">
        <v>36</v>
      </c>
      <c r="I474" s="520" t="s">
        <v>36</v>
      </c>
      <c r="J474" s="352" t="s">
        <v>36</v>
      </c>
      <c r="K474" s="352" t="s">
        <v>36</v>
      </c>
      <c r="L474" s="352" t="s">
        <v>20</v>
      </c>
      <c r="M474" s="520" t="s">
        <v>36</v>
      </c>
      <c r="N474" s="352" t="s">
        <v>36</v>
      </c>
      <c r="O474" s="352" t="s">
        <v>36</v>
      </c>
      <c r="P474" s="352" t="s">
        <v>36</v>
      </c>
      <c r="Q474" s="352" t="s">
        <v>36</v>
      </c>
      <c r="R474" s="352" t="s">
        <v>36</v>
      </c>
      <c r="S474" s="352" t="s">
        <v>36</v>
      </c>
      <c r="T474" s="352" t="s">
        <v>36</v>
      </c>
      <c r="U474" s="352" t="s">
        <v>36</v>
      </c>
    </row>
    <row r="475" spans="2:21">
      <c r="B475" s="520" t="str">
        <f t="shared" si="50"/>
        <v/>
      </c>
      <c r="C475" s="146" t="s">
        <v>36</v>
      </c>
      <c r="D475" s="146" t="s">
        <v>36</v>
      </c>
      <c r="E475" s="146" t="s">
        <v>36</v>
      </c>
      <c r="F475" s="146" t="s">
        <v>36</v>
      </c>
      <c r="G475" s="146" t="s">
        <v>36</v>
      </c>
      <c r="H475" s="146" t="s">
        <v>36</v>
      </c>
      <c r="I475" s="520" t="s">
        <v>36</v>
      </c>
      <c r="J475" s="352" t="s">
        <v>36</v>
      </c>
      <c r="K475" s="352" t="s">
        <v>36</v>
      </c>
      <c r="L475" s="352" t="s">
        <v>22</v>
      </c>
      <c r="M475" s="520" t="s">
        <v>36</v>
      </c>
      <c r="N475" s="352" t="s">
        <v>36</v>
      </c>
      <c r="O475" s="352" t="s">
        <v>437</v>
      </c>
      <c r="P475" s="352" t="s">
        <v>36</v>
      </c>
      <c r="Q475" s="352" t="s">
        <v>36</v>
      </c>
      <c r="R475" s="352" t="s">
        <v>36</v>
      </c>
      <c r="S475" s="352" t="s">
        <v>36</v>
      </c>
      <c r="T475" s="352" t="s">
        <v>36</v>
      </c>
      <c r="U475" s="352" t="s">
        <v>36</v>
      </c>
    </row>
    <row r="476" spans="2:21">
      <c r="B476" s="520" t="str">
        <f t="shared" si="50"/>
        <v/>
      </c>
      <c r="C476" s="146" t="s">
        <v>36</v>
      </c>
      <c r="D476" s="232" t="s">
        <v>308</v>
      </c>
      <c r="E476" s="430" t="s">
        <v>36</v>
      </c>
      <c r="F476" s="146" t="s">
        <v>308</v>
      </c>
      <c r="G476" s="506" t="s">
        <v>36</v>
      </c>
      <c r="H476" s="506" t="s">
        <v>308</v>
      </c>
      <c r="I476" s="520" t="s">
        <v>36</v>
      </c>
      <c r="J476" s="495" t="s">
        <v>275</v>
      </c>
      <c r="K476" s="352" t="s">
        <v>275</v>
      </c>
      <c r="L476" s="352" t="s">
        <v>275</v>
      </c>
      <c r="M476" s="520" t="s">
        <v>3151</v>
      </c>
      <c r="N476" s="352" t="s">
        <v>36</v>
      </c>
      <c r="O476" s="77" t="s">
        <v>2570</v>
      </c>
      <c r="Q476" s="352" t="s">
        <v>36</v>
      </c>
      <c r="R476" s="352" t="s">
        <v>36</v>
      </c>
      <c r="S476" s="352" t="s">
        <v>36</v>
      </c>
      <c r="T476" s="352" t="s">
        <v>36</v>
      </c>
      <c r="U476" s="352" t="s">
        <v>36</v>
      </c>
    </row>
    <row r="477" spans="2:21">
      <c r="B477" s="520" t="str">
        <f t="shared" si="50"/>
        <v/>
      </c>
      <c r="C477" s="146" t="s">
        <v>36</v>
      </c>
      <c r="D477" s="146" t="s">
        <v>36</v>
      </c>
      <c r="E477" s="146" t="s">
        <v>23</v>
      </c>
      <c r="F477" s="146" t="s">
        <v>23</v>
      </c>
      <c r="G477" s="506" t="s">
        <v>23</v>
      </c>
      <c r="H477" s="506" t="s">
        <v>23</v>
      </c>
      <c r="I477" s="520" t="s">
        <v>36</v>
      </c>
      <c r="J477" s="352" t="s">
        <v>24</v>
      </c>
      <c r="K477" s="352" t="s">
        <v>24</v>
      </c>
      <c r="L477" s="352" t="s">
        <v>24</v>
      </c>
      <c r="M477" s="520" t="s">
        <v>36</v>
      </c>
      <c r="N477" s="352" t="s">
        <v>377</v>
      </c>
      <c r="O477" s="352" t="s">
        <v>380</v>
      </c>
      <c r="P477" s="352" t="s">
        <v>36</v>
      </c>
      <c r="Q477" s="352" t="s">
        <v>36</v>
      </c>
      <c r="R477" s="352" t="s">
        <v>36</v>
      </c>
      <c r="S477" s="352" t="s">
        <v>36</v>
      </c>
      <c r="T477" s="352" t="s">
        <v>36</v>
      </c>
      <c r="U477" s="352" t="s">
        <v>36</v>
      </c>
    </row>
    <row r="478" spans="2:21">
      <c r="B478" s="520" t="str">
        <f t="shared" si="50"/>
        <v/>
      </c>
      <c r="C478" s="146" t="s">
        <v>36</v>
      </c>
      <c r="D478" s="146" t="s">
        <v>36</v>
      </c>
      <c r="E478" s="146" t="s">
        <v>25</v>
      </c>
      <c r="F478" s="146" t="s">
        <v>25</v>
      </c>
      <c r="G478" s="506" t="s">
        <v>36</v>
      </c>
      <c r="H478" s="506" t="s">
        <v>36</v>
      </c>
      <c r="I478" s="520" t="s">
        <v>36</v>
      </c>
      <c r="J478" s="352" t="s">
        <v>36</v>
      </c>
      <c r="K478" s="352" t="s">
        <v>26</v>
      </c>
      <c r="L478" s="352" t="s">
        <v>26</v>
      </c>
      <c r="M478" s="520" t="s">
        <v>36</v>
      </c>
      <c r="N478" s="352" t="s">
        <v>36</v>
      </c>
      <c r="O478" s="352" t="s">
        <v>36</v>
      </c>
      <c r="P478" s="352" t="s">
        <v>36</v>
      </c>
      <c r="Q478" s="352" t="s">
        <v>36</v>
      </c>
      <c r="R478" s="352" t="s">
        <v>36</v>
      </c>
      <c r="S478" s="352" t="s">
        <v>36</v>
      </c>
      <c r="T478" s="352" t="s">
        <v>36</v>
      </c>
      <c r="U478" s="352" t="s">
        <v>36</v>
      </c>
    </row>
    <row r="479" spans="2:21">
      <c r="B479" s="520" t="str">
        <f t="shared" si="50"/>
        <v/>
      </c>
      <c r="C479" s="146" t="s">
        <v>36</v>
      </c>
      <c r="D479" s="146" t="s">
        <v>36</v>
      </c>
      <c r="E479" s="146" t="s">
        <v>36</v>
      </c>
      <c r="F479" s="146" t="s">
        <v>36</v>
      </c>
      <c r="G479" s="506" t="s">
        <v>36</v>
      </c>
      <c r="H479" s="506" t="s">
        <v>36</v>
      </c>
      <c r="I479" s="520" t="s">
        <v>36</v>
      </c>
      <c r="J479" s="352" t="s">
        <v>36</v>
      </c>
      <c r="K479" s="352" t="s">
        <v>36</v>
      </c>
      <c r="L479" s="352" t="s">
        <v>36</v>
      </c>
      <c r="M479" s="520" t="s">
        <v>36</v>
      </c>
      <c r="N479" s="352" t="s">
        <v>36</v>
      </c>
      <c r="O479" s="352" t="s">
        <v>438</v>
      </c>
      <c r="P479" s="352" t="s">
        <v>36</v>
      </c>
      <c r="Q479" s="352" t="s">
        <v>36</v>
      </c>
      <c r="R479" s="352" t="s">
        <v>36</v>
      </c>
      <c r="S479" s="352" t="s">
        <v>36</v>
      </c>
      <c r="T479" s="352" t="s">
        <v>36</v>
      </c>
      <c r="U479" s="352" t="s">
        <v>36</v>
      </c>
    </row>
    <row r="480" spans="2:21">
      <c r="B480" s="520" t="str">
        <f t="shared" si="50"/>
        <v/>
      </c>
      <c r="C480" s="146" t="s">
        <v>28</v>
      </c>
      <c r="D480" s="146" t="s">
        <v>28</v>
      </c>
      <c r="E480" s="146" t="s">
        <v>28</v>
      </c>
      <c r="F480" s="146" t="s">
        <v>28</v>
      </c>
      <c r="G480" s="506" t="s">
        <v>36</v>
      </c>
      <c r="H480" s="506" t="s">
        <v>36</v>
      </c>
      <c r="I480" s="520" t="s">
        <v>36</v>
      </c>
      <c r="J480" s="352" t="s">
        <v>29</v>
      </c>
      <c r="K480" s="352" t="s">
        <v>29</v>
      </c>
      <c r="L480" s="352" t="s">
        <v>29</v>
      </c>
      <c r="M480" s="521" t="s">
        <v>3152</v>
      </c>
      <c r="N480" s="468" t="s">
        <v>36</v>
      </c>
      <c r="O480" s="352" t="s">
        <v>381</v>
      </c>
      <c r="P480" s="352" t="s">
        <v>36</v>
      </c>
      <c r="Q480" s="352" t="s">
        <v>36</v>
      </c>
      <c r="R480" s="352" t="s">
        <v>36</v>
      </c>
      <c r="S480" s="352" t="s">
        <v>36</v>
      </c>
      <c r="T480" s="352" t="s">
        <v>36</v>
      </c>
      <c r="U480" s="352" t="s">
        <v>36</v>
      </c>
    </row>
    <row r="481" spans="2:23">
      <c r="B481" s="520" t="str">
        <f t="shared" si="50"/>
        <v/>
      </c>
      <c r="C481" s="146" t="s">
        <v>36</v>
      </c>
      <c r="D481" s="146" t="s">
        <v>36</v>
      </c>
      <c r="E481" s="146" t="s">
        <v>36</v>
      </c>
      <c r="F481" s="146" t="s">
        <v>36</v>
      </c>
      <c r="G481" s="506" t="s">
        <v>36</v>
      </c>
      <c r="H481" s="506" t="s">
        <v>36</v>
      </c>
      <c r="I481" s="520" t="s">
        <v>36</v>
      </c>
      <c r="J481" s="495" t="s">
        <v>36</v>
      </c>
      <c r="K481" s="352" t="s">
        <v>31</v>
      </c>
      <c r="L481" s="352" t="s">
        <v>31</v>
      </c>
      <c r="M481" s="521" t="s">
        <v>36</v>
      </c>
      <c r="N481" s="352" t="s">
        <v>378</v>
      </c>
      <c r="O481" s="352" t="s">
        <v>382</v>
      </c>
      <c r="P481" s="352" t="s">
        <v>36</v>
      </c>
      <c r="Q481" s="352" t="s">
        <v>36</v>
      </c>
      <c r="R481" s="352" t="s">
        <v>36</v>
      </c>
      <c r="S481" s="352" t="s">
        <v>36</v>
      </c>
      <c r="T481" s="352" t="s">
        <v>36</v>
      </c>
      <c r="U481" s="352" t="s">
        <v>36</v>
      </c>
    </row>
    <row r="482" spans="2:23">
      <c r="B482" s="520" t="str">
        <f t="shared" si="50"/>
        <v/>
      </c>
      <c r="C482" s="146" t="s">
        <v>36</v>
      </c>
      <c r="D482" s="146" t="s">
        <v>36</v>
      </c>
      <c r="E482" s="146" t="s">
        <v>32</v>
      </c>
      <c r="F482" s="146" t="s">
        <v>32</v>
      </c>
      <c r="G482" s="506" t="s">
        <v>32</v>
      </c>
      <c r="H482" s="506" t="s">
        <v>32</v>
      </c>
      <c r="I482" s="352" t="s">
        <v>32</v>
      </c>
      <c r="J482" s="352" t="s">
        <v>36</v>
      </c>
      <c r="K482" s="352" t="s">
        <v>36</v>
      </c>
      <c r="L482" s="352" t="s">
        <v>36</v>
      </c>
      <c r="M482" s="520" t="s">
        <v>36</v>
      </c>
      <c r="N482" s="352" t="s">
        <v>36</v>
      </c>
      <c r="O482" s="352" t="s">
        <v>36</v>
      </c>
      <c r="P482" s="352" t="s">
        <v>36</v>
      </c>
      <c r="Q482" s="352" t="s">
        <v>36</v>
      </c>
      <c r="R482" s="352" t="s">
        <v>36</v>
      </c>
      <c r="S482" s="352" t="s">
        <v>36</v>
      </c>
      <c r="T482" s="352" t="s">
        <v>36</v>
      </c>
      <c r="U482" s="352" t="s">
        <v>36</v>
      </c>
    </row>
    <row r="483" spans="2:23">
      <c r="B483" s="520" t="str">
        <f t="shared" si="50"/>
        <v/>
      </c>
      <c r="C483" s="146" t="s">
        <v>36</v>
      </c>
      <c r="D483" s="146" t="s">
        <v>36</v>
      </c>
      <c r="E483" s="146" t="s">
        <v>36</v>
      </c>
      <c r="F483" s="146" t="s">
        <v>36</v>
      </c>
      <c r="G483" s="506" t="s">
        <v>36</v>
      </c>
      <c r="H483" s="506" t="s">
        <v>36</v>
      </c>
      <c r="I483" s="520" t="s">
        <v>36</v>
      </c>
      <c r="J483" s="495" t="s">
        <v>34</v>
      </c>
      <c r="K483" s="352" t="s">
        <v>34</v>
      </c>
      <c r="L483" s="352" t="s">
        <v>34</v>
      </c>
      <c r="M483" s="520" t="s">
        <v>3153</v>
      </c>
      <c r="N483" s="352" t="s">
        <v>36</v>
      </c>
      <c r="O483" s="352" t="s">
        <v>383</v>
      </c>
      <c r="P483" s="352" t="s">
        <v>36</v>
      </c>
      <c r="Q483" s="352" t="s">
        <v>36</v>
      </c>
      <c r="R483" s="352" t="s">
        <v>36</v>
      </c>
      <c r="S483" s="352" t="s">
        <v>36</v>
      </c>
      <c r="T483" s="352" t="s">
        <v>36</v>
      </c>
      <c r="U483" s="352" t="s">
        <v>36</v>
      </c>
    </row>
    <row r="484" spans="2:23">
      <c r="B484" s="520" t="str">
        <f t="shared" si="50"/>
        <v/>
      </c>
      <c r="C484" s="352" t="s">
        <v>36</v>
      </c>
      <c r="D484" s="352" t="s">
        <v>36</v>
      </c>
      <c r="E484" s="146" t="s">
        <v>35</v>
      </c>
      <c r="F484" s="146" t="s">
        <v>35</v>
      </c>
      <c r="G484" s="506" t="s">
        <v>36</v>
      </c>
      <c r="H484" s="506" t="s">
        <v>35</v>
      </c>
      <c r="I484" s="520" t="s">
        <v>36</v>
      </c>
      <c r="J484" s="352" t="s">
        <v>36</v>
      </c>
      <c r="K484" s="352" t="s">
        <v>36</v>
      </c>
      <c r="L484" s="352" t="s">
        <v>36</v>
      </c>
      <c r="M484" s="520" t="s">
        <v>36</v>
      </c>
      <c r="N484" s="352" t="s">
        <v>36</v>
      </c>
      <c r="O484" s="352" t="s">
        <v>36</v>
      </c>
      <c r="P484" s="352" t="s">
        <v>36</v>
      </c>
      <c r="Q484" s="352" t="s">
        <v>36</v>
      </c>
      <c r="R484" s="352" t="s">
        <v>36</v>
      </c>
      <c r="S484" s="352" t="s">
        <v>36</v>
      </c>
      <c r="T484" s="352" t="s">
        <v>36</v>
      </c>
      <c r="U484" s="352" t="s">
        <v>36</v>
      </c>
    </row>
    <row r="485" spans="2:23">
      <c r="B485" s="520" t="str">
        <f t="shared" si="50"/>
        <v/>
      </c>
      <c r="C485" s="146" t="s">
        <v>36</v>
      </c>
      <c r="D485" s="146" t="s">
        <v>36</v>
      </c>
      <c r="E485" s="146" t="s">
        <v>36</v>
      </c>
      <c r="F485" s="443" t="s">
        <v>36</v>
      </c>
      <c r="G485" s="146" t="s">
        <v>36</v>
      </c>
      <c r="H485" s="146" t="s">
        <v>36</v>
      </c>
      <c r="I485" s="520" t="s">
        <v>36</v>
      </c>
      <c r="J485" s="352" t="s">
        <v>36</v>
      </c>
      <c r="K485" s="352" t="s">
        <v>36</v>
      </c>
      <c r="L485" s="352" t="s">
        <v>36</v>
      </c>
      <c r="M485" s="520" t="s">
        <v>36</v>
      </c>
      <c r="N485" s="352" t="s">
        <v>36</v>
      </c>
      <c r="O485" s="352" t="s">
        <v>36</v>
      </c>
      <c r="P485" s="352" t="s">
        <v>36</v>
      </c>
      <c r="Q485" s="352" t="s">
        <v>36</v>
      </c>
      <c r="R485" s="352" t="s">
        <v>36</v>
      </c>
      <c r="S485" s="352" t="s">
        <v>36</v>
      </c>
      <c r="T485" s="352" t="s">
        <v>36</v>
      </c>
      <c r="U485" s="352" t="s">
        <v>36</v>
      </c>
    </row>
    <row r="486" spans="2:23" s="364" customFormat="1">
      <c r="C486" s="364" t="str">
        <f>"MINIRULOURI "&amp;INDEX(B490:B508,B489)</f>
        <v xml:space="preserve">MINIRULOURI </v>
      </c>
      <c r="D486" s="364">
        <f>IFERROR(VLOOKUP(C486,In!A61:F2258,6,FALSE),0)</f>
        <v>0</v>
      </c>
      <c r="E486" s="364" t="str">
        <f>"MINIRULOURI "&amp;INDEX(B490:B508,B489)&amp;" "&amp;INDEX(D490:D509,D489)</f>
        <v xml:space="preserve">MINIRULOURI  </v>
      </c>
    </row>
    <row r="487" spans="2:23">
      <c r="E487" s="156">
        <v>2</v>
      </c>
      <c r="F487" s="156">
        <v>3</v>
      </c>
      <c r="G487" s="156">
        <v>4</v>
      </c>
      <c r="H487" s="156">
        <v>5</v>
      </c>
      <c r="I487" s="156">
        <v>6</v>
      </c>
      <c r="J487" s="156">
        <v>7</v>
      </c>
      <c r="K487" s="156">
        <v>8</v>
      </c>
      <c r="L487" s="156">
        <v>9</v>
      </c>
      <c r="M487" s="156">
        <v>10</v>
      </c>
      <c r="N487" s="156">
        <v>11</v>
      </c>
      <c r="O487" s="156">
        <v>12</v>
      </c>
      <c r="P487" s="156">
        <v>13</v>
      </c>
      <c r="Q487" s="156">
        <v>14</v>
      </c>
      <c r="R487" s="156">
        <v>15</v>
      </c>
      <c r="S487" s="156">
        <v>16</v>
      </c>
      <c r="T487" s="156">
        <v>17</v>
      </c>
      <c r="U487" s="156">
        <v>18</v>
      </c>
      <c r="V487" s="352">
        <v>19</v>
      </c>
      <c r="W487" s="352"/>
    </row>
    <row r="488" spans="2:23">
      <c r="E488" s="156" t="s">
        <v>510</v>
      </c>
      <c r="F488" s="156" t="s">
        <v>511</v>
      </c>
      <c r="G488" s="156" t="s">
        <v>141</v>
      </c>
      <c r="H488" s="156" t="s">
        <v>512</v>
      </c>
      <c r="I488" s="156" t="s">
        <v>513</v>
      </c>
      <c r="J488" s="156" t="s">
        <v>1986</v>
      </c>
      <c r="K488" s="156" t="s">
        <v>370</v>
      </c>
      <c r="L488" s="156" t="s">
        <v>371</v>
      </c>
      <c r="M488" s="156" t="s">
        <v>372</v>
      </c>
      <c r="N488" s="156" t="s">
        <v>373</v>
      </c>
      <c r="O488" s="156" t="s">
        <v>374</v>
      </c>
      <c r="P488" s="156" t="s">
        <v>545</v>
      </c>
      <c r="Q488" s="156" t="s">
        <v>546</v>
      </c>
      <c r="R488" s="156" t="s">
        <v>516</v>
      </c>
      <c r="S488" s="156" t="s">
        <v>517</v>
      </c>
      <c r="T488" s="156" t="s">
        <v>2577</v>
      </c>
      <c r="U488" s="156" t="s">
        <v>2578</v>
      </c>
      <c r="V488" s="156" t="s">
        <v>519</v>
      </c>
      <c r="W488" s="352"/>
    </row>
    <row r="489" spans="2:23">
      <c r="B489" s="146">
        <v>1</v>
      </c>
      <c r="D489" s="146">
        <v>1</v>
      </c>
      <c r="J489" s="352"/>
      <c r="K489" s="352"/>
      <c r="L489" s="352"/>
      <c r="M489" s="352"/>
      <c r="N489" s="352"/>
      <c r="O489" s="352"/>
      <c r="P489" s="352"/>
      <c r="Q489" s="352"/>
      <c r="R489" s="352"/>
      <c r="S489" s="352"/>
      <c r="T489" s="352"/>
      <c r="U489" s="499"/>
      <c r="V489" s="499"/>
      <c r="W489" s="352"/>
    </row>
    <row r="490" spans="2:23">
      <c r="J490" s="352"/>
      <c r="K490" s="352"/>
      <c r="L490" s="352"/>
      <c r="M490" s="352"/>
      <c r="N490" s="352"/>
      <c r="O490" s="352"/>
      <c r="P490" s="352"/>
      <c r="Q490" s="352"/>
      <c r="R490" s="352"/>
      <c r="S490" s="352"/>
      <c r="T490" s="352"/>
      <c r="U490" s="499"/>
      <c r="V490" s="499"/>
      <c r="W490" s="352"/>
    </row>
    <row r="491" spans="2:23">
      <c r="B491" s="146" t="str">
        <f>B539</f>
        <v>LUCIOS 0.4</v>
      </c>
      <c r="C491" s="146">
        <v>2</v>
      </c>
      <c r="D491" s="146" t="str">
        <f>IF($B$489=2,E491,IF($B$489=3,F491,IF($B$489=4,G491,IF($B$489=5,H491,IF($B$489=6,I491,IF($B$489=7,J491,IF($B$489=8,K491,IF($B$489=9,L491,IF($B$489=10,M491,IF($B$489=11,N491,IF($B$489=12,O491,IF($B$489=13,P491,IF($B$489=14,Q491,IF($B$489=15,R491,IF($B$489=16,S491,IF($B$489=17,T491,IF($B$489=18,U491,IF($B$489=19,V491," "))))))))))))))))))</f>
        <v xml:space="preserve"> </v>
      </c>
      <c r="E491" s="146" t="s">
        <v>36</v>
      </c>
      <c r="F491" s="146" t="s">
        <v>36</v>
      </c>
      <c r="G491" s="483" t="s">
        <v>36</v>
      </c>
      <c r="H491" s="146" t="s">
        <v>36</v>
      </c>
      <c r="I491" s="146" t="s">
        <v>36</v>
      </c>
      <c r="J491" s="352" t="s">
        <v>36</v>
      </c>
      <c r="K491" s="352" t="s">
        <v>36</v>
      </c>
      <c r="L491" s="352" t="s">
        <v>36</v>
      </c>
      <c r="M491" s="352" t="s">
        <v>36</v>
      </c>
      <c r="N491" s="352" t="s">
        <v>36</v>
      </c>
      <c r="O491" s="352" t="s">
        <v>36</v>
      </c>
      <c r="P491" s="352" t="s">
        <v>36</v>
      </c>
      <c r="Q491" s="352" t="s">
        <v>36</v>
      </c>
      <c r="R491" s="352" t="s">
        <v>54</v>
      </c>
      <c r="S491" s="352" t="s">
        <v>54</v>
      </c>
      <c r="T491" s="352" t="s">
        <v>54</v>
      </c>
      <c r="U491" s="499" t="s">
        <v>54</v>
      </c>
      <c r="V491" s="499" t="s">
        <v>54</v>
      </c>
      <c r="W491" s="352"/>
    </row>
    <row r="492" spans="2:23">
      <c r="B492" s="146" t="str">
        <f t="shared" ref="B492:B493" si="51">B540</f>
        <v>LUCIOS 0.45</v>
      </c>
      <c r="C492" s="146">
        <v>3</v>
      </c>
      <c r="D492" s="499" t="str">
        <f t="shared" ref="D492:D508" si="52">IF($B$489=2,E492,IF($B$489=3,F492,IF($B$489=4,G492,IF($B$489=5,H492,IF($B$489=6,I492,IF($B$489=7,J492,IF($B$489=8,K492,IF($B$489=9,L492,IF($B$489=10,M492,IF($B$489=11,N492,IF($B$489=12,O492,IF($B$489=13,P492,IF($B$489=14,Q492,IF($B$489=15,R492,IF($B$489=16,S492,IF($B$489=17,T492,IF($B$489=18,U492,IF($B$489=19,V492," "))))))))))))))))))</f>
        <v xml:space="preserve"> </v>
      </c>
      <c r="E492" s="146" t="s">
        <v>36</v>
      </c>
      <c r="F492" s="427" t="s">
        <v>36</v>
      </c>
      <c r="G492" s="146" t="s">
        <v>12</v>
      </c>
      <c r="H492" s="146" t="s">
        <v>36</v>
      </c>
      <c r="I492" s="146" t="s">
        <v>36</v>
      </c>
      <c r="J492" s="352" t="s">
        <v>36</v>
      </c>
      <c r="K492" s="448" t="s">
        <v>36</v>
      </c>
      <c r="L492" s="427" t="s">
        <v>36</v>
      </c>
      <c r="M492" s="352" t="s">
        <v>13</v>
      </c>
      <c r="N492" s="352" t="s">
        <v>36</v>
      </c>
      <c r="O492" s="352" t="s">
        <v>435</v>
      </c>
      <c r="P492" s="352" t="s">
        <v>36</v>
      </c>
      <c r="Q492" s="352">
        <v>3005</v>
      </c>
      <c r="R492" s="352" t="s">
        <v>36</v>
      </c>
      <c r="S492" s="499" t="s">
        <v>36</v>
      </c>
      <c r="T492" s="499" t="s">
        <v>36</v>
      </c>
      <c r="U492" s="499" t="s">
        <v>36</v>
      </c>
      <c r="V492" s="499" t="s">
        <v>36</v>
      </c>
      <c r="W492" s="352"/>
    </row>
    <row r="493" spans="2:23">
      <c r="B493" s="146" t="str">
        <f t="shared" si="51"/>
        <v>LUCIOS 0.5</v>
      </c>
      <c r="C493" s="352">
        <v>4</v>
      </c>
      <c r="D493" s="499" t="str">
        <f t="shared" si="52"/>
        <v xml:space="preserve"> </v>
      </c>
      <c r="E493" s="146" t="s">
        <v>36</v>
      </c>
      <c r="F493" s="427" t="s">
        <v>36</v>
      </c>
      <c r="G493" s="146" t="s">
        <v>14</v>
      </c>
      <c r="H493" s="146" t="s">
        <v>36</v>
      </c>
      <c r="I493" s="146" t="s">
        <v>36</v>
      </c>
      <c r="J493" s="352" t="s">
        <v>36</v>
      </c>
      <c r="K493" s="352" t="s">
        <v>36</v>
      </c>
      <c r="L493" s="352" t="s">
        <v>36</v>
      </c>
      <c r="M493" s="352" t="s">
        <v>15</v>
      </c>
      <c r="N493" s="352" t="s">
        <v>36</v>
      </c>
      <c r="O493" s="352" t="s">
        <v>379</v>
      </c>
      <c r="P493" s="352" t="s">
        <v>36</v>
      </c>
      <c r="Q493" s="352" t="s">
        <v>74</v>
      </c>
      <c r="R493" s="499" t="s">
        <v>36</v>
      </c>
      <c r="S493" s="499" t="s">
        <v>36</v>
      </c>
      <c r="T493" s="499" t="s">
        <v>36</v>
      </c>
      <c r="U493" s="499" t="s">
        <v>36</v>
      </c>
      <c r="V493" s="499" t="s">
        <v>36</v>
      </c>
      <c r="W493" s="352"/>
    </row>
    <row r="494" spans="2:23">
      <c r="B494" s="426" t="s">
        <v>1616</v>
      </c>
      <c r="C494" s="352">
        <v>5</v>
      </c>
      <c r="D494" s="499" t="str">
        <f t="shared" si="52"/>
        <v xml:space="preserve"> </v>
      </c>
      <c r="E494" s="146" t="s">
        <v>16</v>
      </c>
      <c r="F494" s="146" t="s">
        <v>16</v>
      </c>
      <c r="G494" s="146" t="s">
        <v>16</v>
      </c>
      <c r="H494" s="146" t="s">
        <v>36</v>
      </c>
      <c r="I494" s="146" t="s">
        <v>36</v>
      </c>
      <c r="J494" s="352" t="s">
        <v>36</v>
      </c>
      <c r="K494" s="352" t="s">
        <v>36</v>
      </c>
      <c r="L494" s="352" t="s">
        <v>17</v>
      </c>
      <c r="M494" s="352" t="s">
        <v>17</v>
      </c>
      <c r="N494" s="352" t="s">
        <v>36</v>
      </c>
      <c r="O494" s="352" t="s">
        <v>436</v>
      </c>
      <c r="P494" s="352" t="s">
        <v>36</v>
      </c>
      <c r="Q494" s="352">
        <v>3011</v>
      </c>
      <c r="R494" s="499" t="s">
        <v>36</v>
      </c>
      <c r="S494" s="499" t="s">
        <v>36</v>
      </c>
      <c r="T494" s="499" t="s">
        <v>36</v>
      </c>
      <c r="U494" s="499" t="s">
        <v>36</v>
      </c>
      <c r="V494" s="499" t="s">
        <v>36</v>
      </c>
      <c r="W494" s="352"/>
    </row>
    <row r="495" spans="2:23">
      <c r="B495" s="253" t="s">
        <v>1710</v>
      </c>
      <c r="C495" s="352">
        <v>6</v>
      </c>
      <c r="D495" s="499" t="str">
        <f t="shared" si="52"/>
        <v xml:space="preserve"> </v>
      </c>
      <c r="E495" s="146" t="s">
        <v>36</v>
      </c>
      <c r="F495" s="146" t="s">
        <v>36</v>
      </c>
      <c r="G495" s="146" t="s">
        <v>36</v>
      </c>
      <c r="H495" s="146" t="s">
        <v>36</v>
      </c>
      <c r="I495" s="146" t="s">
        <v>36</v>
      </c>
      <c r="J495" s="352" t="s">
        <v>36</v>
      </c>
      <c r="K495" s="352" t="s">
        <v>36</v>
      </c>
      <c r="L495" s="352" t="s">
        <v>36</v>
      </c>
      <c r="M495" s="352" t="s">
        <v>36</v>
      </c>
      <c r="N495" s="352" t="s">
        <v>36</v>
      </c>
      <c r="O495" s="352" t="s">
        <v>36</v>
      </c>
      <c r="P495" s="352" t="s">
        <v>36</v>
      </c>
      <c r="Q495" s="352">
        <v>5010</v>
      </c>
      <c r="R495" s="499" t="s">
        <v>36</v>
      </c>
      <c r="S495" s="499" t="s">
        <v>36</v>
      </c>
      <c r="T495" s="499" t="s">
        <v>36</v>
      </c>
      <c r="U495" s="499" t="s">
        <v>36</v>
      </c>
      <c r="V495" s="499" t="s">
        <v>36</v>
      </c>
      <c r="W495" s="352"/>
    </row>
    <row r="496" spans="2:23">
      <c r="B496" s="352" t="s">
        <v>1620</v>
      </c>
      <c r="C496" s="352">
        <v>7</v>
      </c>
      <c r="D496" s="499" t="str">
        <f t="shared" si="52"/>
        <v xml:space="preserve"> </v>
      </c>
      <c r="E496" s="146" t="s">
        <v>36</v>
      </c>
      <c r="F496" s="146" t="s">
        <v>36</v>
      </c>
      <c r="G496" s="146" t="s">
        <v>18</v>
      </c>
      <c r="H496" s="146" t="s">
        <v>36</v>
      </c>
      <c r="I496" s="146" t="s">
        <v>36</v>
      </c>
      <c r="J496" s="352" t="s">
        <v>36</v>
      </c>
      <c r="K496" s="352" t="s">
        <v>36</v>
      </c>
      <c r="L496" s="352" t="s">
        <v>36</v>
      </c>
      <c r="M496" s="352" t="s">
        <v>36</v>
      </c>
      <c r="N496" s="352" t="s">
        <v>36</v>
      </c>
      <c r="O496" s="352" t="s">
        <v>36</v>
      </c>
      <c r="P496" s="352" t="s">
        <v>36</v>
      </c>
      <c r="Q496" s="352" t="s">
        <v>36</v>
      </c>
      <c r="R496" s="499" t="s">
        <v>36</v>
      </c>
      <c r="S496" s="499" t="s">
        <v>36</v>
      </c>
      <c r="T496" s="499" t="s">
        <v>36</v>
      </c>
      <c r="U496" s="499" t="s">
        <v>36</v>
      </c>
      <c r="V496" s="499" t="s">
        <v>36</v>
      </c>
      <c r="W496" s="352"/>
    </row>
    <row r="497" spans="1:23">
      <c r="B497" s="146" t="str">
        <f>B544</f>
        <v>MAT 0.4</v>
      </c>
      <c r="C497" s="352">
        <v>8</v>
      </c>
      <c r="D497" s="499" t="str">
        <f t="shared" si="52"/>
        <v xml:space="preserve"> </v>
      </c>
      <c r="E497" s="146" t="s">
        <v>36</v>
      </c>
      <c r="F497" s="146" t="s">
        <v>36</v>
      </c>
      <c r="G497" s="146" t="s">
        <v>19</v>
      </c>
      <c r="H497" s="146" t="s">
        <v>36</v>
      </c>
      <c r="I497" s="146" t="s">
        <v>36</v>
      </c>
      <c r="J497" s="352" t="s">
        <v>36</v>
      </c>
      <c r="K497" s="352" t="s">
        <v>36</v>
      </c>
      <c r="L497" s="352" t="s">
        <v>36</v>
      </c>
      <c r="M497" s="352" t="s">
        <v>20</v>
      </c>
      <c r="N497" s="352" t="s">
        <v>36</v>
      </c>
      <c r="O497" s="352" t="s">
        <v>36</v>
      </c>
      <c r="P497" s="352" t="s">
        <v>36</v>
      </c>
      <c r="Q497" s="430" t="s">
        <v>36</v>
      </c>
      <c r="R497" s="499" t="s">
        <v>36</v>
      </c>
      <c r="S497" s="499" t="s">
        <v>36</v>
      </c>
      <c r="T497" s="499" t="s">
        <v>36</v>
      </c>
      <c r="U497" s="499" t="s">
        <v>36</v>
      </c>
      <c r="V497" s="499" t="s">
        <v>36</v>
      </c>
      <c r="W497" s="352"/>
    </row>
    <row r="498" spans="1:23">
      <c r="B498" s="146" t="str">
        <f>B545</f>
        <v>MAT 0.45</v>
      </c>
      <c r="C498" s="352">
        <v>9</v>
      </c>
      <c r="D498" s="499" t="str">
        <f t="shared" si="52"/>
        <v xml:space="preserve"> </v>
      </c>
      <c r="E498" s="146" t="s">
        <v>36</v>
      </c>
      <c r="F498" s="146" t="s">
        <v>36</v>
      </c>
      <c r="G498" s="146" t="s">
        <v>36</v>
      </c>
      <c r="H498" s="146" t="s">
        <v>36</v>
      </c>
      <c r="I498" s="146" t="s">
        <v>36</v>
      </c>
      <c r="J498" s="352" t="s">
        <v>36</v>
      </c>
      <c r="K498" s="352" t="s">
        <v>36</v>
      </c>
      <c r="L498" s="352" t="s">
        <v>36</v>
      </c>
      <c r="M498" s="352" t="s">
        <v>22</v>
      </c>
      <c r="N498" s="352" t="s">
        <v>36</v>
      </c>
      <c r="O498" s="495" t="s">
        <v>437</v>
      </c>
      <c r="P498" s="352" t="s">
        <v>36</v>
      </c>
      <c r="Q498" s="352">
        <v>6020</v>
      </c>
      <c r="R498" s="499" t="s">
        <v>36</v>
      </c>
      <c r="S498" s="499" t="s">
        <v>36</v>
      </c>
      <c r="T498" s="499" t="s">
        <v>36</v>
      </c>
      <c r="U498" s="499" t="s">
        <v>36</v>
      </c>
      <c r="V498" s="499" t="s">
        <v>36</v>
      </c>
      <c r="W498" s="352"/>
    </row>
    <row r="499" spans="1:23">
      <c r="B499" s="146" t="str">
        <f>B546</f>
        <v>MAT 0.5</v>
      </c>
      <c r="C499" s="352">
        <v>10</v>
      </c>
      <c r="D499" s="499" t="str">
        <f t="shared" si="52"/>
        <v xml:space="preserve"> </v>
      </c>
      <c r="E499" s="232" t="s">
        <v>308</v>
      </c>
      <c r="F499" s="146" t="s">
        <v>308</v>
      </c>
      <c r="G499" s="146" t="s">
        <v>308</v>
      </c>
      <c r="H499" s="146" t="s">
        <v>36</v>
      </c>
      <c r="I499" s="506" t="s">
        <v>308</v>
      </c>
      <c r="J499" s="352" t="s">
        <v>36</v>
      </c>
      <c r="K499" s="495" t="s">
        <v>275</v>
      </c>
      <c r="L499" s="352" t="s">
        <v>275</v>
      </c>
      <c r="M499" s="352" t="s">
        <v>275</v>
      </c>
      <c r="N499" s="352" t="s">
        <v>36</v>
      </c>
      <c r="O499" s="77" t="s">
        <v>2570</v>
      </c>
      <c r="P499" s="352" t="s">
        <v>36</v>
      </c>
      <c r="Q499" s="352">
        <v>7016</v>
      </c>
      <c r="R499" s="499" t="s">
        <v>36</v>
      </c>
      <c r="S499" s="499" t="s">
        <v>36</v>
      </c>
      <c r="T499" s="499" t="s">
        <v>36</v>
      </c>
      <c r="U499" s="499" t="s">
        <v>36</v>
      </c>
      <c r="V499" s="499" t="s">
        <v>36</v>
      </c>
      <c r="W499" s="352"/>
    </row>
    <row r="500" spans="1:23">
      <c r="B500" s="146" t="str">
        <f>B549</f>
        <v>SUPREM 50 0.5</v>
      </c>
      <c r="C500" s="352">
        <v>11</v>
      </c>
      <c r="D500" s="499" t="str">
        <f t="shared" si="52"/>
        <v xml:space="preserve"> </v>
      </c>
      <c r="E500" s="146" t="s">
        <v>36</v>
      </c>
      <c r="F500" s="146" t="s">
        <v>23</v>
      </c>
      <c r="G500" s="146" t="s">
        <v>23</v>
      </c>
      <c r="H500" s="426" t="s">
        <v>23</v>
      </c>
      <c r="I500" s="352" t="s">
        <v>23</v>
      </c>
      <c r="J500" s="352" t="s">
        <v>36</v>
      </c>
      <c r="K500" s="352" t="s">
        <v>24</v>
      </c>
      <c r="L500" s="352" t="s">
        <v>24</v>
      </c>
      <c r="M500" s="352" t="s">
        <v>24</v>
      </c>
      <c r="N500" s="352" t="s">
        <v>377</v>
      </c>
      <c r="O500" s="352" t="s">
        <v>380</v>
      </c>
      <c r="P500" s="352" t="s">
        <v>36</v>
      </c>
      <c r="Q500" s="352">
        <v>7024</v>
      </c>
      <c r="R500" s="499" t="s">
        <v>36</v>
      </c>
      <c r="S500" s="499" t="s">
        <v>36</v>
      </c>
      <c r="T500" s="499" t="s">
        <v>36</v>
      </c>
      <c r="U500" s="499" t="s">
        <v>36</v>
      </c>
      <c r="V500" s="499" t="s">
        <v>36</v>
      </c>
      <c r="W500" s="352"/>
    </row>
    <row r="501" spans="1:23">
      <c r="B501" s="146" t="str">
        <f>B550</f>
        <v>NEOMAT 30 0.5</v>
      </c>
      <c r="C501" s="352">
        <v>12</v>
      </c>
      <c r="D501" s="499" t="str">
        <f t="shared" si="52"/>
        <v xml:space="preserve"> </v>
      </c>
      <c r="E501" s="146" t="s">
        <v>36</v>
      </c>
      <c r="F501" s="146" t="s">
        <v>25</v>
      </c>
      <c r="G501" s="146" t="s">
        <v>25</v>
      </c>
      <c r="H501" s="146" t="s">
        <v>36</v>
      </c>
      <c r="I501" s="146" t="s">
        <v>36</v>
      </c>
      <c r="J501" s="352" t="s">
        <v>36</v>
      </c>
      <c r="K501" s="352" t="s">
        <v>36</v>
      </c>
      <c r="L501" s="352" t="s">
        <v>26</v>
      </c>
      <c r="M501" s="352" t="s">
        <v>26</v>
      </c>
      <c r="N501" s="352" t="s">
        <v>36</v>
      </c>
      <c r="O501" s="352" t="s">
        <v>36</v>
      </c>
      <c r="P501" s="352" t="s">
        <v>36</v>
      </c>
      <c r="Q501" s="352">
        <v>8004</v>
      </c>
      <c r="R501" s="499" t="s">
        <v>36</v>
      </c>
      <c r="S501" s="499" t="s">
        <v>36</v>
      </c>
      <c r="T501" s="499" t="s">
        <v>36</v>
      </c>
      <c r="U501" s="499" t="s">
        <v>36</v>
      </c>
      <c r="V501" s="499" t="s">
        <v>36</v>
      </c>
      <c r="W501" s="352"/>
    </row>
    <row r="502" spans="1:23">
      <c r="B502" s="253"/>
      <c r="C502" s="352">
        <v>13</v>
      </c>
      <c r="D502" s="499" t="str">
        <f t="shared" si="52"/>
        <v xml:space="preserve"> </v>
      </c>
      <c r="E502" s="352" t="s">
        <v>36</v>
      </c>
      <c r="F502" s="352" t="s">
        <v>36</v>
      </c>
      <c r="G502" s="352" t="s">
        <v>36</v>
      </c>
      <c r="H502" s="352" t="s">
        <v>36</v>
      </c>
      <c r="I502" s="352" t="s">
        <v>36</v>
      </c>
      <c r="J502" s="352" t="s">
        <v>36</v>
      </c>
      <c r="K502" s="352" t="s">
        <v>36</v>
      </c>
      <c r="L502" s="352" t="s">
        <v>36</v>
      </c>
      <c r="M502" s="352" t="s">
        <v>36</v>
      </c>
      <c r="N502" s="352" t="s">
        <v>36</v>
      </c>
      <c r="O502" s="352" t="s">
        <v>438</v>
      </c>
      <c r="P502" s="352" t="s">
        <v>36</v>
      </c>
      <c r="Q502" s="352" t="s">
        <v>36</v>
      </c>
      <c r="R502" s="499" t="s">
        <v>36</v>
      </c>
      <c r="S502" s="499" t="s">
        <v>36</v>
      </c>
      <c r="T502" s="499" t="s">
        <v>36</v>
      </c>
      <c r="U502" s="499" t="s">
        <v>36</v>
      </c>
      <c r="V502" s="499" t="s">
        <v>36</v>
      </c>
      <c r="W502" s="352"/>
    </row>
    <row r="503" spans="1:23">
      <c r="B503" s="146" t="str">
        <f>I357</f>
        <v>Otel Dublu prevopsit</v>
      </c>
      <c r="C503" s="352">
        <v>14</v>
      </c>
      <c r="D503" s="499" t="str">
        <f t="shared" si="52"/>
        <v xml:space="preserve"> </v>
      </c>
      <c r="E503" s="146" t="s">
        <v>28</v>
      </c>
      <c r="F503" s="146" t="s">
        <v>28</v>
      </c>
      <c r="G503" s="146" t="s">
        <v>28</v>
      </c>
      <c r="H503" s="146" t="s">
        <v>36</v>
      </c>
      <c r="I503" s="146" t="s">
        <v>36</v>
      </c>
      <c r="J503" s="352" t="s">
        <v>36</v>
      </c>
      <c r="K503" s="352" t="s">
        <v>29</v>
      </c>
      <c r="L503" s="352" t="s">
        <v>29</v>
      </c>
      <c r="M503" s="352" t="s">
        <v>29</v>
      </c>
      <c r="N503" s="468" t="s">
        <v>36</v>
      </c>
      <c r="O503" s="352" t="s">
        <v>381</v>
      </c>
      <c r="P503" s="352" t="s">
        <v>36</v>
      </c>
      <c r="Q503" s="352">
        <v>8017</v>
      </c>
      <c r="R503" s="499" t="s">
        <v>36</v>
      </c>
      <c r="S503" s="499" t="s">
        <v>36</v>
      </c>
      <c r="T503" s="499" t="s">
        <v>36</v>
      </c>
      <c r="U503" s="499" t="s">
        <v>36</v>
      </c>
      <c r="V503" s="499" t="s">
        <v>36</v>
      </c>
      <c r="W503" s="352"/>
    </row>
    <row r="504" spans="1:23">
      <c r="B504" s="146" t="s">
        <v>411</v>
      </c>
      <c r="C504" s="352">
        <v>15</v>
      </c>
      <c r="D504" s="499" t="str">
        <f t="shared" si="52"/>
        <v xml:space="preserve"> </v>
      </c>
      <c r="E504" s="146" t="s">
        <v>36</v>
      </c>
      <c r="F504" s="146" t="s">
        <v>36</v>
      </c>
      <c r="G504" s="146" t="s">
        <v>36</v>
      </c>
      <c r="H504" s="146" t="s">
        <v>36</v>
      </c>
      <c r="I504" s="146" t="s">
        <v>36</v>
      </c>
      <c r="J504" s="352" t="s">
        <v>36</v>
      </c>
      <c r="K504" s="495" t="s">
        <v>36</v>
      </c>
      <c r="L504" s="352" t="s">
        <v>31</v>
      </c>
      <c r="M504" s="352" t="s">
        <v>31</v>
      </c>
      <c r="N504" s="352" t="s">
        <v>378</v>
      </c>
      <c r="O504" s="352" t="s">
        <v>382</v>
      </c>
      <c r="P504" s="352" t="s">
        <v>36</v>
      </c>
      <c r="Q504" s="352">
        <v>8019</v>
      </c>
      <c r="R504" s="499" t="s">
        <v>36</v>
      </c>
      <c r="S504" s="499" t="s">
        <v>36</v>
      </c>
      <c r="T504" s="499" t="s">
        <v>36</v>
      </c>
      <c r="U504" s="499" t="s">
        <v>36</v>
      </c>
      <c r="V504" s="499" t="s">
        <v>36</v>
      </c>
      <c r="W504" s="352"/>
    </row>
    <row r="505" spans="1:23">
      <c r="B505" s="146" t="s">
        <v>412</v>
      </c>
      <c r="C505" s="352">
        <v>16</v>
      </c>
      <c r="D505" s="499" t="str">
        <f t="shared" si="52"/>
        <v xml:space="preserve"> </v>
      </c>
      <c r="E505" s="146" t="s">
        <v>36</v>
      </c>
      <c r="F505" s="146" t="s">
        <v>32</v>
      </c>
      <c r="G505" s="146" t="s">
        <v>32</v>
      </c>
      <c r="H505" s="506" t="s">
        <v>32</v>
      </c>
      <c r="I505" s="506" t="s">
        <v>32</v>
      </c>
      <c r="J505" s="352" t="s">
        <v>32</v>
      </c>
      <c r="K505" s="352" t="s">
        <v>36</v>
      </c>
      <c r="L505" s="352" t="s">
        <v>36</v>
      </c>
      <c r="M505" s="352" t="s">
        <v>36</v>
      </c>
      <c r="N505" s="352" t="s">
        <v>36</v>
      </c>
      <c r="O505" s="352" t="s">
        <v>36</v>
      </c>
      <c r="P505" s="352" t="s">
        <v>36</v>
      </c>
      <c r="Q505" s="352" t="s">
        <v>36</v>
      </c>
      <c r="R505" s="499" t="s">
        <v>36</v>
      </c>
      <c r="S505" s="499" t="s">
        <v>36</v>
      </c>
      <c r="T505" s="499" t="s">
        <v>36</v>
      </c>
      <c r="U505" s="499" t="s">
        <v>36</v>
      </c>
      <c r="V505" s="499" t="s">
        <v>36</v>
      </c>
      <c r="W505" s="352"/>
    </row>
    <row r="506" spans="1:23">
      <c r="B506" s="499" t="s">
        <v>2571</v>
      </c>
      <c r="C506" s="352">
        <v>17</v>
      </c>
      <c r="D506" s="499" t="str">
        <f t="shared" si="52"/>
        <v xml:space="preserve"> </v>
      </c>
      <c r="E506" s="146" t="s">
        <v>36</v>
      </c>
      <c r="F506" s="146" t="s">
        <v>36</v>
      </c>
      <c r="G506" s="146" t="s">
        <v>36</v>
      </c>
      <c r="H506" s="146" t="s">
        <v>36</v>
      </c>
      <c r="I506" s="146" t="s">
        <v>36</v>
      </c>
      <c r="J506" s="352" t="s">
        <v>36</v>
      </c>
      <c r="K506" s="495" t="s">
        <v>34</v>
      </c>
      <c r="L506" s="352" t="s">
        <v>34</v>
      </c>
      <c r="M506" s="352" t="s">
        <v>34</v>
      </c>
      <c r="N506" s="352" t="s">
        <v>36</v>
      </c>
      <c r="O506" s="352" t="s">
        <v>383</v>
      </c>
      <c r="P506" s="352" t="s">
        <v>36</v>
      </c>
      <c r="Q506" s="352">
        <v>9005</v>
      </c>
      <c r="R506" s="499" t="s">
        <v>36</v>
      </c>
      <c r="S506" s="499" t="s">
        <v>36</v>
      </c>
      <c r="T506" s="499" t="s">
        <v>36</v>
      </c>
      <c r="U506" s="499" t="s">
        <v>36</v>
      </c>
      <c r="V506" s="499" t="s">
        <v>36</v>
      </c>
      <c r="W506" s="352"/>
    </row>
    <row r="507" spans="1:23" s="499" customFormat="1">
      <c r="A507" s="507"/>
      <c r="B507" s="504" t="s">
        <v>413</v>
      </c>
      <c r="C507" s="499">
        <v>18</v>
      </c>
      <c r="D507" s="499" t="str">
        <f t="shared" si="52"/>
        <v xml:space="preserve"> </v>
      </c>
      <c r="H507" s="506" t="s">
        <v>36</v>
      </c>
      <c r="I507" s="506" t="s">
        <v>36</v>
      </c>
      <c r="R507" s="499" t="s">
        <v>36</v>
      </c>
      <c r="S507" s="499" t="s">
        <v>36</v>
      </c>
      <c r="T507" s="499" t="s">
        <v>36</v>
      </c>
      <c r="U507" s="499" t="s">
        <v>36</v>
      </c>
      <c r="V507" s="499" t="s">
        <v>36</v>
      </c>
    </row>
    <row r="508" spans="1:23">
      <c r="B508" s="146" t="s">
        <v>508</v>
      </c>
      <c r="C508" s="352">
        <v>19</v>
      </c>
      <c r="D508" s="499" t="str">
        <f t="shared" si="52"/>
        <v xml:space="preserve"> </v>
      </c>
      <c r="E508" s="146" t="s">
        <v>36</v>
      </c>
      <c r="F508" s="146" t="s">
        <v>35</v>
      </c>
      <c r="G508" s="146" t="s">
        <v>35</v>
      </c>
      <c r="H508" s="146" t="s">
        <v>36</v>
      </c>
      <c r="I508" s="506" t="s">
        <v>35</v>
      </c>
      <c r="J508" s="352" t="s">
        <v>36</v>
      </c>
      <c r="K508" s="352" t="s">
        <v>36</v>
      </c>
      <c r="L508" s="352" t="s">
        <v>36</v>
      </c>
      <c r="M508" s="352" t="s">
        <v>36</v>
      </c>
      <c r="N508" s="352" t="s">
        <v>36</v>
      </c>
      <c r="O508" s="352" t="s">
        <v>36</v>
      </c>
      <c r="P508" s="352" t="s">
        <v>36</v>
      </c>
      <c r="Q508" s="352" t="s">
        <v>36</v>
      </c>
      <c r="R508" s="499" t="s">
        <v>36</v>
      </c>
      <c r="S508" s="499" t="s">
        <v>36</v>
      </c>
      <c r="T508" s="499" t="s">
        <v>36</v>
      </c>
      <c r="U508" s="499" t="s">
        <v>36</v>
      </c>
      <c r="V508" s="499" t="s">
        <v>36</v>
      </c>
      <c r="W508" s="352"/>
    </row>
    <row r="509" spans="1:23">
      <c r="D509" s="352" t="str">
        <f t="shared" ref="D509" si="53">IF($B$489=2,E509,IF($B$489=3,F509,IF($B$489=4,G509,IF($B$489=5,H509,IF($B$489=6,I509,IF($B$489=7,J509,IF($B$489=8,K509,IF($B$489=9,L509,IF($B$489=10,M509,IF($B$489=11,N509,IF($B$489=12,O509,IF($B$489=13,P509,IF($B$489=14,Q509,IF($B$489=15,R509,IF($B$489=16,S509,IF($B$489=17,T509,IF($B$489=18,U509,"")))))))))))))))))</f>
        <v/>
      </c>
      <c r="E509" s="146" t="s">
        <v>36</v>
      </c>
      <c r="F509" s="146" t="s">
        <v>36</v>
      </c>
      <c r="G509" s="443" t="s">
        <v>36</v>
      </c>
      <c r="H509" s="146" t="s">
        <v>36</v>
      </c>
      <c r="I509" s="146" t="s">
        <v>36</v>
      </c>
      <c r="J509" s="352" t="s">
        <v>36</v>
      </c>
      <c r="K509" s="352" t="s">
        <v>36</v>
      </c>
      <c r="L509" s="352" t="s">
        <v>36</v>
      </c>
      <c r="M509" s="352" t="s">
        <v>36</v>
      </c>
      <c r="N509" s="352" t="s">
        <v>36</v>
      </c>
      <c r="O509" s="352" t="s">
        <v>36</v>
      </c>
      <c r="P509" s="352" t="s">
        <v>36</v>
      </c>
      <c r="Q509" s="352" t="s">
        <v>72</v>
      </c>
      <c r="R509" s="499" t="s">
        <v>36</v>
      </c>
      <c r="S509" s="499" t="s">
        <v>36</v>
      </c>
      <c r="T509" s="499" t="s">
        <v>36</v>
      </c>
      <c r="U509" s="499" t="s">
        <v>36</v>
      </c>
      <c r="V509" s="499" t="s">
        <v>36</v>
      </c>
      <c r="W509" s="352"/>
    </row>
    <row r="510" spans="1:23" s="364" customFormat="1"/>
    <row r="511" spans="1:23">
      <c r="B511" s="146">
        <v>1</v>
      </c>
    </row>
    <row r="513" spans="2:4">
      <c r="B513" s="146" t="s">
        <v>550</v>
      </c>
    </row>
    <row r="514" spans="2:4">
      <c r="B514" s="146" t="s">
        <v>551</v>
      </c>
    </row>
    <row r="515" spans="2:4">
      <c r="B515" s="146">
        <v>1</v>
      </c>
    </row>
    <row r="517" spans="2:4">
      <c r="B517" s="146" t="str">
        <f>IF($B$511=2,C517,IF($B$511=3,D517,""))</f>
        <v/>
      </c>
      <c r="C517" s="483" t="s">
        <v>36</v>
      </c>
      <c r="D517" s="146" t="s">
        <v>36</v>
      </c>
    </row>
    <row r="518" spans="2:4">
      <c r="B518" s="146" t="str">
        <f t="shared" ref="B518:B533" si="54">IF($B$511=2,C518,IF($B$511=3,D518,""))</f>
        <v/>
      </c>
      <c r="C518" s="146" t="s">
        <v>12</v>
      </c>
      <c r="D518" s="146" t="s">
        <v>13</v>
      </c>
    </row>
    <row r="519" spans="2:4">
      <c r="B519" s="146" t="str">
        <f t="shared" si="54"/>
        <v/>
      </c>
      <c r="C519" s="146" t="s">
        <v>14</v>
      </c>
      <c r="D519" s="146" t="s">
        <v>15</v>
      </c>
    </row>
    <row r="520" spans="2:4">
      <c r="B520" s="146" t="str">
        <f t="shared" si="54"/>
        <v/>
      </c>
      <c r="C520" s="146" t="s">
        <v>16</v>
      </c>
      <c r="D520" s="146" t="s">
        <v>17</v>
      </c>
    </row>
    <row r="521" spans="2:4">
      <c r="B521" s="146" t="str">
        <f t="shared" si="54"/>
        <v/>
      </c>
      <c r="C521" s="146" t="s">
        <v>36</v>
      </c>
      <c r="D521" s="146" t="s">
        <v>36</v>
      </c>
    </row>
    <row r="522" spans="2:4">
      <c r="B522" s="146" t="str">
        <f t="shared" si="54"/>
        <v/>
      </c>
      <c r="C522" s="146" t="s">
        <v>18</v>
      </c>
      <c r="D522" s="146" t="s">
        <v>36</v>
      </c>
    </row>
    <row r="523" spans="2:4">
      <c r="B523" s="146" t="str">
        <f t="shared" si="54"/>
        <v/>
      </c>
      <c r="C523" s="146" t="s">
        <v>19</v>
      </c>
      <c r="D523" s="146" t="s">
        <v>20</v>
      </c>
    </row>
    <row r="524" spans="2:4">
      <c r="B524" s="146" t="str">
        <f t="shared" si="54"/>
        <v/>
      </c>
      <c r="C524" s="146" t="s">
        <v>21</v>
      </c>
      <c r="D524" s="146" t="s">
        <v>22</v>
      </c>
    </row>
    <row r="525" spans="2:4">
      <c r="B525" s="146" t="str">
        <f t="shared" si="54"/>
        <v/>
      </c>
      <c r="C525" s="146" t="s">
        <v>308</v>
      </c>
      <c r="D525" s="146" t="s">
        <v>275</v>
      </c>
    </row>
    <row r="526" spans="2:4">
      <c r="B526" s="146" t="str">
        <f t="shared" si="54"/>
        <v/>
      </c>
      <c r="C526" s="146" t="s">
        <v>23</v>
      </c>
      <c r="D526" s="146" t="s">
        <v>24</v>
      </c>
    </row>
    <row r="527" spans="2:4">
      <c r="B527" s="146" t="str">
        <f t="shared" si="54"/>
        <v/>
      </c>
      <c r="C527" s="146" t="s">
        <v>25</v>
      </c>
      <c r="D527" s="146" t="s">
        <v>26</v>
      </c>
    </row>
    <row r="528" spans="2:4">
      <c r="B528" s="146" t="str">
        <f t="shared" si="54"/>
        <v/>
      </c>
      <c r="C528" s="146" t="s">
        <v>36</v>
      </c>
      <c r="D528" s="146" t="s">
        <v>36</v>
      </c>
    </row>
    <row r="529" spans="2:4">
      <c r="B529" s="146" t="str">
        <f t="shared" si="54"/>
        <v/>
      </c>
      <c r="C529" s="146" t="s">
        <v>28</v>
      </c>
      <c r="D529" s="146" t="s">
        <v>29</v>
      </c>
    </row>
    <row r="530" spans="2:4">
      <c r="B530" s="146" t="str">
        <f t="shared" si="54"/>
        <v/>
      </c>
      <c r="C530" s="146" t="s">
        <v>30</v>
      </c>
      <c r="D530" s="146" t="s">
        <v>31</v>
      </c>
    </row>
    <row r="531" spans="2:4">
      <c r="B531" s="146" t="str">
        <f t="shared" si="54"/>
        <v/>
      </c>
      <c r="C531" s="146" t="s">
        <v>32</v>
      </c>
      <c r="D531" s="146" t="s">
        <v>36</v>
      </c>
    </row>
    <row r="532" spans="2:4">
      <c r="B532" s="146" t="str">
        <f t="shared" si="54"/>
        <v/>
      </c>
      <c r="C532" s="146" t="s">
        <v>33</v>
      </c>
      <c r="D532" s="146" t="s">
        <v>34</v>
      </c>
    </row>
    <row r="533" spans="2:4">
      <c r="B533" s="146" t="str">
        <f t="shared" si="54"/>
        <v/>
      </c>
      <c r="C533" s="146" t="s">
        <v>35</v>
      </c>
      <c r="D533" s="146" t="s">
        <v>36</v>
      </c>
    </row>
    <row r="536" spans="2:4">
      <c r="B536" s="146">
        <v>1</v>
      </c>
    </row>
    <row r="538" spans="2:4">
      <c r="B538" s="146" t="str">
        <f>B234</f>
        <v>LUCIOS 0.35</v>
      </c>
    </row>
    <row r="539" spans="2:4">
      <c r="B539" s="146" t="str">
        <f t="shared" ref="B539:B541" si="55">B235</f>
        <v>LUCIOS 0.4</v>
      </c>
    </row>
    <row r="540" spans="2:4">
      <c r="B540" s="146" t="str">
        <f t="shared" si="55"/>
        <v>LUCIOS 0.45</v>
      </c>
    </row>
    <row r="541" spans="2:4">
      <c r="B541" s="146" t="str">
        <f t="shared" si="55"/>
        <v>LUCIOS 0.5</v>
      </c>
    </row>
    <row r="542" spans="2:4">
      <c r="B542" s="146" t="s">
        <v>36</v>
      </c>
    </row>
    <row r="543" spans="2:4">
      <c r="B543" s="146" t="s">
        <v>36</v>
      </c>
    </row>
    <row r="544" spans="2:4">
      <c r="B544" s="146" t="str">
        <f>B238</f>
        <v>MAT 0.4</v>
      </c>
    </row>
    <row r="545" spans="2:15">
      <c r="B545" s="146" t="str">
        <f t="shared" ref="B545:B546" si="56">B239</f>
        <v>MAT 0.45</v>
      </c>
    </row>
    <row r="546" spans="2:15">
      <c r="B546" s="146" t="str">
        <f t="shared" si="56"/>
        <v>MAT 0.5</v>
      </c>
    </row>
    <row r="547" spans="2:15">
      <c r="B547" s="146" t="str">
        <f>Lang!A211</f>
        <v>Imitatie de lemn</v>
      </c>
    </row>
    <row r="548" spans="2:15">
      <c r="B548" s="146" t="str">
        <f>Lang!A210</f>
        <v>Imitatie de lemn DP</v>
      </c>
    </row>
    <row r="549" spans="2:15">
      <c r="B549" s="146" t="str">
        <f>B241</f>
        <v>SUPREM 50 0.5</v>
      </c>
    </row>
    <row r="550" spans="2:15">
      <c r="B550" s="146" t="str">
        <f>B242</f>
        <v>NEOMAT 30 0.5</v>
      </c>
    </row>
    <row r="553" spans="2:15">
      <c r="C553" s="146">
        <v>2</v>
      </c>
      <c r="D553" s="146">
        <v>3</v>
      </c>
      <c r="E553" s="146">
        <v>4</v>
      </c>
      <c r="F553" s="146">
        <v>5</v>
      </c>
      <c r="G553" s="146">
        <v>6</v>
      </c>
      <c r="H553" s="146">
        <v>7</v>
      </c>
      <c r="I553" s="146">
        <v>8</v>
      </c>
      <c r="J553" s="146">
        <v>9</v>
      </c>
      <c r="K553" s="146">
        <v>10</v>
      </c>
      <c r="L553" s="146">
        <v>11</v>
      </c>
      <c r="M553" s="146">
        <v>12</v>
      </c>
      <c r="N553" s="146">
        <v>13</v>
      </c>
      <c r="O553" s="146">
        <v>14</v>
      </c>
    </row>
    <row r="554" spans="2:15">
      <c r="C554" s="146" t="s">
        <v>509</v>
      </c>
      <c r="D554" s="146" t="s">
        <v>510</v>
      </c>
      <c r="E554" s="146" t="s">
        <v>511</v>
      </c>
      <c r="F554" s="146" t="s">
        <v>141</v>
      </c>
      <c r="G554" s="146" t="s">
        <v>512</v>
      </c>
      <c r="H554" s="146" t="s">
        <v>513</v>
      </c>
      <c r="I554" s="146" t="s">
        <v>370</v>
      </c>
      <c r="J554" s="146" t="s">
        <v>371</v>
      </c>
      <c r="K554" s="146" t="s">
        <v>372</v>
      </c>
      <c r="L554" s="146" t="s">
        <v>1656</v>
      </c>
      <c r="M554" s="146" t="s">
        <v>1657</v>
      </c>
      <c r="N554" s="146" t="s">
        <v>373</v>
      </c>
      <c r="O554" s="146" t="s">
        <v>374</v>
      </c>
    </row>
    <row r="555" spans="2:15">
      <c r="B555" s="146">
        <v>1</v>
      </c>
    </row>
    <row r="557" spans="2:15">
      <c r="B557" s="146" t="str">
        <f>IF($B$536=2,C557,IF($B$536=3,D557,IF($B$536=4,E557,IF($B$536=5,F557,IF($B$536=6,G557,IF($B$536=7,H557,IF($B$536=8,I557,IF($B$536=9,J557,IF($B$536=10,K557,IF($B$536=11,L557,IF($B$536=12,M557,IF($B$536=13,N557,IF($B$536=14,O557,"")))))))))))))</f>
        <v/>
      </c>
      <c r="C557" s="146" t="s">
        <v>36</v>
      </c>
      <c r="D557" s="146" t="s">
        <v>36</v>
      </c>
      <c r="E557" s="146" t="s">
        <v>36</v>
      </c>
      <c r="F557" s="483" t="s">
        <v>36</v>
      </c>
      <c r="G557" s="146" t="s">
        <v>36</v>
      </c>
      <c r="H557" s="146" t="s">
        <v>36</v>
      </c>
      <c r="I557" s="146" t="s">
        <v>36</v>
      </c>
      <c r="J557" s="146" t="s">
        <v>36</v>
      </c>
      <c r="K557" s="146" t="s">
        <v>36</v>
      </c>
      <c r="L557" s="502" t="s">
        <v>2589</v>
      </c>
      <c r="M557" s="146" t="s">
        <v>506</v>
      </c>
      <c r="N557" s="146" t="s">
        <v>36</v>
      </c>
      <c r="O557" s="146" t="s">
        <v>36</v>
      </c>
    </row>
    <row r="558" spans="2:15">
      <c r="B558" s="146" t="str">
        <f t="shared" ref="B558:B573" si="57">IF($B$536=2,C558,IF($B$536=3,D558,IF($B$536=4,E558,IF($B$536=5,F558,IF($B$536=6,G558,IF($B$536=7,H558,IF($B$536=8,I558,IF($B$536=9,J558,IF($B$536=10,K558,IF($B$536=11,L558,IF($B$536=12,M558,IF($B$536=13,N558,IF($B$536=14,O558,"")))))))))))))</f>
        <v/>
      </c>
      <c r="C558" s="146" t="s">
        <v>36</v>
      </c>
      <c r="D558" s="146" t="s">
        <v>36</v>
      </c>
      <c r="E558" s="427" t="s">
        <v>36</v>
      </c>
      <c r="F558" s="146" t="s">
        <v>12</v>
      </c>
      <c r="G558" s="146" t="s">
        <v>36</v>
      </c>
      <c r="H558" s="146" t="s">
        <v>36</v>
      </c>
      <c r="I558" s="448" t="s">
        <v>36</v>
      </c>
      <c r="J558" s="427" t="s">
        <v>36</v>
      </c>
      <c r="K558" s="146" t="s">
        <v>13</v>
      </c>
      <c r="L558" s="502" t="s">
        <v>2590</v>
      </c>
      <c r="M558" s="146" t="s">
        <v>36</v>
      </c>
      <c r="N558" s="146" t="s">
        <v>36</v>
      </c>
      <c r="O558" s="146" t="s">
        <v>435</v>
      </c>
    </row>
    <row r="559" spans="2:15">
      <c r="B559" s="146" t="str">
        <f t="shared" si="57"/>
        <v/>
      </c>
      <c r="C559" s="146" t="s">
        <v>36</v>
      </c>
      <c r="D559" s="146" t="s">
        <v>36</v>
      </c>
      <c r="E559" s="427" t="s">
        <v>36</v>
      </c>
      <c r="F559" s="146" t="s">
        <v>14</v>
      </c>
      <c r="G559" s="146" t="s">
        <v>36</v>
      </c>
      <c r="H559" s="146" t="s">
        <v>36</v>
      </c>
      <c r="I559" s="146" t="s">
        <v>36</v>
      </c>
      <c r="J559" s="427" t="s">
        <v>36</v>
      </c>
      <c r="K559" s="146" t="s">
        <v>15</v>
      </c>
      <c r="L559" s="146" t="s">
        <v>36</v>
      </c>
      <c r="M559" s="146" t="s">
        <v>36</v>
      </c>
      <c r="N559" s="146" t="s">
        <v>36</v>
      </c>
      <c r="O559" s="146" t="s">
        <v>379</v>
      </c>
    </row>
    <row r="560" spans="2:15">
      <c r="B560" s="146" t="str">
        <f t="shared" si="57"/>
        <v/>
      </c>
      <c r="C560" s="146" t="s">
        <v>16</v>
      </c>
      <c r="D560" s="146" t="s">
        <v>16</v>
      </c>
      <c r="E560" s="146" t="s">
        <v>16</v>
      </c>
      <c r="F560" s="146" t="s">
        <v>16</v>
      </c>
      <c r="G560" s="146" t="s">
        <v>36</v>
      </c>
      <c r="H560" s="146" t="s">
        <v>36</v>
      </c>
      <c r="I560" s="146" t="s">
        <v>36</v>
      </c>
      <c r="J560" s="146" t="s">
        <v>17</v>
      </c>
      <c r="K560" s="146" t="s">
        <v>17</v>
      </c>
      <c r="L560" s="146" t="s">
        <v>36</v>
      </c>
      <c r="M560" s="146" t="s">
        <v>36</v>
      </c>
      <c r="N560" s="146" t="s">
        <v>36</v>
      </c>
      <c r="O560" s="146" t="s">
        <v>436</v>
      </c>
    </row>
    <row r="561" spans="1:15">
      <c r="B561" s="146" t="str">
        <f t="shared" si="57"/>
        <v/>
      </c>
      <c r="C561" s="146" t="s">
        <v>36</v>
      </c>
      <c r="D561" s="146" t="s">
        <v>36</v>
      </c>
      <c r="E561" s="146" t="s">
        <v>36</v>
      </c>
      <c r="F561" s="146" t="s">
        <v>36</v>
      </c>
      <c r="G561" s="146" t="s">
        <v>36</v>
      </c>
      <c r="H561" s="146" t="s">
        <v>36</v>
      </c>
      <c r="I561" s="146" t="s">
        <v>36</v>
      </c>
      <c r="J561" s="146" t="s">
        <v>36</v>
      </c>
      <c r="K561" s="146" t="s">
        <v>36</v>
      </c>
      <c r="L561" s="146" t="s">
        <v>36</v>
      </c>
      <c r="M561" s="146" t="s">
        <v>36</v>
      </c>
      <c r="N561" s="146" t="s">
        <v>36</v>
      </c>
      <c r="O561" s="146" t="s">
        <v>36</v>
      </c>
    </row>
    <row r="562" spans="1:15">
      <c r="B562" s="146" t="str">
        <f t="shared" si="57"/>
        <v/>
      </c>
      <c r="C562" s="146" t="s">
        <v>36</v>
      </c>
      <c r="D562" s="146" t="s">
        <v>36</v>
      </c>
      <c r="E562" s="146" t="s">
        <v>36</v>
      </c>
      <c r="F562" s="146" t="s">
        <v>18</v>
      </c>
      <c r="G562" s="146" t="s">
        <v>36</v>
      </c>
      <c r="H562" s="146" t="s">
        <v>36</v>
      </c>
      <c r="I562" s="146" t="s">
        <v>36</v>
      </c>
      <c r="J562" s="146" t="s">
        <v>36</v>
      </c>
      <c r="K562" s="146" t="s">
        <v>36</v>
      </c>
      <c r="L562" s="146" t="s">
        <v>36</v>
      </c>
      <c r="M562" s="146" t="s">
        <v>36</v>
      </c>
      <c r="N562" s="146" t="s">
        <v>36</v>
      </c>
      <c r="O562" s="146" t="s">
        <v>36</v>
      </c>
    </row>
    <row r="563" spans="1:15">
      <c r="B563" s="146" t="str">
        <f t="shared" si="57"/>
        <v/>
      </c>
      <c r="C563" s="146" t="s">
        <v>36</v>
      </c>
      <c r="D563" s="146" t="s">
        <v>36</v>
      </c>
      <c r="E563" s="146" t="s">
        <v>36</v>
      </c>
      <c r="F563" s="146" t="s">
        <v>19</v>
      </c>
      <c r="G563" s="146" t="s">
        <v>36</v>
      </c>
      <c r="H563" s="146" t="s">
        <v>36</v>
      </c>
      <c r="I563" s="146" t="s">
        <v>36</v>
      </c>
      <c r="J563" s="146" t="s">
        <v>36</v>
      </c>
      <c r="K563" s="146" t="s">
        <v>20</v>
      </c>
      <c r="L563" s="146" t="s">
        <v>36</v>
      </c>
      <c r="M563" s="146" t="s">
        <v>36</v>
      </c>
      <c r="N563" s="146" t="s">
        <v>36</v>
      </c>
      <c r="O563" s="146" t="s">
        <v>36</v>
      </c>
    </row>
    <row r="564" spans="1:15">
      <c r="B564" s="146" t="str">
        <f t="shared" si="57"/>
        <v/>
      </c>
      <c r="C564" s="146" t="s">
        <v>36</v>
      </c>
      <c r="D564" s="146" t="s">
        <v>36</v>
      </c>
      <c r="E564" s="146" t="s">
        <v>36</v>
      </c>
      <c r="F564" s="146" t="s">
        <v>36</v>
      </c>
      <c r="G564" s="146" t="s">
        <v>36</v>
      </c>
      <c r="H564" s="146" t="s">
        <v>36</v>
      </c>
      <c r="I564" s="146" t="s">
        <v>36</v>
      </c>
      <c r="J564" s="146" t="s">
        <v>36</v>
      </c>
      <c r="K564" s="146" t="s">
        <v>22</v>
      </c>
      <c r="L564" s="146" t="s">
        <v>36</v>
      </c>
      <c r="M564" s="146" t="s">
        <v>36</v>
      </c>
      <c r="N564" s="146" t="s">
        <v>36</v>
      </c>
      <c r="O564" s="495" t="s">
        <v>437</v>
      </c>
    </row>
    <row r="565" spans="1:15">
      <c r="B565" s="146" t="str">
        <f t="shared" si="57"/>
        <v/>
      </c>
      <c r="C565" s="146" t="s">
        <v>36</v>
      </c>
      <c r="D565" s="146" t="s">
        <v>36</v>
      </c>
      <c r="E565" s="146" t="s">
        <v>308</v>
      </c>
      <c r="F565" s="146" t="s">
        <v>308</v>
      </c>
      <c r="G565" s="146" t="s">
        <v>36</v>
      </c>
      <c r="H565" s="146" t="s">
        <v>36</v>
      </c>
      <c r="I565" s="495" t="s">
        <v>275</v>
      </c>
      <c r="J565" s="146" t="s">
        <v>36</v>
      </c>
      <c r="K565" s="146" t="s">
        <v>275</v>
      </c>
      <c r="L565" s="146" t="s">
        <v>36</v>
      </c>
      <c r="M565" s="146" t="s">
        <v>36</v>
      </c>
      <c r="N565" s="146" t="s">
        <v>36</v>
      </c>
      <c r="O565" s="77" t="s">
        <v>2570</v>
      </c>
    </row>
    <row r="566" spans="1:15">
      <c r="B566" s="146" t="str">
        <f t="shared" si="57"/>
        <v/>
      </c>
      <c r="C566" s="146" t="s">
        <v>36</v>
      </c>
      <c r="D566" s="146" t="s">
        <v>36</v>
      </c>
      <c r="E566" s="146" t="s">
        <v>23</v>
      </c>
      <c r="F566" s="146" t="s">
        <v>23</v>
      </c>
      <c r="G566" s="146" t="s">
        <v>36</v>
      </c>
      <c r="H566" s="146" t="s">
        <v>36</v>
      </c>
      <c r="I566" s="146" t="s">
        <v>24</v>
      </c>
      <c r="J566" s="146" t="s">
        <v>24</v>
      </c>
      <c r="K566" s="146" t="s">
        <v>24</v>
      </c>
      <c r="L566" s="146" t="s">
        <v>36</v>
      </c>
      <c r="M566" s="146" t="s">
        <v>36</v>
      </c>
      <c r="N566" s="146" t="s">
        <v>377</v>
      </c>
      <c r="O566" s="146" t="s">
        <v>380</v>
      </c>
    </row>
    <row r="567" spans="1:15">
      <c r="B567" s="146" t="str">
        <f t="shared" si="57"/>
        <v/>
      </c>
      <c r="C567" s="146" t="s">
        <v>36</v>
      </c>
      <c r="D567" s="146" t="s">
        <v>36</v>
      </c>
      <c r="E567" s="146" t="s">
        <v>25</v>
      </c>
      <c r="F567" s="146" t="s">
        <v>25</v>
      </c>
      <c r="G567" s="146" t="s">
        <v>36</v>
      </c>
      <c r="H567" s="146" t="s">
        <v>36</v>
      </c>
      <c r="I567" s="146" t="s">
        <v>36</v>
      </c>
      <c r="J567" s="146" t="s">
        <v>26</v>
      </c>
      <c r="K567" s="146" t="s">
        <v>26</v>
      </c>
      <c r="L567" s="146" t="s">
        <v>36</v>
      </c>
      <c r="M567" s="146" t="s">
        <v>36</v>
      </c>
      <c r="N567" s="146" t="s">
        <v>36</v>
      </c>
      <c r="O567" s="146" t="s">
        <v>36</v>
      </c>
    </row>
    <row r="568" spans="1:15">
      <c r="B568" s="146" t="str">
        <f t="shared" si="57"/>
        <v/>
      </c>
      <c r="C568" s="146" t="s">
        <v>36</v>
      </c>
      <c r="D568" s="146" t="s">
        <v>36</v>
      </c>
      <c r="E568" s="146" t="s">
        <v>36</v>
      </c>
      <c r="F568" s="146" t="s">
        <v>36</v>
      </c>
      <c r="G568" s="146" t="s">
        <v>36</v>
      </c>
      <c r="H568" s="146" t="s">
        <v>36</v>
      </c>
      <c r="I568" s="146" t="s">
        <v>36</v>
      </c>
      <c r="J568" s="146" t="s">
        <v>36</v>
      </c>
      <c r="K568" s="146" t="s">
        <v>36</v>
      </c>
      <c r="L568" s="146" t="s">
        <v>36</v>
      </c>
      <c r="M568" s="146" t="s">
        <v>36</v>
      </c>
      <c r="N568" s="146" t="s">
        <v>36</v>
      </c>
      <c r="O568" s="146" t="s">
        <v>438</v>
      </c>
    </row>
    <row r="569" spans="1:15">
      <c r="B569" s="146" t="str">
        <f t="shared" si="57"/>
        <v/>
      </c>
      <c r="C569" s="146" t="s">
        <v>28</v>
      </c>
      <c r="D569" s="146" t="s">
        <v>28</v>
      </c>
      <c r="E569" s="146" t="s">
        <v>28</v>
      </c>
      <c r="F569" s="146" t="s">
        <v>28</v>
      </c>
      <c r="G569" s="146" t="s">
        <v>36</v>
      </c>
      <c r="H569" s="146" t="s">
        <v>36</v>
      </c>
      <c r="I569" s="146" t="s">
        <v>29</v>
      </c>
      <c r="J569" s="146" t="s">
        <v>29</v>
      </c>
      <c r="K569" s="146" t="s">
        <v>29</v>
      </c>
      <c r="L569" s="146" t="s">
        <v>36</v>
      </c>
      <c r="M569" s="146" t="s">
        <v>36</v>
      </c>
      <c r="N569" s="468" t="s">
        <v>36</v>
      </c>
      <c r="O569" s="146" t="s">
        <v>381</v>
      </c>
    </row>
    <row r="570" spans="1:15">
      <c r="B570" s="146" t="str">
        <f t="shared" si="57"/>
        <v/>
      </c>
      <c r="C570" s="146" t="s">
        <v>36</v>
      </c>
      <c r="D570" s="146" t="s">
        <v>36</v>
      </c>
      <c r="E570" s="146" t="s">
        <v>36</v>
      </c>
      <c r="F570" s="146" t="s">
        <v>36</v>
      </c>
      <c r="G570" s="146" t="s">
        <v>36</v>
      </c>
      <c r="H570" s="146" t="s">
        <v>36</v>
      </c>
      <c r="I570" s="495" t="s">
        <v>36</v>
      </c>
      <c r="J570" s="146" t="s">
        <v>31</v>
      </c>
      <c r="K570" s="146" t="s">
        <v>31</v>
      </c>
      <c r="L570" s="146" t="s">
        <v>36</v>
      </c>
      <c r="M570" s="146" t="s">
        <v>36</v>
      </c>
      <c r="N570" s="146" t="s">
        <v>378</v>
      </c>
      <c r="O570" s="146" t="s">
        <v>382</v>
      </c>
    </row>
    <row r="571" spans="1:15">
      <c r="B571" s="146" t="str">
        <f t="shared" si="57"/>
        <v/>
      </c>
      <c r="C571" s="146" t="s">
        <v>36</v>
      </c>
      <c r="D571" s="146" t="s">
        <v>36</v>
      </c>
      <c r="E571" s="146" t="s">
        <v>32</v>
      </c>
      <c r="F571" s="146" t="s">
        <v>32</v>
      </c>
      <c r="G571" s="146" t="s">
        <v>32</v>
      </c>
      <c r="H571" s="146" t="s">
        <v>32</v>
      </c>
      <c r="I571" s="146" t="s">
        <v>36</v>
      </c>
      <c r="J571" s="146" t="s">
        <v>36</v>
      </c>
      <c r="K571" s="146" t="s">
        <v>36</v>
      </c>
      <c r="L571" s="146" t="s">
        <v>36</v>
      </c>
      <c r="M571" s="146" t="s">
        <v>36</v>
      </c>
      <c r="N571" s="146" t="s">
        <v>36</v>
      </c>
      <c r="O571" s="146" t="s">
        <v>36</v>
      </c>
    </row>
    <row r="572" spans="1:15">
      <c r="B572" s="146" t="str">
        <f t="shared" si="57"/>
        <v/>
      </c>
      <c r="C572" s="146" t="s">
        <v>36</v>
      </c>
      <c r="D572" s="146" t="s">
        <v>36</v>
      </c>
      <c r="E572" s="146" t="s">
        <v>36</v>
      </c>
      <c r="F572" s="146" t="s">
        <v>36</v>
      </c>
      <c r="G572" s="146" t="s">
        <v>36</v>
      </c>
      <c r="H572" s="146" t="s">
        <v>36</v>
      </c>
      <c r="I572" s="495" t="s">
        <v>34</v>
      </c>
      <c r="J572" s="146" t="s">
        <v>34</v>
      </c>
      <c r="K572" s="146" t="s">
        <v>34</v>
      </c>
      <c r="L572" s="146" t="s">
        <v>36</v>
      </c>
      <c r="M572" s="146" t="s">
        <v>36</v>
      </c>
      <c r="N572" s="146" t="s">
        <v>36</v>
      </c>
      <c r="O572" s="146" t="s">
        <v>383</v>
      </c>
    </row>
    <row r="573" spans="1:15">
      <c r="B573" s="146" t="str">
        <f t="shared" si="57"/>
        <v/>
      </c>
      <c r="C573" s="146" t="s">
        <v>36</v>
      </c>
      <c r="D573" s="146" t="s">
        <v>36</v>
      </c>
      <c r="E573" s="146" t="s">
        <v>35</v>
      </c>
      <c r="F573" s="146" t="s">
        <v>35</v>
      </c>
      <c r="G573" s="146" t="s">
        <v>36</v>
      </c>
      <c r="H573" s="146" t="s">
        <v>36</v>
      </c>
      <c r="K573" s="146" t="s">
        <v>36</v>
      </c>
      <c r="L573" s="146" t="s">
        <v>36</v>
      </c>
      <c r="M573" s="146" t="s">
        <v>36</v>
      </c>
      <c r="N573" s="146" t="s">
        <v>36</v>
      </c>
      <c r="O573" s="146" t="s">
        <v>36</v>
      </c>
    </row>
    <row r="574" spans="1:15" s="234" customFormat="1">
      <c r="A574" s="507"/>
    </row>
    <row r="575" spans="1:15" s="247" customFormat="1">
      <c r="B575" s="247" t="s">
        <v>1717</v>
      </c>
    </row>
    <row r="576" spans="1:15">
      <c r="B576" s="146">
        <v>1</v>
      </c>
    </row>
    <row r="578" spans="2:5">
      <c r="B578" s="234" t="s">
        <v>1718</v>
      </c>
      <c r="C578" s="146" t="str">
        <f>"SAGEAC STOC"&amp;" "&amp;INDEX(B577:B585,B576)</f>
        <v xml:space="preserve">SAGEAC STOC </v>
      </c>
      <c r="D578" s="146">
        <f>IFERROR(VLOOKUP(C578,In!A61:F1222,6,FALSE),0)</f>
        <v>0</v>
      </c>
    </row>
    <row r="579" spans="2:5">
      <c r="B579" s="234" t="s">
        <v>1719</v>
      </c>
    </row>
    <row r="580" spans="2:5">
      <c r="B580" s="234" t="s">
        <v>1720</v>
      </c>
    </row>
    <row r="581" spans="2:5" s="520" customFormat="1">
      <c r="B581" s="520" t="s">
        <v>3224</v>
      </c>
    </row>
    <row r="582" spans="2:5">
      <c r="B582" s="234" t="s">
        <v>1721</v>
      </c>
    </row>
    <row r="583" spans="2:5">
      <c r="B583" s="234" t="s">
        <v>1722</v>
      </c>
    </row>
    <row r="584" spans="2:5">
      <c r="B584" s="77" t="s">
        <v>2981</v>
      </c>
    </row>
    <row r="585" spans="2:5" s="512" customFormat="1">
      <c r="B585" s="77" t="s">
        <v>2983</v>
      </c>
    </row>
    <row r="586" spans="2:5">
      <c r="B586" s="146">
        <v>1</v>
      </c>
    </row>
    <row r="587" spans="2:5">
      <c r="B587" s="234"/>
    </row>
    <row r="588" spans="2:5">
      <c r="B588" s="250" t="s">
        <v>550</v>
      </c>
      <c r="C588" s="146" t="str">
        <f>"SAGEAC CMD"&amp;" "&amp;INDEX(B587:B592,B586)</f>
        <v xml:space="preserve">SAGEAC CMD </v>
      </c>
      <c r="D588" s="146">
        <f>IFERROR(VLOOKUP(C588,In!A61:F1222,6,FALSE),0)</f>
        <v>0</v>
      </c>
      <c r="E588" s="253"/>
    </row>
    <row r="589" spans="2:5">
      <c r="B589" s="250" t="s">
        <v>551</v>
      </c>
      <c r="C589" s="234" t="str">
        <f>"PROFIL J SAGEAC"&amp;" "&amp;INDEX(B587:B592,B586)</f>
        <v xml:space="preserve">PROFIL J SAGEAC </v>
      </c>
      <c r="D589" s="234">
        <f>IFERROR(VLOOKUP(C589,In!A62:F1223,6,FALSE),0)</f>
        <v>0</v>
      </c>
    </row>
    <row r="590" spans="2:5">
      <c r="B590" s="250" t="s">
        <v>1736</v>
      </c>
      <c r="C590" s="234" t="str">
        <f>"COLTAR INTERIOR SAGEAC"&amp;" "&amp;INDEX(B587:B592,B586)</f>
        <v xml:space="preserve">COLTAR INTERIOR SAGEAC </v>
      </c>
      <c r="D590" s="234">
        <f>IFERROR(VLOOKUP(C590,In!A63:F1224,6,FALSE),0)</f>
        <v>0</v>
      </c>
    </row>
    <row r="591" spans="2:5">
      <c r="B591" s="250" t="s">
        <v>1737</v>
      </c>
      <c r="C591" s="234" t="str">
        <f>"COLTAR EXTERIOR SAGEAC"&amp;" "&amp;INDEX(B587:B592,B586)</f>
        <v xml:space="preserve">COLTAR EXTERIOR SAGEAC </v>
      </c>
      <c r="D591" s="234">
        <f>IFERROR(VLOOKUP(C591,In!A65:F1225,6,FALSE),0)</f>
        <v>0</v>
      </c>
    </row>
    <row r="592" spans="2:5">
      <c r="B592" s="250" t="s">
        <v>580</v>
      </c>
    </row>
    <row r="593" spans="2:7">
      <c r="B593" s="234"/>
    </row>
    <row r="594" spans="2:7">
      <c r="B594" s="146">
        <v>1</v>
      </c>
    </row>
    <row r="595" spans="2:7">
      <c r="C595" s="234"/>
      <c r="D595" s="234"/>
      <c r="E595" s="234"/>
      <c r="F595" s="234"/>
      <c r="G595" s="234" t="s">
        <v>36</v>
      </c>
    </row>
    <row r="596" spans="2:7">
      <c r="B596" s="146" t="b">
        <f>IF($B$586=2,C596,IF($B$586=3,D596,IF($B$586=4,E596,IF($B$586=5,F596,IF($B$586=6,G596)))))</f>
        <v>0</v>
      </c>
      <c r="C596" s="483" t="s">
        <v>36</v>
      </c>
      <c r="D596" s="234" t="s">
        <v>36</v>
      </c>
      <c r="E596" s="234" t="s">
        <v>36</v>
      </c>
      <c r="F596" s="234" t="s">
        <v>36</v>
      </c>
      <c r="G596" s="512" t="s">
        <v>2981</v>
      </c>
    </row>
    <row r="597" spans="2:7">
      <c r="B597" s="234" t="b">
        <f t="shared" ref="B597:B612" si="58">IF($B$586=2,C597,IF($B$586=3,D597,IF($B$586=4,E597,IF($B$586=5,F597,IF($B$586=6,G597)))))</f>
        <v>0</v>
      </c>
      <c r="C597" s="234" t="s">
        <v>12</v>
      </c>
      <c r="D597" s="234" t="s">
        <v>13</v>
      </c>
      <c r="E597" s="234" t="s">
        <v>435</v>
      </c>
      <c r="F597" s="234" t="s">
        <v>36</v>
      </c>
      <c r="G597" s="512" t="s">
        <v>2983</v>
      </c>
    </row>
    <row r="598" spans="2:7">
      <c r="B598" s="234" t="b">
        <f t="shared" si="58"/>
        <v>0</v>
      </c>
      <c r="C598" s="234" t="s">
        <v>14</v>
      </c>
      <c r="D598" s="234" t="s">
        <v>15</v>
      </c>
      <c r="E598" s="234" t="s">
        <v>379</v>
      </c>
      <c r="F598" s="234" t="s">
        <v>36</v>
      </c>
      <c r="G598" s="234" t="s">
        <v>36</v>
      </c>
    </row>
    <row r="599" spans="2:7">
      <c r="B599" s="234" t="b">
        <f t="shared" si="58"/>
        <v>0</v>
      </c>
      <c r="C599" s="234" t="s">
        <v>16</v>
      </c>
      <c r="D599" s="234" t="s">
        <v>17</v>
      </c>
      <c r="E599" s="234" t="s">
        <v>436</v>
      </c>
      <c r="F599" s="234" t="s">
        <v>36</v>
      </c>
      <c r="G599" s="234" t="s">
        <v>36</v>
      </c>
    </row>
    <row r="600" spans="2:7">
      <c r="B600" s="234" t="b">
        <f t="shared" si="58"/>
        <v>0</v>
      </c>
      <c r="C600" s="234" t="s">
        <v>36</v>
      </c>
      <c r="D600" s="234" t="s">
        <v>36</v>
      </c>
      <c r="E600" s="234" t="s">
        <v>36</v>
      </c>
      <c r="F600" s="234" t="s">
        <v>36</v>
      </c>
      <c r="G600" s="234" t="s">
        <v>36</v>
      </c>
    </row>
    <row r="601" spans="2:7">
      <c r="B601" s="234" t="b">
        <f t="shared" si="58"/>
        <v>0</v>
      </c>
      <c r="C601" s="234" t="s">
        <v>18</v>
      </c>
      <c r="D601" s="234" t="s">
        <v>36</v>
      </c>
      <c r="E601" s="234" t="s">
        <v>36</v>
      </c>
      <c r="F601" s="234" t="s">
        <v>36</v>
      </c>
      <c r="G601" s="234" t="s">
        <v>36</v>
      </c>
    </row>
    <row r="602" spans="2:7">
      <c r="B602" s="234" t="b">
        <f t="shared" si="58"/>
        <v>0</v>
      </c>
      <c r="C602" s="234" t="s">
        <v>19</v>
      </c>
      <c r="D602" s="234" t="s">
        <v>20</v>
      </c>
      <c r="E602" s="234" t="s">
        <v>36</v>
      </c>
      <c r="F602" s="234" t="s">
        <v>36</v>
      </c>
      <c r="G602" s="234" t="s">
        <v>36</v>
      </c>
    </row>
    <row r="603" spans="2:7">
      <c r="B603" s="234" t="b">
        <f t="shared" si="58"/>
        <v>0</v>
      </c>
      <c r="C603" s="234" t="s">
        <v>36</v>
      </c>
      <c r="D603" s="234" t="s">
        <v>22</v>
      </c>
      <c r="E603" s="495" t="s">
        <v>437</v>
      </c>
      <c r="F603" s="234" t="s">
        <v>36</v>
      </c>
      <c r="G603" s="234" t="s">
        <v>36</v>
      </c>
    </row>
    <row r="604" spans="2:7">
      <c r="B604" s="234" t="b">
        <f t="shared" si="58"/>
        <v>0</v>
      </c>
      <c r="C604" s="234" t="s">
        <v>308</v>
      </c>
      <c r="D604" s="234" t="s">
        <v>275</v>
      </c>
      <c r="E604" s="77" t="s">
        <v>2570</v>
      </c>
      <c r="F604" s="234" t="s">
        <v>36</v>
      </c>
      <c r="G604" s="234" t="s">
        <v>36</v>
      </c>
    </row>
    <row r="605" spans="2:7">
      <c r="B605" s="234" t="b">
        <f t="shared" si="58"/>
        <v>0</v>
      </c>
      <c r="C605" s="234" t="s">
        <v>23</v>
      </c>
      <c r="D605" s="234" t="s">
        <v>24</v>
      </c>
      <c r="E605" s="234" t="s">
        <v>380</v>
      </c>
      <c r="F605" s="234" t="s">
        <v>377</v>
      </c>
      <c r="G605" s="234" t="s">
        <v>36</v>
      </c>
    </row>
    <row r="606" spans="2:7">
      <c r="B606" s="234" t="b">
        <f t="shared" si="58"/>
        <v>0</v>
      </c>
      <c r="C606" s="234" t="s">
        <v>25</v>
      </c>
      <c r="D606" s="234" t="s">
        <v>26</v>
      </c>
      <c r="E606" s="234" t="s">
        <v>36</v>
      </c>
      <c r="F606" s="234" t="s">
        <v>36</v>
      </c>
      <c r="G606" s="234" t="s">
        <v>36</v>
      </c>
    </row>
    <row r="607" spans="2:7">
      <c r="B607" s="234" t="b">
        <f t="shared" si="58"/>
        <v>0</v>
      </c>
      <c r="C607" s="234" t="s">
        <v>36</v>
      </c>
      <c r="D607" s="234" t="s">
        <v>36</v>
      </c>
      <c r="E607" s="234" t="s">
        <v>438</v>
      </c>
      <c r="F607" s="234" t="s">
        <v>36</v>
      </c>
      <c r="G607" s="234" t="s">
        <v>36</v>
      </c>
    </row>
    <row r="608" spans="2:7">
      <c r="B608" s="234" t="b">
        <f t="shared" si="58"/>
        <v>0</v>
      </c>
      <c r="C608" s="234" t="s">
        <v>28</v>
      </c>
      <c r="D608" s="234" t="s">
        <v>29</v>
      </c>
      <c r="E608" s="234" t="s">
        <v>381</v>
      </c>
      <c r="F608" s="468" t="s">
        <v>36</v>
      </c>
      <c r="G608" s="234" t="s">
        <v>36</v>
      </c>
    </row>
    <row r="609" spans="2:10">
      <c r="B609" s="234" t="b">
        <f t="shared" si="58"/>
        <v>0</v>
      </c>
      <c r="C609" s="234" t="s">
        <v>36</v>
      </c>
      <c r="D609" s="234" t="s">
        <v>31</v>
      </c>
      <c r="E609" s="234" t="s">
        <v>382</v>
      </c>
      <c r="F609" s="234" t="s">
        <v>378</v>
      </c>
      <c r="G609" s="234" t="s">
        <v>36</v>
      </c>
    </row>
    <row r="610" spans="2:10">
      <c r="B610" s="234" t="b">
        <f t="shared" si="58"/>
        <v>0</v>
      </c>
      <c r="C610" s="234" t="s">
        <v>32</v>
      </c>
      <c r="D610" s="234" t="s">
        <v>36</v>
      </c>
      <c r="E610" s="234" t="s">
        <v>36</v>
      </c>
      <c r="F610" s="234" t="s">
        <v>36</v>
      </c>
      <c r="G610" s="234" t="s">
        <v>36</v>
      </c>
    </row>
    <row r="611" spans="2:10">
      <c r="B611" s="234" t="b">
        <f t="shared" si="58"/>
        <v>0</v>
      </c>
      <c r="C611" s="234" t="s">
        <v>36</v>
      </c>
      <c r="D611" s="234" t="s">
        <v>34</v>
      </c>
      <c r="E611" s="234" t="s">
        <v>383</v>
      </c>
      <c r="F611" s="234" t="s">
        <v>36</v>
      </c>
      <c r="G611" s="234" t="s">
        <v>36</v>
      </c>
    </row>
    <row r="612" spans="2:10">
      <c r="B612" s="234" t="b">
        <f t="shared" si="58"/>
        <v>0</v>
      </c>
      <c r="C612" s="234" t="s">
        <v>35</v>
      </c>
      <c r="D612" s="234" t="s">
        <v>36</v>
      </c>
      <c r="E612" s="234" t="s">
        <v>36</v>
      </c>
      <c r="F612" s="234" t="s">
        <v>36</v>
      </c>
      <c r="G612" s="234" t="s">
        <v>36</v>
      </c>
    </row>
    <row r="615" spans="2:10" s="247" customFormat="1">
      <c r="B615" s="247" t="s">
        <v>1843</v>
      </c>
    </row>
    <row r="616" spans="2:10">
      <c r="B616" s="294"/>
      <c r="C616" s="294"/>
      <c r="D616" s="294"/>
      <c r="E616" s="294"/>
      <c r="F616" s="294"/>
    </row>
    <row r="617" spans="2:10">
      <c r="B617" s="294">
        <v>1</v>
      </c>
      <c r="C617" s="294" t="s">
        <v>306</v>
      </c>
      <c r="D617" s="294" t="s">
        <v>307</v>
      </c>
      <c r="E617" s="294" t="s">
        <v>392</v>
      </c>
      <c r="F617" s="294" t="s">
        <v>391</v>
      </c>
      <c r="G617" s="294" t="s">
        <v>1844</v>
      </c>
      <c r="H617" s="294" t="s">
        <v>1845</v>
      </c>
      <c r="I617" s="294" t="s">
        <v>498</v>
      </c>
      <c r="J617" s="515" t="s">
        <v>3196</v>
      </c>
    </row>
    <row r="618" spans="2:10">
      <c r="B618" s="294" t="s">
        <v>36</v>
      </c>
      <c r="C618" s="294"/>
      <c r="D618" s="294"/>
      <c r="E618" s="294"/>
      <c r="F618" s="294"/>
      <c r="G618" s="294" t="s">
        <v>36</v>
      </c>
      <c r="H618" s="294" t="s">
        <v>36</v>
      </c>
    </row>
    <row r="619" spans="2:10">
      <c r="B619" s="294" t="str">
        <f>IF($CW$1=2,C619,IF($CW$1=3,D619,IF($CW$1=4,E619,IF($CW$1=5,F619,IF($CW$1=6,G619,IF($CW$1=7,H619,IF($CW$1=8,I619,IF($CW$1=9,J619," "))))))))</f>
        <v xml:space="preserve"> </v>
      </c>
      <c r="C619" s="483" t="s">
        <v>36</v>
      </c>
      <c r="D619" s="294" t="s">
        <v>36</v>
      </c>
      <c r="E619" s="294" t="s">
        <v>36</v>
      </c>
      <c r="F619" s="294" t="s">
        <v>36</v>
      </c>
      <c r="G619" s="512" t="s">
        <v>2981</v>
      </c>
      <c r="H619" s="294" t="s">
        <v>36</v>
      </c>
      <c r="I619" s="294" t="s">
        <v>36</v>
      </c>
      <c r="J619" s="515" t="s">
        <v>36</v>
      </c>
    </row>
    <row r="620" spans="2:10">
      <c r="B620" s="515" t="str">
        <f t="shared" ref="B620:B636" si="59">IF($CW$1=2,C620,IF($CW$1=3,D620,IF($CW$1=4,E620,IF($CW$1=5,F620,IF($CW$1=6,G620,IF($CW$1=7,H620,IF($CW$1=8,I620,IF($CW$1=9,J620," "))))))))</f>
        <v xml:space="preserve"> </v>
      </c>
      <c r="C620" s="294" t="s">
        <v>12</v>
      </c>
      <c r="D620" s="294" t="s">
        <v>13</v>
      </c>
      <c r="E620" s="294" t="s">
        <v>435</v>
      </c>
      <c r="F620" s="294" t="s">
        <v>36</v>
      </c>
      <c r="G620" s="512" t="s">
        <v>2983</v>
      </c>
      <c r="H620" s="294" t="s">
        <v>36</v>
      </c>
      <c r="I620" s="146">
        <v>3005</v>
      </c>
      <c r="J620" s="515" t="s">
        <v>36</v>
      </c>
    </row>
    <row r="621" spans="2:10">
      <c r="B621" s="515" t="str">
        <f t="shared" si="59"/>
        <v xml:space="preserve"> </v>
      </c>
      <c r="C621" s="294" t="s">
        <v>14</v>
      </c>
      <c r="D621" s="294" t="s">
        <v>15</v>
      </c>
      <c r="E621" s="294" t="s">
        <v>379</v>
      </c>
      <c r="F621" s="294" t="s">
        <v>36</v>
      </c>
      <c r="G621" s="294" t="s">
        <v>36</v>
      </c>
      <c r="H621" s="294" t="s">
        <v>36</v>
      </c>
      <c r="I621" s="146" t="s">
        <v>74</v>
      </c>
      <c r="J621" s="515" t="s">
        <v>36</v>
      </c>
    </row>
    <row r="622" spans="2:10">
      <c r="B622" s="515" t="str">
        <f t="shared" si="59"/>
        <v xml:space="preserve"> </v>
      </c>
      <c r="C622" s="294" t="s">
        <v>16</v>
      </c>
      <c r="D622" s="294" t="s">
        <v>17</v>
      </c>
      <c r="E622" s="294" t="s">
        <v>436</v>
      </c>
      <c r="F622" s="294" t="s">
        <v>36</v>
      </c>
      <c r="G622" s="294" t="s">
        <v>36</v>
      </c>
      <c r="H622" s="294" t="s">
        <v>36</v>
      </c>
      <c r="I622" s="146">
        <v>3011</v>
      </c>
      <c r="J622" s="515" t="s">
        <v>36</v>
      </c>
    </row>
    <row r="623" spans="2:10">
      <c r="B623" s="515" t="str">
        <f t="shared" si="59"/>
        <v xml:space="preserve"> </v>
      </c>
      <c r="C623" s="294" t="s">
        <v>36</v>
      </c>
      <c r="D623" s="294" t="s">
        <v>36</v>
      </c>
      <c r="E623" s="294" t="s">
        <v>36</v>
      </c>
      <c r="F623" s="294" t="s">
        <v>36</v>
      </c>
      <c r="G623" s="294" t="s">
        <v>36</v>
      </c>
      <c r="H623" s="294" t="s">
        <v>36</v>
      </c>
      <c r="I623" s="146">
        <v>5010</v>
      </c>
      <c r="J623" s="515" t="s">
        <v>36</v>
      </c>
    </row>
    <row r="624" spans="2:10">
      <c r="B624" s="515" t="str">
        <f t="shared" si="59"/>
        <v xml:space="preserve"> </v>
      </c>
      <c r="C624" s="294" t="s">
        <v>18</v>
      </c>
      <c r="D624" s="294" t="s">
        <v>36</v>
      </c>
      <c r="E624" s="294" t="s">
        <v>36</v>
      </c>
      <c r="F624" s="294" t="s">
        <v>36</v>
      </c>
      <c r="G624" s="294" t="s">
        <v>36</v>
      </c>
      <c r="H624" s="294" t="s">
        <v>36</v>
      </c>
      <c r="I624" s="146" t="s">
        <v>36</v>
      </c>
      <c r="J624" s="515" t="s">
        <v>36</v>
      </c>
    </row>
    <row r="625" spans="2:10">
      <c r="B625" s="515" t="str">
        <f t="shared" si="59"/>
        <v xml:space="preserve"> </v>
      </c>
      <c r="C625" s="294" t="s">
        <v>19</v>
      </c>
      <c r="D625" s="294" t="s">
        <v>20</v>
      </c>
      <c r="E625" s="294" t="s">
        <v>36</v>
      </c>
      <c r="F625" s="294" t="s">
        <v>36</v>
      </c>
      <c r="G625" s="294" t="s">
        <v>36</v>
      </c>
      <c r="H625" s="294" t="s">
        <v>36</v>
      </c>
      <c r="I625" s="430" t="s">
        <v>36</v>
      </c>
      <c r="J625" s="515" t="s">
        <v>36</v>
      </c>
    </row>
    <row r="626" spans="2:10">
      <c r="B626" s="515" t="str">
        <f t="shared" si="59"/>
        <v xml:space="preserve"> </v>
      </c>
      <c r="C626" s="294" t="s">
        <v>36</v>
      </c>
      <c r="D626" s="294" t="s">
        <v>22</v>
      </c>
      <c r="E626" s="495" t="s">
        <v>437</v>
      </c>
      <c r="F626" s="294" t="s">
        <v>36</v>
      </c>
      <c r="G626" s="294" t="s">
        <v>36</v>
      </c>
      <c r="H626" s="294" t="s">
        <v>36</v>
      </c>
      <c r="I626" s="146">
        <v>6020</v>
      </c>
      <c r="J626" s="515" t="s">
        <v>36</v>
      </c>
    </row>
    <row r="627" spans="2:10">
      <c r="B627" s="515" t="str">
        <f t="shared" si="59"/>
        <v xml:space="preserve"> </v>
      </c>
      <c r="C627" s="294" t="s">
        <v>308</v>
      </c>
      <c r="D627" s="294" t="s">
        <v>275</v>
      </c>
      <c r="E627" s="77" t="s">
        <v>2570</v>
      </c>
      <c r="F627" s="294" t="s">
        <v>36</v>
      </c>
      <c r="G627" s="294" t="s">
        <v>36</v>
      </c>
      <c r="H627" s="294" t="s">
        <v>36</v>
      </c>
      <c r="I627" s="146">
        <v>7016</v>
      </c>
      <c r="J627" s="515" t="s">
        <v>3151</v>
      </c>
    </row>
    <row r="628" spans="2:10">
      <c r="B628" s="515" t="str">
        <f t="shared" si="59"/>
        <v xml:space="preserve"> </v>
      </c>
      <c r="C628" s="294" t="s">
        <v>23</v>
      </c>
      <c r="D628" s="294" t="s">
        <v>24</v>
      </c>
      <c r="E628" s="294" t="s">
        <v>380</v>
      </c>
      <c r="F628" s="294" t="s">
        <v>377</v>
      </c>
      <c r="G628" s="294" t="s">
        <v>36</v>
      </c>
      <c r="H628" s="294" t="s">
        <v>36</v>
      </c>
      <c r="I628" s="146">
        <v>7024</v>
      </c>
      <c r="J628" s="515" t="s">
        <v>36</v>
      </c>
    </row>
    <row r="629" spans="2:10">
      <c r="B629" s="515" t="str">
        <f t="shared" si="59"/>
        <v xml:space="preserve"> </v>
      </c>
      <c r="C629" s="294" t="s">
        <v>25</v>
      </c>
      <c r="D629" s="294" t="s">
        <v>26</v>
      </c>
      <c r="E629" s="294" t="s">
        <v>36</v>
      </c>
      <c r="F629" s="294" t="s">
        <v>36</v>
      </c>
      <c r="G629" s="294" t="s">
        <v>36</v>
      </c>
      <c r="H629" s="294" t="s">
        <v>36</v>
      </c>
      <c r="I629" s="146">
        <v>8004</v>
      </c>
      <c r="J629" s="77" t="s">
        <v>36</v>
      </c>
    </row>
    <row r="630" spans="2:10">
      <c r="B630" s="515" t="str">
        <f t="shared" si="59"/>
        <v xml:space="preserve"> </v>
      </c>
      <c r="C630" s="294" t="s">
        <v>36</v>
      </c>
      <c r="D630" s="294" t="s">
        <v>36</v>
      </c>
      <c r="E630" s="294" t="s">
        <v>438</v>
      </c>
      <c r="F630" s="294" t="s">
        <v>36</v>
      </c>
      <c r="G630" s="294" t="s">
        <v>36</v>
      </c>
      <c r="H630" s="294" t="s">
        <v>36</v>
      </c>
      <c r="I630" s="146" t="s">
        <v>36</v>
      </c>
      <c r="J630" s="515" t="s">
        <v>36</v>
      </c>
    </row>
    <row r="631" spans="2:10">
      <c r="B631" s="515" t="str">
        <f t="shared" si="59"/>
        <v xml:space="preserve"> </v>
      </c>
      <c r="C631" s="294" t="s">
        <v>28</v>
      </c>
      <c r="D631" s="294" t="s">
        <v>29</v>
      </c>
      <c r="E631" s="294" t="s">
        <v>381</v>
      </c>
      <c r="F631" s="468" t="s">
        <v>36</v>
      </c>
      <c r="G631" s="294" t="s">
        <v>36</v>
      </c>
      <c r="H631" s="294" t="s">
        <v>36</v>
      </c>
      <c r="I631" s="146">
        <v>8017</v>
      </c>
      <c r="J631" s="515" t="s">
        <v>3152</v>
      </c>
    </row>
    <row r="632" spans="2:10">
      <c r="B632" s="515" t="str">
        <f t="shared" si="59"/>
        <v xml:space="preserve"> </v>
      </c>
      <c r="C632" s="294" t="s">
        <v>36</v>
      </c>
      <c r="D632" s="294" t="s">
        <v>31</v>
      </c>
      <c r="E632" s="294" t="s">
        <v>382</v>
      </c>
      <c r="F632" s="294" t="s">
        <v>378</v>
      </c>
      <c r="G632" s="294" t="s">
        <v>36</v>
      </c>
      <c r="H632" s="294" t="s">
        <v>36</v>
      </c>
      <c r="I632" s="146">
        <v>8019</v>
      </c>
      <c r="J632" s="77" t="s">
        <v>36</v>
      </c>
    </row>
    <row r="633" spans="2:10">
      <c r="B633" s="515" t="str">
        <f t="shared" si="59"/>
        <v xml:space="preserve"> </v>
      </c>
      <c r="C633" s="294" t="s">
        <v>32</v>
      </c>
      <c r="D633" s="294" t="s">
        <v>36</v>
      </c>
      <c r="E633" s="294" t="s">
        <v>36</v>
      </c>
      <c r="F633" s="294" t="s">
        <v>36</v>
      </c>
      <c r="G633" s="294" t="s">
        <v>36</v>
      </c>
      <c r="H633" s="294" t="s">
        <v>36</v>
      </c>
      <c r="I633" s="146" t="s">
        <v>36</v>
      </c>
      <c r="J633" s="515" t="s">
        <v>36</v>
      </c>
    </row>
    <row r="634" spans="2:10">
      <c r="B634" s="515" t="str">
        <f t="shared" si="59"/>
        <v xml:space="preserve"> </v>
      </c>
      <c r="C634" s="294" t="s">
        <v>36</v>
      </c>
      <c r="D634" s="294" t="s">
        <v>34</v>
      </c>
      <c r="E634" s="294" t="s">
        <v>383</v>
      </c>
      <c r="F634" s="294" t="s">
        <v>36</v>
      </c>
      <c r="G634" s="294" t="s">
        <v>36</v>
      </c>
      <c r="H634" s="294" t="s">
        <v>36</v>
      </c>
      <c r="I634" s="146">
        <v>9005</v>
      </c>
      <c r="J634" s="515" t="s">
        <v>3153</v>
      </c>
    </row>
    <row r="635" spans="2:10">
      <c r="B635" s="515" t="str">
        <f t="shared" si="59"/>
        <v xml:space="preserve"> </v>
      </c>
      <c r="C635" s="294" t="s">
        <v>35</v>
      </c>
      <c r="D635" s="294" t="s">
        <v>36</v>
      </c>
      <c r="E635" s="294" t="s">
        <v>36</v>
      </c>
      <c r="F635" s="294" t="s">
        <v>36</v>
      </c>
      <c r="G635" s="294" t="s">
        <v>36</v>
      </c>
      <c r="H635" s="294" t="s">
        <v>36</v>
      </c>
      <c r="I635" s="146" t="s">
        <v>36</v>
      </c>
      <c r="J635" s="515" t="s">
        <v>36</v>
      </c>
    </row>
    <row r="636" spans="2:10">
      <c r="B636" s="515" t="str">
        <f t="shared" si="59"/>
        <v xml:space="preserve"> </v>
      </c>
      <c r="C636" s="294" t="s">
        <v>36</v>
      </c>
      <c r="D636" s="294" t="s">
        <v>36</v>
      </c>
      <c r="E636" s="294" t="s">
        <v>36</v>
      </c>
      <c r="F636" s="294" t="s">
        <v>36</v>
      </c>
      <c r="G636" s="294" t="s">
        <v>36</v>
      </c>
      <c r="H636" s="294" t="s">
        <v>36</v>
      </c>
      <c r="I636" s="146" t="s">
        <v>72</v>
      </c>
      <c r="J636" s="515" t="s">
        <v>36</v>
      </c>
    </row>
    <row r="638" spans="2:10">
      <c r="B638" s="146">
        <v>1</v>
      </c>
    </row>
    <row r="640" spans="2:10">
      <c r="B640" s="352" t="s">
        <v>1870</v>
      </c>
    </row>
    <row r="641" spans="2:2">
      <c r="B641" s="349" t="s">
        <v>1867</v>
      </c>
    </row>
    <row r="1572" spans="214:237">
      <c r="HF1572" s="889">
        <v>1</v>
      </c>
      <c r="HG1572" s="889"/>
      <c r="HH1572" s="889"/>
      <c r="HI1572" s="889"/>
      <c r="HJ1572" s="889">
        <v>2</v>
      </c>
      <c r="HK1572" s="889"/>
      <c r="HL1572" s="889"/>
      <c r="HM1572" s="889"/>
      <c r="HN1572" s="889">
        <v>3</v>
      </c>
      <c r="HO1572" s="889"/>
      <c r="HP1572" s="889"/>
      <c r="HQ1572" s="889"/>
      <c r="HR1572" s="889">
        <v>4</v>
      </c>
      <c r="HS1572" s="889"/>
      <c r="HT1572" s="889"/>
      <c r="HU1572" s="889"/>
      <c r="HV1572" s="889">
        <v>5</v>
      </c>
      <c r="HW1572" s="889"/>
      <c r="HX1572" s="889"/>
      <c r="HY1572" s="889"/>
      <c r="HZ1572" s="889">
        <v>6</v>
      </c>
      <c r="IA1572" s="889"/>
      <c r="IB1572" s="889"/>
      <c r="IC1572" s="889"/>
    </row>
    <row r="1573" spans="214:237">
      <c r="HF1573" s="146">
        <v>2</v>
      </c>
      <c r="HG1573" s="146">
        <v>2</v>
      </c>
      <c r="HH1573" s="146">
        <v>2</v>
      </c>
      <c r="HI1573" s="146">
        <v>5</v>
      </c>
      <c r="HJ1573" s="146">
        <v>1</v>
      </c>
      <c r="HK1573" s="146">
        <v>1</v>
      </c>
      <c r="HL1573" s="146">
        <v>1</v>
      </c>
      <c r="HM1573" s="146">
        <v>1</v>
      </c>
      <c r="HN1573" s="146">
        <v>1</v>
      </c>
      <c r="HO1573" s="146">
        <v>1</v>
      </c>
      <c r="HP1573" s="146">
        <v>1</v>
      </c>
      <c r="HQ1573" s="146">
        <v>1</v>
      </c>
      <c r="HR1573" s="146">
        <v>1</v>
      </c>
      <c r="HS1573" s="146">
        <v>1</v>
      </c>
      <c r="HT1573" s="146">
        <v>1</v>
      </c>
      <c r="HU1573" s="146">
        <v>1</v>
      </c>
      <c r="HV1573" s="146">
        <v>1</v>
      </c>
      <c r="HW1573" s="146">
        <v>1</v>
      </c>
      <c r="HX1573" s="146">
        <v>1</v>
      </c>
      <c r="HY1573" s="146">
        <v>1</v>
      </c>
      <c r="HZ1573" s="146">
        <v>1</v>
      </c>
      <c r="IA1573" s="146">
        <v>1</v>
      </c>
      <c r="IB1573" s="146">
        <v>1</v>
      </c>
      <c r="IC1573" s="146">
        <v>1</v>
      </c>
    </row>
    <row r="1575" spans="214:237">
      <c r="HF1575" s="146" t="s">
        <v>129</v>
      </c>
      <c r="HG1575" s="146" t="s">
        <v>128</v>
      </c>
      <c r="HH1575" s="146" t="str">
        <f>IF(AND(HF1573=3,HG1573=4),"Rulou interior RAR",IF(AND(HF1573=2,HG1573=2),"Good",IF(AND(HF1573=2,HG1573=3),"KUF",IF(AND(HF1573=2,HG1573=4),"Trapa Acces",IF(AND(HF1573=2,HG1573=5),"Rulou interior DUR",IF(AND(HF1573=3,HG1573=2)," ",IF(AND(HF1573=3,HG1573=3),"",IF(AND(HF1573=4,HG1573&lt;4),"C2"))))))))</f>
        <v>Good</v>
      </c>
      <c r="HI1575" s="157" t="str">
        <f>IF(AND(HF1573=3,HG1573=4,HH1573&lt;5),"55x78",IF(AND(HF1573=2,HG1573&lt;4),"55x78",IF(AND(HF1573=2,HG1573=4),"45x55",IF(AND(HF1573=2,HG1573=5,HH1573&lt;5),"55x78",IF(AND(HF1573=2,HG1573=5,HH1573=5),"Manual",IF(AND(HF1573=3,HG1573&lt;4),"55x78",IF(AND(HF1573=4,HG1573&lt;4,HH1573=2),"55x72",IF(AND(HF1573=4,HG1573&lt;4,HH1573=3),"66x112",IF(AND(HF1573=4,HG1573&lt;4,HH1573=4),"78x112",IF(AND(HF1573=4,HG1573&lt;4,HH1573=5),"78x134"))))))))))</f>
        <v>55x78</v>
      </c>
      <c r="HJ1575" s="146" t="s">
        <v>129</v>
      </c>
      <c r="HK1575" s="146" t="s">
        <v>128</v>
      </c>
      <c r="HL1575" s="146" t="b">
        <f>IF(AND(HJ1573=3,HK1573=4),"Rulou interior RAR",IF(AND(HJ1573=2,HK1573=2),"Good",IF(AND(HJ1573=2,HK1573=3),"KUF",IF(AND(HJ1573=2,HK1573=4),"Trapa Acces",IF(AND(HJ1573=2,HK1573=5),"Rulou interior DUR",IF(AND(HJ1573=3,HK1573=2)," ",IF(AND(HJ1573=3,HK1573=3),"Rama",IF(AND(HJ1573=4,HK1573&lt;4),"C2"))))))))</f>
        <v>0</v>
      </c>
      <c r="HM1575" s="157" t="b">
        <f>IF(AND(HJ1573=3,HK1573=4,HL1573&lt;5),"55x78",IF(AND(HJ1573=2,HK1573&lt;4),"55x78",IF(AND(HJ1573=2,HK1573=4),"45x55",IF(AND(HJ1573=2,HK1573=5,HL1573&lt;5),"55x78",IF(AND(HJ1573=2,HK1573=5,HL1573=5),"Manual",IF(AND(HJ1573=3,HK1573&lt;4),"55x78",IF(AND(HJ1573=4,HK1573&lt;4,HL1573=2),"55x72",IF(AND(HJ1573=4,HK1573&lt;4,HL1573=3),"66x112",IF(AND(HJ1573=4,HK1573&lt;4,HL1573=4),"78x112",IF(AND(HJ1573=4,HK1573&lt;4,HL1573=5),"78x134"))))))))))</f>
        <v>0</v>
      </c>
      <c r="HN1575" s="146" t="s">
        <v>129</v>
      </c>
      <c r="HO1575" s="146" t="s">
        <v>128</v>
      </c>
      <c r="HP1575" s="146" t="b">
        <f>IF(AND(HN1573=3,HO1573=4),"Rulou interior RAR",IF(AND(HN1573=2,HO1573=2),"Good",IF(AND(HN1573=2,HO1573=3),"KUF",IF(AND(HN1573=2,HO1573=4),"Trapa Acces",IF(AND(HN1573=2,HO1573=5),"Rulou interior DUR",IF(AND(HN1573=3,HO1573=2)," ",IF(AND(HN1573=3,HO1573=3),"Rama",IF(AND(HN1573=4,HO1573&lt;4),"C2"))))))))</f>
        <v>0</v>
      </c>
      <c r="HQ1575" s="157" t="b">
        <f>IF(AND(HN1573=3,HO1573=4,HP1573&lt;5),"55x78",IF(AND(HN1573=2,HO1573&lt;4),"55x78",IF(AND(HN1573=2,HO1573=4),"45x55",IF(AND(HN1573=2,HO1573=5,HP1573&lt;5),"55x78",IF(AND(HN1573=2,HO1573=5,HP1573=5),"Manual",IF(AND(HN1573=3,HO1573&lt;4),"55x78",IF(AND(HN1573=4,HO1573&lt;4,HP1573=2),"55x72",IF(AND(HN1573=4,HO1573&lt;4,HP1573=3),"66x112",IF(AND(HN1573=4,HO1573&lt;4,HP1573=4),"78x112",IF(AND(HN1573=4,HO1573&lt;4,HP1573=5),"78x134"))))))))))</f>
        <v>0</v>
      </c>
      <c r="HR1575" s="146" t="s">
        <v>129</v>
      </c>
      <c r="HS1575" s="146" t="s">
        <v>128</v>
      </c>
      <c r="HT1575" s="146" t="b">
        <f>IF(AND(HR1573=3,HS1573=4),"Rulou interior RAR",IF(AND(HR1573=2,HS1573=2),"Good",IF(AND(HR1573=2,HS1573=3),"KUF",IF(AND(HR1573=2,HS1573=4),"Trapa Acces",IF(AND(HR1573=2,HS1573=5),"Rulou interior DUR",IF(AND(HR1573=3,HS1573=2)," ",IF(AND(HR1573=3,HS1573=3),"Rama",IF(AND(HR1573=4,HS1573&lt;4),"C2"))))))))</f>
        <v>0</v>
      </c>
      <c r="HU1575" s="157" t="b">
        <f>IF(AND(HR1573=3,HS1573=4,HT1573&lt;5),"55x78",IF(AND(HR1573=2,HS1573&lt;4),"55x78",IF(AND(HR1573=2,HS1573=4),"45x55",IF(AND(HR1573=2,HS1573=5,HT1573&lt;5),"55x78",IF(AND(HR1573=2,HS1573=5,HT1573=5),"Manual",IF(AND(HR1573=3,HS1573&lt;4),"55x78",IF(AND(HR1573=4,HS1573&lt;4,HT1573=2),"55x72",IF(AND(HR1573=4,HS1573&lt;4,HT1573=3),"66x112",IF(AND(HR1573=4,HS1573&lt;4,HT1573=4),"78x112",IF(AND(HR1573=4,HS1573&lt;4,HT1573=5),"78x134"))))))))))</f>
        <v>0</v>
      </c>
      <c r="HV1575" s="146" t="s">
        <v>129</v>
      </c>
      <c r="HW1575" s="146" t="s">
        <v>128</v>
      </c>
      <c r="HX1575" s="146" t="b">
        <f>IF(AND(HV1573=3,HW1573=4),"Rulou interior RAR",IF(AND(HV1573=2,HW1573=2),"Good",IF(AND(HV1573=2,HW1573=3),"KUF",IF(AND(HV1573=2,HW1573=4),"Trapa Acces",IF(AND(HV1573=2,HW1573=5),"Rulou interior DUR",IF(AND(HV1573=3,HW1573=2)," ",IF(AND(HV1573=3,HW1573=3),"Rama",IF(AND(HV1573=4,HW1573&lt;4),"C2"))))))))</f>
        <v>0</v>
      </c>
      <c r="HY1575" s="157" t="b">
        <f>IF(AND(HV1573=3,HW1573=4,HX1573&lt;5),"55x78",IF(AND(HV1573=2,HW1573&lt;4),"55x78",IF(AND(HV1573=2,HW1573=4),"45x55",IF(AND(HV1573=2,HW1573=5,HX1573&lt;5),"55x78",IF(AND(HV1573=2,HW1573=5,HX1573=5),"Manual",IF(AND(HV1573=3,HW1573&lt;4),"55x78",IF(AND(HV1573=4,HW1573&lt;4,HX1573=2),"55x72",IF(AND(HV1573=4,HW1573&lt;4,HX1573=3),"66x112",IF(AND(HV1573=4,HW1573&lt;4,HX1573=4),"78x112",IF(AND(HV1573=4,HW1573&lt;4,HX1573=5),"78x134"))))))))))</f>
        <v>0</v>
      </c>
      <c r="HZ1575" s="146" t="s">
        <v>129</v>
      </c>
      <c r="IA1575" s="146" t="s">
        <v>128</v>
      </c>
      <c r="IB1575" s="146" t="b">
        <f>IF(AND(HZ1573=3,IA1573=4),"Rulou interior RAR",IF(AND(HZ1573=2,IA1573=2),"Good",IF(AND(HZ1573=2,IA1573=3),"KUF",IF(AND(HZ1573=2,IA1573=4),"Trapa Acces",IF(AND(HZ1573=2,IA1573=5),"Rulou interior DUR",IF(AND(HZ1573=3,IA1573=2)," ",IF(AND(HZ1573=3,IA1573=3),"Rama",IF(AND(HZ1573=4,IA1573&lt;4),"C2"))))))))</f>
        <v>0</v>
      </c>
      <c r="IC1575" s="157" t="b">
        <f>IF(AND(HZ1573=3,IA1573=4,IB1573&lt;5),"55x78",IF(AND(HZ1573=2,IA1573&lt;4),"55x78",IF(AND(HZ1573=2,IA1573=4),"45x55",IF(AND(HZ1573=2,IA1573=5,IB1573&lt;5),"55x78",IF(AND(HZ1573=2,IA1573=5,IB1573=5),"Manual",IF(AND(HZ1573=3,IA1573&lt;4),"55x78",IF(AND(HZ1573=4,IA1573&lt;4,IB1573=2),"55x72",IF(AND(HZ1573=4,IA1573&lt;4,IB1573=3),"66x112",IF(AND(HZ1573=4,IA1573&lt;4,IB1573=4),"78x112",IF(AND(HZ1573=4,IA1573&lt;4,IB1573=5),"78x134"))))))))))</f>
        <v>0</v>
      </c>
    </row>
    <row r="1576" spans="214:237">
      <c r="HF1576" s="146" t="s">
        <v>339</v>
      </c>
      <c r="HG1576" s="146" t="s">
        <v>111</v>
      </c>
      <c r="HH1576" s="146" t="str">
        <f>IF(AND(HF1573=3,HG1573=4),"Rulou interior RUR",IF(AND(HF1573=2,HG1573=2),"Better",IF(AND(HF1573=2,HG1573=3),"Combi",IF(AND(HF1573=2,HG1573=4),"Trapa Acces Flex",IF(AND(HF1573=2,HG1573=5),"Rulou interior RHR",IF(AND(HF1573=4,HG1573&lt;4),"F6",""))))))</f>
        <v>Better</v>
      </c>
      <c r="HI1576" s="157" t="str">
        <f>IF(AND(HF1573=3,HG1573=4,HH1573&lt;5),"55x98",IF(AND(HF1573=2,HG1573&lt;4),"55x98",IF(AND(HF1573=2,HG1573=4),"45x73",IF(AND(HF1573=2,HG1573=5,HH1573&lt;5),"55x98",IF(AND(HF1573=2,HG1573=5,HH1573=5),"Electric",IF(AND(HF1573=3,HG1573&lt;4),"55x98",""))))))</f>
        <v>55x98</v>
      </c>
      <c r="HJ1576" s="146" t="s">
        <v>339</v>
      </c>
      <c r="HK1576" s="146" t="s">
        <v>111</v>
      </c>
      <c r="HL1576" s="146" t="str">
        <f>IF(AND(HJ1573=3,HK1573=4),"Rulou interior RUR",IF(AND(HJ1573=2,HK1573=2),"Better",IF(AND(HJ1573=2,HK1573=3),"Combi",IF(AND(HJ1573=2,HK1573=4),"Trapa Acces Flex",IF(AND(HJ1573=2,HK1573=5),"Rulou interior RHR",IF(AND(HJ1573=4,HK1573&lt;4),"F6",""))))))</f>
        <v/>
      </c>
      <c r="HM1576" s="157" t="str">
        <f>IF(AND(HJ1573=3,HK1573=4,HL1573&lt;5),"55x98",IF(AND(HJ1573=2,HK1573&lt;4),"55x98",IF(AND(HJ1573=2,HK1573=4),"45x73",IF(AND(HJ1573=2,HK1573=5,HL1573&lt;5),"55x98",IF(AND(HJ1573=2,HK1573=5,HL1573=5),"Electric",IF(AND(HJ1573=3,HK1573&lt;4),"55x98",""))))))</f>
        <v/>
      </c>
      <c r="HN1576" s="146" t="s">
        <v>339</v>
      </c>
      <c r="HO1576" s="146" t="s">
        <v>111</v>
      </c>
      <c r="HP1576" s="146" t="str">
        <f>IF(AND(HN1573=3,HO1573=4),"Rulou interior RUR",IF(AND(HN1573=2,HO1573=2),"Better",IF(AND(HN1573=2,HO1573=3),"Combi",IF(AND(HN1573=2,HO1573=4),"Trapa Acces Flex",IF(AND(HN1573=2,HO1573=5),"Rulou interior RHR",IF(AND(HN1573=4,HO1573&lt;4),"F6",""))))))</f>
        <v/>
      </c>
      <c r="HQ1576" s="157" t="str">
        <f>IF(AND(HN1573=3,HO1573=4,HP1573&lt;5),"55x98",IF(AND(HN1573=2,HO1573&lt;4),"55x98",IF(AND(HN1573=2,HO1573=4),"45x73",IF(AND(HN1573=2,HO1573=5,HP1573&lt;5),"55x98",IF(AND(HN1573=2,HO1573=5,HP1573=5),"Electric",IF(AND(HN1573=3,HO1573&lt;4),"55x98",""))))))</f>
        <v/>
      </c>
      <c r="HR1576" s="146" t="s">
        <v>339</v>
      </c>
      <c r="HS1576" s="146" t="s">
        <v>111</v>
      </c>
      <c r="HT1576" s="146" t="str">
        <f>IF(AND(HR1573=3,HS1573=4),"Rulou interior RUR",IF(AND(HR1573=2,HS1573=2),"Better",IF(AND(HR1573=2,HS1573=3),"Combi",IF(AND(HR1573=2,HS1573=4),"Trapa Acces Flex",IF(AND(HR1573=2,HS1573=5),"Rulou interior RHR",IF(AND(HR1573=4,HS1573&lt;4),"F6",""))))))</f>
        <v/>
      </c>
      <c r="HU1576" s="157" t="str">
        <f>IF(AND(HR1573=3,HS1573=4,HT1573&lt;5),"55x98",IF(AND(HR1573=2,HS1573&lt;4),"55x98",IF(AND(HR1573=2,HS1573=4),"45x73",IF(AND(HR1573=2,HS1573=5,HT1573&lt;5),"55x98",IF(AND(HR1573=2,HS1573=5,HT1573=5),"Electric",IF(AND(HR1573=3,HS1573&lt;4),"55x98",""))))))</f>
        <v/>
      </c>
      <c r="HV1576" s="146" t="s">
        <v>339</v>
      </c>
      <c r="HW1576" s="146" t="s">
        <v>111</v>
      </c>
      <c r="HX1576" s="146" t="str">
        <f>IF(AND(HV1573=3,HW1573=4),"Rulou interior RUR",IF(AND(HV1573=2,HW1573=2),"Better",IF(AND(HV1573=2,HW1573=3),"Combi",IF(AND(HV1573=2,HW1573=4),"Trapa Acces Flex",IF(AND(HV1573=2,HW1573=5),"Rulou interior RHR",IF(AND(HV1573=4,HW1573&lt;4),"F6",""))))))</f>
        <v/>
      </c>
      <c r="HY1576" s="157" t="str">
        <f>IF(AND(HV1573=3,HW1573=4,HX1573&lt;5),"55x98",IF(AND(HV1573=2,HW1573&lt;4),"55x98",IF(AND(HV1573=2,HW1573=4),"45x73",IF(AND(HV1573=2,HW1573=5,HX1573&lt;5),"55x98",IF(AND(HV1573=2,HW1573=5,HX1573=5),"Electric",IF(AND(HV1573=3,HW1573&lt;4),"55x98",""))))))</f>
        <v/>
      </c>
      <c r="HZ1576" s="146" t="s">
        <v>339</v>
      </c>
      <c r="IA1576" s="146" t="s">
        <v>111</v>
      </c>
      <c r="IB1576" s="146" t="str">
        <f>IF(AND(HZ1573=3,IA1573=4),"Rulou interior RUR",IF(AND(HZ1573=2,IA1573=2),"Better",IF(AND(HZ1573=2,IA1573=3),"Combi",IF(AND(HZ1573=2,IA1573=4),"Trapa Acces Flex",IF(AND(HZ1573=2,IA1573=5),"Rulou interior RHR",IF(AND(HZ1573=4,IA1573&lt;4),"F6",""))))))</f>
        <v/>
      </c>
      <c r="IC1576" s="157" t="str">
        <f>IF(AND(HZ1573=3,IA1573=4,IB1573&lt;5),"55x98",IF(AND(HZ1573=2,IA1573&lt;4),"55x98",IF(AND(HZ1573=2,IA1573=4),"45x73",IF(AND(HZ1573=2,IA1573=5,IB1573&lt;5),"55x98",IF(AND(HZ1573=2,IA1573=5,IB1573=5),"Electric",IF(AND(HZ1573=3,IA1573&lt;4),"55x98",""))))))</f>
        <v/>
      </c>
    </row>
    <row r="1577" spans="214:237">
      <c r="HG1577" s="146" t="str">
        <f>IF(HF1573=2,"Trapa",IF(HF1573=3,"",""))</f>
        <v>Trapa</v>
      </c>
      <c r="HH1577" s="146" t="str">
        <f>IF(AND(HF1573=3,HG1573=4),"Rulou exterior",IF(AND(HF1573=2,HG1573=2),"Better PVC",IF(AND(HF1573=2,HG1573=5),"Rulou exterior MIR",IF(AND(HF1573=4,HG1573&lt;4),"M6",""))))</f>
        <v>Better PVC</v>
      </c>
      <c r="HI1577" s="157" t="str">
        <f>IF(AND(HF1573=3,HG1573=4,HH1573&lt;5),"66x98",IF(AND(HF1573=2,HG1573&lt;4),"66x98",IF(AND(HF1573=2,HG1573=5,HH1573&lt;5),"66x98",IF(AND(HF1573=3,HG1573&lt;4),"66x118",""))))</f>
        <v>66x98</v>
      </c>
      <c r="HK1577" s="146" t="str">
        <f>IF(HJ1573=2,"Trapa",IF(HJ1573=3,"",""))</f>
        <v/>
      </c>
      <c r="HL1577" s="146" t="str">
        <f>IF(AND(HJ1573=3,HK1573=4),"Rulou exterior",IF(AND(HJ1573=2,HK1573=2),"Better PVC",IF(AND(HJ1573=2,HK1573=5),"Rulou exterior MIR",IF(AND(HJ1573=4,HK1573&lt;4),"M6",""))))</f>
        <v/>
      </c>
      <c r="HM1577" s="157" t="str">
        <f>IF(AND(HJ1573=3,HK1573=4,HL1573&lt;5),"66x98",IF(AND(HJ1573=2,HK1573&lt;4),"66x98",IF(AND(HJ1573=2,HK1573=5,HL1573&lt;5),"66x98",IF(AND(HJ1573=3,HK1573&lt;4),"66x118",""))))</f>
        <v/>
      </c>
      <c r="HO1577" s="146" t="str">
        <f>IF(HN1573=2,"Trapa",IF(HN1573=3,"",""))</f>
        <v/>
      </c>
      <c r="HP1577" s="146" t="str">
        <f>IF(AND(HN1573=3,HO1573=4),"Rulou exterior",IF(AND(HN1573=2,HO1573=2),"Better PVC",IF(AND(HN1573=2,HO1573=5),"Rulou exterior MIR",IF(AND(HN1573=4,HO1573&lt;4),"M6",""))))</f>
        <v/>
      </c>
      <c r="HQ1577" s="157" t="str">
        <f>IF(AND(HN1573=3,HO1573=4,HP1573&lt;5),"66x98",IF(AND(HN1573=2,HO1573&lt;4),"66x98",IF(AND(HN1573=2,HO1573=5,HP1573&lt;5),"66x98",IF(AND(HN1573=3,HO1573&lt;4),"66x118",""))))</f>
        <v/>
      </c>
      <c r="HS1577" s="146" t="str">
        <f>IF(HR1573=2,"Trapa",IF(HR1573=3,"",""))</f>
        <v/>
      </c>
      <c r="HT1577" s="146" t="str">
        <f>IF(AND(HR1573=3,HS1573=4),"Rulou exterior",IF(AND(HR1573=2,HS1573=2),"Better PVC",IF(AND(HR1573=2,HS1573=5),"Rulou exterior MIR",IF(AND(HR1573=4,HS1573&lt;4),"M6",""))))</f>
        <v/>
      </c>
      <c r="HU1577" s="157" t="str">
        <f>IF(AND(HR1573=3,HS1573=4,HT1573&lt;5),"66x98",IF(AND(HR1573=2,HS1573&lt;4),"66x98",IF(AND(HR1573=2,HS1573=5,HT1573&lt;5),"66x98",IF(AND(HR1573=3,HS1573&lt;4),"66x118",""))))</f>
        <v/>
      </c>
      <c r="HW1577" s="146" t="str">
        <f>IF(HV1573=2,"Trapa",IF(HV1573=3,"",""))</f>
        <v/>
      </c>
      <c r="HX1577" s="146" t="str">
        <f>IF(AND(HV1573=3,HW1573=4),"Rulou exterior",IF(AND(HV1573=2,HW1573=2),"Better PVC",IF(AND(HV1573=2,HW1573=5),"Rulou exterior MIR",IF(AND(HV1573=4,HW1573&lt;4),"M6",""))))</f>
        <v/>
      </c>
      <c r="HY1577" s="157" t="str">
        <f>IF(AND(HV1573=3,HW1573=4,HX1573&lt;5),"66x98",IF(AND(HV1573=2,HW1573&lt;4),"66x98",IF(AND(HV1573=2,HW1573=5,HX1573&lt;5),"66x98",IF(AND(HV1573=3,HW1573&lt;4),"66x118",""))))</f>
        <v/>
      </c>
      <c r="IA1577" s="146" t="str">
        <f>IF(HZ1573=2,"Trapa",IF(HZ1573=3,"",""))</f>
        <v/>
      </c>
      <c r="IB1577" s="146" t="str">
        <f>IF(AND(HZ1573=3,IA1573=4),"Rulou exterior",IF(AND(HZ1573=2,IA1573=2),"Better PVC",IF(AND(HZ1573=2,IA1573=5),"Rulou exterior MIR",IF(AND(HZ1573=4,IA1573&lt;4),"M6",""))))</f>
        <v/>
      </c>
      <c r="IC1577" s="157" t="str">
        <f>IF(AND(HZ1573=3,IA1573=4,IB1573&lt;5),"66x98",IF(AND(HZ1573=2,IA1573&lt;4),"66x98",IF(AND(HZ1573=2,IA1573=5,IB1573&lt;5),"66x98",IF(AND(HZ1573=3,IA1573&lt;4),"66x118",""))))</f>
        <v/>
      </c>
    </row>
    <row r="1578" spans="214:237">
      <c r="HG1578" s="146" t="str">
        <f>IF(HF1573=2,"Accesorii","")</f>
        <v>Accesorii</v>
      </c>
      <c r="HH1578" s="146" t="str">
        <f>IF(AND(HF1573=2,HG1573=2)," ",IF(AND(HF1573=2,HG1573=5),"Dispozitiv inchidere",IF(AND(HF1573=4,HG1573&lt;4),"M8","")))</f>
        <v xml:space="preserve"> </v>
      </c>
      <c r="HI1578" s="157" t="str">
        <f>IF(AND(HF1573=3,HG1573=4,HH1573&lt;5),"66x118",IF(AND(HF1573=2,HG1573&lt;4),"66x118",IF(AND(HF1573=2,HG1573=5,HH1573&lt;5),"66x118",IF(AND(HF1573=3,HG1573&lt;4),"78x98",""))))</f>
        <v>66x118</v>
      </c>
      <c r="HK1578" s="146" t="str">
        <f>IF(HJ1573=2,"Accesorii","")</f>
        <v/>
      </c>
      <c r="HL1578" s="146" t="str">
        <f>IF(AND(HJ1573=2,HK1573=2)," ",IF(AND(HJ1573=2,HK1573=5),"Dispozitiv inchidere",IF(AND(HJ1573=4,HK1573&lt;4),"M8","")))</f>
        <v/>
      </c>
      <c r="HM1578" s="157" t="str">
        <f>IF(AND(HJ1573=3,HK1573=4,HL1573&lt;5),"66x118",IF(AND(HJ1573=2,HK1573&lt;4),"66x118",IF(AND(HJ1573=2,HK1573=5,HL1573&lt;5),"66x118",IF(AND(HJ1573=3,HK1573&lt;4),"78x98",""))))</f>
        <v/>
      </c>
      <c r="HO1578" s="146" t="str">
        <f>IF(HN1573=2,"Accesorii","")</f>
        <v/>
      </c>
      <c r="HP1578" s="146" t="str">
        <f>IF(AND(HN1573=2,HO1573=2)," ",IF(AND(HN1573=2,HO1573=5),"Dispozitiv inchidere",IF(AND(HN1573=4,HO1573&lt;4),"M8","")))</f>
        <v/>
      </c>
      <c r="HQ1578" s="157" t="str">
        <f>IF(AND(HN1573=3,HO1573=4,HP1573&lt;5),"66x118",IF(AND(HN1573=2,HO1573&lt;4),"66x118",IF(AND(HN1573=2,HO1573=5,HP1573&lt;5),"66x118",IF(AND(HN1573=3,HO1573&lt;4),"78x98",""))))</f>
        <v/>
      </c>
      <c r="HS1578" s="146" t="str">
        <f>IF(HR1573=2,"Accesorii","")</f>
        <v/>
      </c>
      <c r="HT1578" s="146" t="str">
        <f>IF(AND(HR1573=2,HS1573=2)," ",IF(AND(HR1573=2,HS1573=5),"Dispozitiv inchidere",IF(AND(HR1573=4,HS1573&lt;4),"M8","")))</f>
        <v/>
      </c>
      <c r="HU1578" s="157" t="str">
        <f>IF(AND(HR1573=3,HS1573=4,HT1573&lt;5),"66x118",IF(AND(HR1573=2,HS1573&lt;4),"66x118",IF(AND(HR1573=2,HS1573=5,HT1573&lt;5),"66x118",IF(AND(HR1573=3,HS1573&lt;4),"78x98",""))))</f>
        <v/>
      </c>
      <c r="HW1578" s="146" t="str">
        <f>IF(HV1573=2,"Accesorii","")</f>
        <v/>
      </c>
      <c r="HX1578" s="146" t="str">
        <f>IF(AND(HV1573=2,HW1573=2)," ",IF(AND(HV1573=2,HW1573=5),"Dispozitiv inchidere",IF(AND(HV1573=4,HW1573&lt;4),"M8","")))</f>
        <v/>
      </c>
      <c r="HY1578" s="157" t="str">
        <f>IF(AND(HV1573=3,HW1573=4,HX1573&lt;5),"66x118",IF(AND(HV1573=2,HW1573&lt;4),"66x118",IF(AND(HV1573=2,HW1573=5,HX1573&lt;5),"66x118",IF(AND(HV1573=3,HW1573&lt;4),"78x98",""))))</f>
        <v/>
      </c>
      <c r="IA1578" s="146" t="str">
        <f>IF(HZ1573=2,"Accesorii","")</f>
        <v/>
      </c>
      <c r="IB1578" s="146" t="str">
        <f>IF(AND(HZ1573=2,IA1573=2)," ",IF(AND(HZ1573=2,IA1573=5),"Dispozitiv inchidere",IF(AND(HZ1573=4,IA1573&lt;4),"M8","")))</f>
        <v/>
      </c>
      <c r="IC1578" s="157" t="str">
        <f>IF(AND(HZ1573=3,IA1573=4,IB1573&lt;5),"66x118",IF(AND(HZ1573=2,IA1573&lt;4),"66x118",IF(AND(HZ1573=2,IA1573=5,IB1573&lt;5),"66x118",IF(AND(HZ1573=3,IA1573&lt;4),"78x98",""))))</f>
        <v/>
      </c>
    </row>
    <row r="1579" spans="214:237">
      <c r="HH1579" s="146" t="str">
        <f>IF(AND(HF1573=2,HG1573=2),"Ultima","")</f>
        <v>Ultima</v>
      </c>
      <c r="HI1579" s="157" t="str">
        <f>IF(AND(HF1573=3,HG1573=4,HH1573&lt;5),"78x98",IF(AND(HF1573=2,HG1573&lt;4),"78x98",IF(AND(HF1573=2,HG1573=5,HH1573&lt;5),"78x98",IF(AND(HF1573=3,HG1573&lt;4),"78x118",""))))</f>
        <v>78x98</v>
      </c>
      <c r="HL1579" s="146" t="str">
        <f>IF(AND(HJ1573=2,HK1573=2),"Ultima","")</f>
        <v/>
      </c>
      <c r="HM1579" s="157" t="str">
        <f>IF(AND(HJ1573=3,HK1573=4,HL1573&lt;5),"78x98",IF(AND(HJ1573=2,HK1573&lt;4),"78x98",IF(AND(HJ1573=2,HK1573=5,HL1573&lt;5),"78x98",IF(AND(HJ1573=3,HK1573&lt;4),"78x118",""))))</f>
        <v/>
      </c>
      <c r="HP1579" s="146" t="str">
        <f>IF(AND(HN1573=2,HO1573=2),"Ultima","")</f>
        <v/>
      </c>
      <c r="HQ1579" s="157" t="str">
        <f>IF(AND(HN1573=3,HO1573=4,HP1573&lt;5),"78x98",IF(AND(HN1573=2,HO1573&lt;4),"78x98",IF(AND(HN1573=2,HO1573=5,HP1573&lt;5),"78x98",IF(AND(HN1573=3,HO1573&lt;4),"78x118",""))))</f>
        <v/>
      </c>
      <c r="HT1579" s="146" t="str">
        <f>IF(AND(HR1573=2,HS1573=2),"Ultima","")</f>
        <v/>
      </c>
      <c r="HU1579" s="157" t="str">
        <f>IF(AND(HR1573=3,HS1573=4,HT1573&lt;5),"78x98",IF(AND(HR1573=2,HS1573&lt;4),"78x98",IF(AND(HR1573=2,HS1573=5,HT1573&lt;5),"78x98",IF(AND(HR1573=3,HS1573&lt;4),"78x118",""))))</f>
        <v/>
      </c>
      <c r="HX1579" s="146" t="str">
        <f>IF(AND(HV1573=2,HW1573=2),"Ultima","")</f>
        <v/>
      </c>
      <c r="HY1579" s="157" t="str">
        <f>IF(AND(HV1573=3,HW1573=4,HX1573&lt;5),"78x98",IF(AND(HV1573=2,HW1573&lt;4),"78x98",IF(AND(HV1573=2,HW1573=5,HX1573&lt;5),"78x98",IF(AND(HV1573=3,HW1573&lt;4),"78x118",""))))</f>
        <v/>
      </c>
      <c r="IB1579" s="146" t="str">
        <f>IF(AND(HZ1573=2,IA1573=2),"Ultima","")</f>
        <v/>
      </c>
      <c r="IC1579" s="157" t="str">
        <f>IF(AND(HZ1573=3,IA1573=4,IB1573&lt;5),"78x98",IF(AND(HZ1573=2,IA1573&lt;4),"78x98",IF(AND(HZ1573=2,IA1573=5,IB1573&lt;5),"78x98",IF(AND(HZ1573=3,IA1573&lt;4),"78x118",""))))</f>
        <v/>
      </c>
    </row>
    <row r="1580" spans="214:237">
      <c r="HI1580" s="157" t="str">
        <f>IF(AND(HF1573=3,HG1573=4,HH1573&lt;5),"78x118",IF(AND(HF1573=2,HG1573&lt;4),"78x118",IF(AND(HF1573=2,HG1573=5,HH1573&lt;5),"78x118",IF(AND(HF1573=3,HG1573&lt;4),"114x118",""))))</f>
        <v>78x118</v>
      </c>
      <c r="HM1580" s="157" t="str">
        <f>IF(AND(HJ1573=3,HK1573=4,HL1573&lt;5),"78x118",IF(AND(HJ1573=2,HK1573&lt;4),"78x118",IF(AND(HJ1573=2,HK1573=5,HL1573&lt;5),"78x118",IF(AND(HJ1573=3,HK1573&lt;4),"114x118",""))))</f>
        <v/>
      </c>
      <c r="HQ1580" s="157" t="str">
        <f>IF(AND(HN1573=3,HO1573=4,HP1573&lt;5),"78x118",IF(AND(HN1573=2,HO1573&lt;4),"78x118",IF(AND(HN1573=2,HO1573=5,HP1573&lt;5),"78x118",IF(AND(HN1573=3,HO1573&lt;4),"114x118",""))))</f>
        <v/>
      </c>
      <c r="HU1580" s="157" t="str">
        <f>IF(AND(HR1573=3,HS1573=4,HT1573&lt;5),"78x118",IF(AND(HR1573=2,HS1573&lt;4),"78x118",IF(AND(HR1573=2,HS1573=5,HT1573&lt;5),"78x118",IF(AND(HR1573=3,HS1573&lt;4),"114x118",""))))</f>
        <v/>
      </c>
      <c r="HY1580" s="157" t="str">
        <f>IF(AND(HV1573=3,HW1573=4,HX1573&lt;5),"78x118",IF(AND(HV1573=2,HW1573&lt;4),"78x118",IF(AND(HV1573=2,HW1573=5,HX1573&lt;5),"78x118",IF(AND(HV1573=3,HW1573&lt;4),"114x118",""))))</f>
        <v/>
      </c>
      <c r="IC1580" s="157" t="str">
        <f>IF(AND(HZ1573=3,IA1573=4,IB1573&lt;5),"78x118",IF(AND(HZ1573=2,IA1573&lt;4),"78x118",IF(AND(HZ1573=2,IA1573=5,IB1573&lt;5),"78x118",IF(AND(HZ1573=3,IA1573&lt;4),"114x118",""))))</f>
        <v/>
      </c>
    </row>
    <row r="1581" spans="214:237">
      <c r="HI1581" s="157" t="str">
        <f>IF(AND(HF1573=2,HG1573&lt;4),"78x140",IF(AND(HF1573=2,HG1573=5,HH1573&lt;5),"78x140",IF(AND(HF1573=3,HG1573&lt;4),"78x140","")))</f>
        <v>78x140</v>
      </c>
      <c r="HM1581" s="157" t="str">
        <f>IF(AND(HJ1573=2,HK1573&lt;4),"78x140",IF(AND(HJ1573=2,HK1573=5,HL1573&lt;5),"78x140",IF(AND(HJ1573=3,HK1573&lt;4),"78x140","")))</f>
        <v/>
      </c>
      <c r="HQ1581" s="157" t="str">
        <f>IF(AND(HN1573=2,HO1573&lt;4),"78x140",IF(AND(HN1573=2,HO1573=5,HP1573&lt;5),"78x140",IF(AND(HN1573=3,HO1573&lt;4),"78x140","")))</f>
        <v/>
      </c>
      <c r="HU1581" s="157" t="str">
        <f>IF(AND(HR1573=2,HS1573&lt;4),"78x140",IF(AND(HR1573=2,HS1573=5,HT1573&lt;5),"78x140",IF(AND(HR1573=3,HS1573&lt;4),"78x140","")))</f>
        <v/>
      </c>
      <c r="HY1581" s="157" t="str">
        <f>IF(AND(HV1573=2,HW1573&lt;4),"78x140",IF(AND(HV1573=2,HW1573=5,HX1573&lt;5),"78x140",IF(AND(HV1573=3,HW1573&lt;4),"78x140","")))</f>
        <v/>
      </c>
      <c r="IC1581" s="157" t="str">
        <f>IF(AND(HZ1573=2,IA1573&lt;4),"78x140",IF(AND(HZ1573=2,IA1573=5,IB1573&lt;5),"78x140",IF(AND(HZ1573=3,IA1573&lt;4),"78x140","")))</f>
        <v/>
      </c>
    </row>
    <row r="1582" spans="214:237">
      <c r="HI1582" s="157" t="str">
        <f>IF(AND(HF1573=2,HG1573&lt;4),"78x160",IF(AND(HF1573=2,HG1573=5,HH1573&lt;5),"78x160",""))</f>
        <v>78x160</v>
      </c>
      <c r="HM1582" s="157" t="str">
        <f>IF(AND(HJ1573=2,HK1573&lt;4),"78x160",IF(AND(HJ1573=2,HK1573=5,HL1573&lt;5),"78x160",""))</f>
        <v/>
      </c>
      <c r="HQ1582" s="157" t="str">
        <f>IF(AND(HN1573=2,HO1573&lt;4),"78x160",IF(AND(HN1573=2,HO1573=5,HP1573&lt;5),"78x160",""))</f>
        <v/>
      </c>
      <c r="HU1582" s="157" t="str">
        <f>IF(AND(HR1573=2,HS1573&lt;4),"78x160",IF(AND(HR1573=2,HS1573=5,HT1573&lt;5),"78x160",""))</f>
        <v/>
      </c>
      <c r="HY1582" s="157" t="str">
        <f>IF(AND(HV1573=2,HW1573&lt;4),"78x160",IF(AND(HV1573=2,HW1573=5,HX1573&lt;5),"78x160",""))</f>
        <v/>
      </c>
      <c r="IC1582" s="157" t="str">
        <f>IF(AND(HZ1573=2,IA1573&lt;4),"78x160",IF(AND(HZ1573=2,IA1573=5,IB1573&lt;5),"78x160",""))</f>
        <v/>
      </c>
    </row>
    <row r="1583" spans="214:237">
      <c r="HI1583" s="157" t="str">
        <f>IF(AND(HF1573=2,HG1573&lt;4),"94x118",IF(AND(HF1573=2,HG1573=5,HH1573&lt;5),"94x118",""))</f>
        <v>94x118</v>
      </c>
      <c r="HM1583" s="157" t="str">
        <f>IF(AND(HJ1573=2,HK1573&lt;4),"94x118",IF(AND(HJ1573=2,HK1573=5,HL1573&lt;5),"94x118",""))</f>
        <v/>
      </c>
      <c r="HQ1583" s="157" t="str">
        <f>IF(AND(HN1573=2,HO1573&lt;4),"94x118",IF(AND(HN1573=2,HO1573=5,HP1573&lt;5),"94x118",""))</f>
        <v/>
      </c>
      <c r="HU1583" s="157" t="str">
        <f>IF(AND(HR1573=2,HS1573&lt;4),"94x118",IF(AND(HR1573=2,HS1573=5,HT1573&lt;5),"94x118",""))</f>
        <v/>
      </c>
      <c r="HY1583" s="157" t="str">
        <f>IF(AND(HV1573=2,HW1573&lt;4),"94x118",IF(AND(HV1573=2,HW1573=5,HX1573&lt;5),"94x118",""))</f>
        <v/>
      </c>
      <c r="IC1583" s="157" t="str">
        <f>IF(AND(HZ1573=2,IA1573&lt;4),"94x118",IF(AND(HZ1573=2,IA1573=5,IB1573&lt;5),"94x118",""))</f>
        <v/>
      </c>
    </row>
    <row r="1584" spans="214:237">
      <c r="HI1584" s="157" t="str">
        <f>IF(AND(HF1573=2,HG1573&lt;4),"114x118",IF(AND(HF1573=2,HG1573=5,HH1573&lt;5),"114x118",""))</f>
        <v>114x118</v>
      </c>
      <c r="HM1584" s="157" t="str">
        <f>IF(AND(HJ1573=2,HK1573&lt;4),"114x118",IF(AND(HJ1573=2,HK1573=5,HL1573&lt;5),"114x118",""))</f>
        <v/>
      </c>
      <c r="HQ1584" s="157" t="str">
        <f>IF(AND(HN1573=2,HO1573&lt;4),"114x118",IF(AND(HN1573=2,HO1573=5,HP1573&lt;5),"114x118",""))</f>
        <v/>
      </c>
      <c r="HU1584" s="157" t="str">
        <f>IF(AND(HR1573=2,HS1573&lt;4),"114x118",IF(AND(HR1573=2,HS1573=5,HT1573&lt;5),"114x118",""))</f>
        <v/>
      </c>
      <c r="HY1584" s="157" t="str">
        <f>IF(AND(HV1573=2,HW1573&lt;4),"114x118",IF(AND(HV1573=2,HW1573=5,HX1573&lt;5),"114x118",""))</f>
        <v/>
      </c>
      <c r="IC1584" s="157" t="str">
        <f>IF(AND(HZ1573=2,IA1573&lt;4),"114x118",IF(AND(HZ1573=2,IA1573=5,IB1573&lt;5),"114x118",""))</f>
        <v/>
      </c>
    </row>
    <row r="1585" spans="217:237">
      <c r="HI1585" s="157" t="str">
        <f>IF(AND(HF1573=2,HG1573&lt;4),"114x140",IF(AND(HF1573=2,HG1573=5,HH1573&lt;5),"114x140",""))</f>
        <v>114x140</v>
      </c>
      <c r="HM1585" s="157" t="str">
        <f>IF(AND(HJ1573=2,HK1573&lt;4),"114x140",IF(AND(HJ1573=2,HK1573=5,HL1573&lt;5),"114x140",""))</f>
        <v/>
      </c>
      <c r="HQ1585" s="157" t="str">
        <f>IF(AND(HN1573=2,HO1573&lt;4),"114x140",IF(AND(HN1573=2,HO1573=5,HP1573&lt;5),"114x140",""))</f>
        <v/>
      </c>
      <c r="HU1585" s="157" t="str">
        <f>IF(AND(HR1573=2,HS1573&lt;4),"114x140",IF(AND(HR1573=2,HS1573=5,HT1573&lt;5),"114x140",""))</f>
        <v/>
      </c>
      <c r="HY1585" s="157" t="str">
        <f>IF(AND(HV1573=2,HW1573&lt;4),"114x140",IF(AND(HV1573=2,HW1573=5,HX1573&lt;5),"114x140",""))</f>
        <v/>
      </c>
      <c r="IC1585" s="157" t="str">
        <f>IF(AND(HZ1573=2,IA1573&lt;4),"114x140",IF(AND(HZ1573=2,IA1573=5,IB1573&lt;5),"114x140",""))</f>
        <v/>
      </c>
    </row>
    <row r="1586" spans="217:237">
      <c r="HI1586" s="157" t="str">
        <f>IF(AND(HF1573=2,HG1573&lt;4),"134x98",IF(AND(HF1573=2,HG1573=5,HH1573&lt;5),"134x98",""))</f>
        <v>134x98</v>
      </c>
      <c r="HM1586" s="157" t="str">
        <f>IF(AND(HJ1573=2,HK1573&lt;4),"134x98",IF(AND(HJ1573=2,HK1573=5,HL1573&lt;5),"134x98",""))</f>
        <v/>
      </c>
      <c r="HQ1586" s="157" t="str">
        <f>IF(AND(HN1573=2,HO1573&lt;4),"134x98",IF(AND(HN1573=2,HO1573=5,HP1573&lt;5),"134x98",""))</f>
        <v/>
      </c>
      <c r="HU1586" s="157" t="str">
        <f>IF(AND(HR1573=2,HS1573&lt;4),"134x98",IF(AND(HR1573=2,HS1573=5,HT1573&lt;5),"134x98",""))</f>
        <v/>
      </c>
      <c r="HY1586" s="157" t="str">
        <f>IF(AND(HV1573=2,HW1573&lt;4),"134x98",IF(AND(HV1573=2,HW1573=5,HX1573&lt;5),"134x98",""))</f>
        <v/>
      </c>
      <c r="IC1586" s="157" t="str">
        <f>IF(AND(HZ1573=2,IA1573&lt;4),"134x98",IF(AND(HZ1573=2,IA1573=5,IB1573&lt;5),"134x98",""))</f>
        <v/>
      </c>
    </row>
    <row r="1587" spans="217:237">
      <c r="HI1587" s="157" t="str">
        <f>IF(AND(HF1573=2,HG1573&lt;4),"134x140",IF(AND(HF1573=2,HG1573=5,HH1573&lt;5),"134x140",""))</f>
        <v>134x140</v>
      </c>
      <c r="HM1587" s="157" t="str">
        <f>IF(AND(HJ1573=2,HK1573&lt;4),"134x140",IF(AND(HJ1573=2,HK1573=5,HL1573&lt;5),"134x140",""))</f>
        <v/>
      </c>
      <c r="HQ1587" s="157" t="str">
        <f>IF(AND(HN1573=2,HO1573&lt;4),"134x140",IF(AND(HN1573=2,HO1573=5,HP1573&lt;5),"134x140",""))</f>
        <v/>
      </c>
      <c r="HU1587" s="157" t="str">
        <f>IF(AND(HR1573=2,HS1573&lt;4),"134x140",IF(AND(HR1573=2,HS1573=5,HT1573&lt;5),"134x140",""))</f>
        <v/>
      </c>
      <c r="HY1587" s="157" t="str">
        <f>IF(AND(HV1573=2,HW1573&lt;4),"134x140",IF(AND(HV1573=2,HW1573=5,HX1573&lt;5),"134x140",""))</f>
        <v/>
      </c>
      <c r="IC1587" s="157" t="str">
        <f>IF(AND(HZ1573=2,IA1573&lt;4),"134x140",IF(AND(HZ1573=2,IA1573=5,IB1573&lt;5),"134x140",""))</f>
        <v/>
      </c>
    </row>
    <row r="1853" spans="2:2">
      <c r="B1853" s="146">
        <v>1</v>
      </c>
    </row>
    <row r="1854" spans="2:2">
      <c r="B1854" s="146" t="s">
        <v>236</v>
      </c>
    </row>
    <row r="1855" spans="2:2" ht="23.4">
      <c r="B1855" s="158" t="s">
        <v>194</v>
      </c>
    </row>
    <row r="1856" spans="2:2" ht="23.4">
      <c r="B1856" s="158" t="s">
        <v>195</v>
      </c>
    </row>
    <row r="1857" spans="2:2" ht="23.4">
      <c r="B1857" s="158" t="s">
        <v>196</v>
      </c>
    </row>
    <row r="1858" spans="2:2" ht="23.4">
      <c r="B1858" s="158" t="s">
        <v>197</v>
      </c>
    </row>
    <row r="1859" spans="2:2" ht="23.4">
      <c r="B1859" s="158" t="s">
        <v>198</v>
      </c>
    </row>
    <row r="1860" spans="2:2" ht="23.4">
      <c r="B1860" s="158" t="s">
        <v>199</v>
      </c>
    </row>
    <row r="1861" spans="2:2" ht="23.4">
      <c r="B1861" s="158" t="s">
        <v>200</v>
      </c>
    </row>
    <row r="1862" spans="2:2" ht="23.4">
      <c r="B1862" s="158" t="s">
        <v>201</v>
      </c>
    </row>
    <row r="1863" spans="2:2" ht="23.4">
      <c r="B1863" s="158" t="s">
        <v>202</v>
      </c>
    </row>
    <row r="1864" spans="2:2" ht="23.4">
      <c r="B1864" s="158" t="s">
        <v>203</v>
      </c>
    </row>
    <row r="1865" spans="2:2" ht="23.4">
      <c r="B1865" s="158" t="s">
        <v>235</v>
      </c>
    </row>
    <row r="1866" spans="2:2" ht="23.4">
      <c r="B1866" s="158" t="s">
        <v>204</v>
      </c>
    </row>
    <row r="1867" spans="2:2" ht="23.4">
      <c r="B1867" s="158" t="s">
        <v>205</v>
      </c>
    </row>
    <row r="1868" spans="2:2" ht="23.4">
      <c r="B1868" s="158" t="s">
        <v>206</v>
      </c>
    </row>
    <row r="1869" spans="2:2" ht="23.4">
      <c r="B1869" s="158" t="s">
        <v>207</v>
      </c>
    </row>
    <row r="1870" spans="2:2" ht="23.4">
      <c r="B1870" s="158" t="s">
        <v>208</v>
      </c>
    </row>
    <row r="1871" spans="2:2" ht="23.4">
      <c r="B1871" s="158" t="s">
        <v>209</v>
      </c>
    </row>
    <row r="1872" spans="2:2" ht="23.4">
      <c r="B1872" s="158" t="s">
        <v>210</v>
      </c>
    </row>
    <row r="1873" spans="2:2" ht="23.4">
      <c r="B1873" s="158" t="s">
        <v>211</v>
      </c>
    </row>
    <row r="1874" spans="2:2" ht="23.4">
      <c r="B1874" s="158" t="s">
        <v>212</v>
      </c>
    </row>
    <row r="1875" spans="2:2" ht="23.4">
      <c r="B1875" s="158" t="s">
        <v>213</v>
      </c>
    </row>
    <row r="1876" spans="2:2" ht="23.4">
      <c r="B1876" s="158" t="s">
        <v>214</v>
      </c>
    </row>
    <row r="1877" spans="2:2" ht="23.4">
      <c r="B1877" s="158" t="s">
        <v>215</v>
      </c>
    </row>
    <row r="1878" spans="2:2" ht="23.4">
      <c r="B1878" s="158" t="s">
        <v>216</v>
      </c>
    </row>
    <row r="1879" spans="2:2" ht="23.4">
      <c r="B1879" s="158" t="s">
        <v>217</v>
      </c>
    </row>
    <row r="1880" spans="2:2" ht="23.4">
      <c r="B1880" s="158" t="s">
        <v>218</v>
      </c>
    </row>
    <row r="1881" spans="2:2" ht="23.4">
      <c r="B1881" s="158" t="s">
        <v>219</v>
      </c>
    </row>
    <row r="1882" spans="2:2" ht="23.4">
      <c r="B1882" s="158" t="s">
        <v>220</v>
      </c>
    </row>
    <row r="1883" spans="2:2" ht="23.4">
      <c r="B1883" s="158" t="s">
        <v>221</v>
      </c>
    </row>
    <row r="1884" spans="2:2" ht="23.4">
      <c r="B1884" s="158" t="s">
        <v>222</v>
      </c>
    </row>
    <row r="1885" spans="2:2" ht="23.4">
      <c r="B1885" s="158" t="s">
        <v>223</v>
      </c>
    </row>
    <row r="1886" spans="2:2" ht="23.4">
      <c r="B1886" s="158" t="s">
        <v>224</v>
      </c>
    </row>
    <row r="1887" spans="2:2" ht="23.4">
      <c r="B1887" s="158" t="s">
        <v>225</v>
      </c>
    </row>
    <row r="1888" spans="2:2" ht="23.4">
      <c r="B1888" s="158" t="s">
        <v>226</v>
      </c>
    </row>
    <row r="1889" spans="2:2" ht="23.4">
      <c r="B1889" s="158" t="s">
        <v>227</v>
      </c>
    </row>
    <row r="1890" spans="2:2" ht="23.4">
      <c r="B1890" s="158" t="s">
        <v>228</v>
      </c>
    </row>
    <row r="1891" spans="2:2" ht="23.4">
      <c r="B1891" s="158" t="s">
        <v>229</v>
      </c>
    </row>
    <row r="1892" spans="2:2" ht="23.4">
      <c r="B1892" s="158" t="s">
        <v>230</v>
      </c>
    </row>
    <row r="1893" spans="2:2" ht="23.4">
      <c r="B1893" s="158" t="s">
        <v>231</v>
      </c>
    </row>
    <row r="1894" spans="2:2" ht="23.4">
      <c r="B1894" s="158" t="s">
        <v>232</v>
      </c>
    </row>
    <row r="1895" spans="2:2" ht="23.4">
      <c r="B1895" s="158" t="s">
        <v>233</v>
      </c>
    </row>
    <row r="1896" spans="2:2" ht="23.4">
      <c r="B1896" s="158" t="s">
        <v>234</v>
      </c>
    </row>
    <row r="2048" spans="2:2">
      <c r="B2048" s="146">
        <v>1</v>
      </c>
    </row>
    <row r="2049" spans="2:2">
      <c r="B2049" s="146" t="str">
        <f>Lang!A328</f>
        <v>Romana</v>
      </c>
    </row>
    <row r="2050" spans="2:2">
      <c r="B2050" s="146" t="str">
        <f>Lang!A329</f>
        <v>Engleza</v>
      </c>
    </row>
    <row r="2051" spans="2:2">
      <c r="B2051" s="146" t="str">
        <f>Lang!A330</f>
        <v>Bulgara</v>
      </c>
    </row>
    <row r="2052" spans="2:2">
      <c r="B2052" s="146" t="str">
        <f>Lang!A331</f>
        <v>Maghiara</v>
      </c>
    </row>
  </sheetData>
  <mergeCells count="27">
    <mergeCell ref="AF310:AG310"/>
    <mergeCell ref="V310:W310"/>
    <mergeCell ref="X310:Y310"/>
    <mergeCell ref="Z310:AA310"/>
    <mergeCell ref="AB310:AC310"/>
    <mergeCell ref="AD310:AE310"/>
    <mergeCell ref="L310:M310"/>
    <mergeCell ref="N310:O310"/>
    <mergeCell ref="P310:Q310"/>
    <mergeCell ref="R310:S310"/>
    <mergeCell ref="T310:U310"/>
    <mergeCell ref="B310:C310"/>
    <mergeCell ref="D310:E310"/>
    <mergeCell ref="F310:G310"/>
    <mergeCell ref="H310:I310"/>
    <mergeCell ref="J310:K310"/>
    <mergeCell ref="AO242:AW242"/>
    <mergeCell ref="AF242:AN242"/>
    <mergeCell ref="W242:AE242"/>
    <mergeCell ref="N242:V242"/>
    <mergeCell ref="E242:M242"/>
    <mergeCell ref="HZ1572:IC1572"/>
    <mergeCell ref="HF1572:HI1572"/>
    <mergeCell ref="HJ1572:HM1572"/>
    <mergeCell ref="HN1572:HQ1572"/>
    <mergeCell ref="HR1572:HU1572"/>
    <mergeCell ref="HV1572:HY157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N428"/>
  <sheetViews>
    <sheetView topLeftCell="A373" zoomScale="85" zoomScaleNormal="85" workbookViewId="0">
      <pane xSplit="1" topLeftCell="AG1" activePane="topRight" state="frozen"/>
      <selection activeCell="A22" sqref="A22"/>
      <selection pane="topRight" activeCell="AO407" sqref="AO407"/>
    </sheetView>
  </sheetViews>
  <sheetFormatPr defaultColWidth="9.109375" defaultRowHeight="14.4"/>
  <cols>
    <col min="1" max="1" width="73.6640625" style="147" customWidth="1"/>
    <col min="2" max="2" width="48" style="147" customWidth="1"/>
    <col min="3" max="3" width="44.44140625" style="147" customWidth="1"/>
    <col min="4" max="4" width="14" style="147" customWidth="1"/>
    <col min="5" max="5" width="8.5546875" style="147" customWidth="1"/>
    <col min="6" max="6" width="9.6640625" style="147" customWidth="1"/>
    <col min="7" max="7" width="9.44140625" style="147" customWidth="1"/>
    <col min="8" max="8" width="7.6640625" style="147" customWidth="1"/>
    <col min="9" max="9" width="9.88671875" style="147" customWidth="1"/>
    <col min="10" max="10" width="7.6640625" style="147" customWidth="1"/>
    <col min="11" max="18" width="9.109375" style="147" customWidth="1"/>
    <col min="19" max="19" width="12" style="147" customWidth="1"/>
    <col min="20" max="43" width="9.109375" style="147"/>
    <col min="44" max="44" width="17.6640625" style="147" customWidth="1"/>
    <col min="45" max="16384" width="9.109375" style="147"/>
  </cols>
  <sheetData>
    <row r="1" spans="2:8" s="146" customFormat="1">
      <c r="B1" s="890" t="s">
        <v>342</v>
      </c>
      <c r="C1" s="146">
        <f>IF(Select!$E$23=1,F1,IF(Select!$E$23=2,G1,IF(Select!$E$23=3,H1)))</f>
        <v>0</v>
      </c>
      <c r="D1" s="146" t="s">
        <v>366</v>
      </c>
      <c r="E1" s="364"/>
    </row>
    <row r="2" spans="2:8" s="146" customFormat="1">
      <c r="B2" s="890"/>
      <c r="C2" s="146">
        <f>IF(Select!$E$23=1,F2,IF(Select!$E$23=2,G2,IF(Select!$E$23=3,H2)))</f>
        <v>0</v>
      </c>
      <c r="D2" s="146" t="s">
        <v>367</v>
      </c>
      <c r="E2" s="364"/>
    </row>
    <row r="3" spans="2:8" s="146" customFormat="1">
      <c r="B3" s="890"/>
      <c r="C3" s="146">
        <f>IF(Select!$E$23=1,F3,IF(Select!$E$23=2,G3,IF(Select!$E$23=3,H3)))</f>
        <v>0</v>
      </c>
      <c r="D3" s="146" t="s">
        <v>368</v>
      </c>
      <c r="E3" s="364"/>
    </row>
    <row r="4" spans="2:8" s="146" customFormat="1">
      <c r="B4" s="890"/>
      <c r="C4" s="146">
        <f>IF(Select!$E$23=1,F4,IF(Select!$E$23=2,G4,IF(Select!$E$23=3,H4)))</f>
        <v>0</v>
      </c>
      <c r="D4" s="146" t="s">
        <v>369</v>
      </c>
      <c r="E4" s="364"/>
    </row>
    <row r="5" spans="2:8" s="146" customFormat="1">
      <c r="B5" s="890"/>
      <c r="C5" s="146">
        <f>IF(Select!$E$23=1,F5,IF(Select!$E$23=2,G5,IF(Select!$E$23=3,H5)))</f>
        <v>0</v>
      </c>
      <c r="D5" s="146" t="s">
        <v>370</v>
      </c>
      <c r="E5" s="364"/>
    </row>
    <row r="6" spans="2:8" s="146" customFormat="1">
      <c r="B6" s="890"/>
      <c r="C6" s="146">
        <f>IF(Select!$E$23=1,F6,IF(Select!$E$23=2,G6,IF(Select!$E$23=3,H6)))</f>
        <v>0</v>
      </c>
      <c r="D6" s="146" t="s">
        <v>371</v>
      </c>
      <c r="E6" s="364"/>
    </row>
    <row r="7" spans="2:8" s="146" customFormat="1">
      <c r="B7" s="890"/>
      <c r="C7" s="146">
        <f>IF(Select!$E$23=1,F7,IF(Select!$E$23=2,G7,IF(Select!$E$23=3,H7)))</f>
        <v>6.38</v>
      </c>
      <c r="D7" s="146" t="s">
        <v>372</v>
      </c>
      <c r="E7" s="364">
        <v>8.6199999999999992</v>
      </c>
      <c r="F7" s="146">
        <f>ROUND(E7*(1-'Disc Dep'!J9),2)</f>
        <v>6.38</v>
      </c>
      <c r="G7" s="146">
        <f>ROUND(F7*(1+'Adaos Distr'!J9),2)</f>
        <v>6.38</v>
      </c>
      <c r="H7" s="146">
        <f>ROUND(G7*(1+'Adaos RESELLER'!J9),2)</f>
        <v>6.38</v>
      </c>
    </row>
    <row r="8" spans="2:8" s="146" customFormat="1">
      <c r="B8" s="890"/>
      <c r="C8" s="146">
        <f>IF(Select!$E$23=1,F8,IF(Select!$E$23=2,G8,IF(Select!$E$23=3,H8)))</f>
        <v>9.07</v>
      </c>
      <c r="D8" s="146" t="s">
        <v>373</v>
      </c>
      <c r="E8" s="364">
        <v>12.26</v>
      </c>
      <c r="F8" s="146">
        <f>ROUND(E8*(1-'Disc Dep'!J10),2)</f>
        <v>9.07</v>
      </c>
      <c r="G8" s="146">
        <f>ROUND(F8*(1+'Adaos Distr'!J10),2)</f>
        <v>9.07</v>
      </c>
      <c r="H8" s="146">
        <f>ROUND(G8*(1+'Adaos RESELLER'!J10),2)</f>
        <v>9.07</v>
      </c>
    </row>
    <row r="9" spans="2:8" s="146" customFormat="1">
      <c r="B9" s="890"/>
      <c r="C9" s="146">
        <f>IF(Select!$E$23=1,F9,IF(Select!$E$23=2,G9,IF(Select!$E$23=3,H9)))</f>
        <v>8.1999999999999993</v>
      </c>
      <c r="D9" s="146" t="s">
        <v>374</v>
      </c>
      <c r="E9" s="364">
        <v>11.08</v>
      </c>
      <c r="F9" s="146">
        <f>ROUND(E9*(1-'Disc Dep'!J11),2)</f>
        <v>8.1999999999999993</v>
      </c>
      <c r="G9" s="146">
        <f>ROUND(F9*(1+'Adaos Distr'!J11),2)</f>
        <v>8.1999999999999993</v>
      </c>
      <c r="H9" s="146">
        <f>ROUND(G9*(1+'Adaos RESELLER'!J11),2)</f>
        <v>8.1999999999999993</v>
      </c>
    </row>
    <row r="10" spans="2:8" s="146" customFormat="1">
      <c r="B10" s="890" t="s">
        <v>343</v>
      </c>
      <c r="C10" s="146">
        <f>IF(Select!$E$23=1,F10,IF(Select!$E$23=2,G10,IF(Select!$E$23=3,H10)))</f>
        <v>0</v>
      </c>
      <c r="D10" s="146" t="s">
        <v>366</v>
      </c>
      <c r="E10" s="364"/>
      <c r="F10" s="146">
        <f>ROUND(E10*(1-'Disc Dep'!J12),2)</f>
        <v>0</v>
      </c>
      <c r="G10" s="146">
        <f>ROUND(F10*(1+'Adaos Distr'!J12),2)</f>
        <v>0</v>
      </c>
      <c r="H10" s="146">
        <f>ROUND(G10*(1+'Adaos RESELLER'!J12),2)</f>
        <v>0</v>
      </c>
    </row>
    <row r="11" spans="2:8" s="146" customFormat="1">
      <c r="B11" s="890"/>
      <c r="C11" s="146">
        <f>IF(Select!$E$23=1,F11,IF(Select!$E$23=2,G11,IF(Select!$E$23=3,H11)))</f>
        <v>0</v>
      </c>
      <c r="D11" s="146" t="s">
        <v>367</v>
      </c>
      <c r="E11" s="364"/>
      <c r="F11" s="146">
        <f>ROUND(E11*(1-'Disc Dep'!J13),2)</f>
        <v>0</v>
      </c>
      <c r="G11" s="146">
        <f>ROUND(F11*(1+'Adaos Distr'!J13),2)</f>
        <v>0</v>
      </c>
      <c r="H11" s="146">
        <f>ROUND(G11*(1+'Adaos RESELLER'!J13),2)</f>
        <v>0</v>
      </c>
    </row>
    <row r="12" spans="2:8" s="146" customFormat="1">
      <c r="B12" s="890"/>
      <c r="C12" s="146">
        <f>IF(Select!$E$23=1,F12,IF(Select!$E$23=2,G12,IF(Select!$E$23=3,H12)))</f>
        <v>5.56</v>
      </c>
      <c r="D12" s="146" t="s">
        <v>368</v>
      </c>
      <c r="E12" s="364">
        <v>7.51</v>
      </c>
      <c r="F12" s="146">
        <f>ROUND(E12*(1-'Disc Dep'!J14),2)</f>
        <v>5.56</v>
      </c>
      <c r="G12" s="146">
        <f>ROUND(F12*(1+'Adaos Distr'!J14),2)</f>
        <v>5.56</v>
      </c>
      <c r="H12" s="146">
        <f>ROUND(G12*(1+'Adaos RESELLER'!J14),2)</f>
        <v>5.56</v>
      </c>
    </row>
    <row r="13" spans="2:8" s="146" customFormat="1">
      <c r="B13" s="890"/>
      <c r="C13" s="146">
        <f>IF(Select!$E$23=1,F13,IF(Select!$E$23=2,G13,IF(Select!$E$23=3,H13)))</f>
        <v>5.99</v>
      </c>
      <c r="D13" s="146" t="s">
        <v>369</v>
      </c>
      <c r="E13" s="364">
        <v>8.1</v>
      </c>
      <c r="F13" s="146">
        <f>ROUND(E13*(1-'Disc Dep'!J15),2)</f>
        <v>5.99</v>
      </c>
      <c r="G13" s="146">
        <f>ROUND(F13*(1+'Adaos Distr'!J15),2)</f>
        <v>5.99</v>
      </c>
      <c r="H13" s="146">
        <f>ROUND(G13*(1+'Adaos RESELLER'!J15),2)</f>
        <v>5.99</v>
      </c>
    </row>
    <row r="14" spans="2:8" s="146" customFormat="1">
      <c r="B14" s="890"/>
      <c r="C14" s="146">
        <f>IF(Select!$E$23=1,F14,IF(Select!$E$23=2,G14,IF(Select!$E$23=3,H14)))</f>
        <v>0</v>
      </c>
      <c r="D14" s="146" t="s">
        <v>370</v>
      </c>
      <c r="E14" s="364"/>
      <c r="F14" s="146">
        <f>ROUND(E14*(1-'Disc Dep'!J16),2)</f>
        <v>0</v>
      </c>
      <c r="G14" s="146">
        <f>ROUND(F14*(1+'Adaos Distr'!J16),2)</f>
        <v>0</v>
      </c>
      <c r="H14" s="146">
        <f>ROUND(G14*(1+'Adaos RESELLER'!J16),2)</f>
        <v>0</v>
      </c>
    </row>
    <row r="15" spans="2:8" s="146" customFormat="1">
      <c r="B15" s="890"/>
      <c r="C15" s="146">
        <f>IF(Select!$E$23=1,F15,IF(Select!$E$23=2,G15,IF(Select!$E$23=3,H15)))</f>
        <v>5.93</v>
      </c>
      <c r="D15" s="146" t="s">
        <v>371</v>
      </c>
      <c r="E15" s="364">
        <v>8.01</v>
      </c>
      <c r="F15" s="146">
        <f>ROUND(E15*(1-'Disc Dep'!J17),2)</f>
        <v>5.93</v>
      </c>
      <c r="G15" s="146">
        <f>ROUND(F15*(1+'Adaos Distr'!J17),2)</f>
        <v>5.93</v>
      </c>
      <c r="H15" s="146">
        <f>ROUND(G15*(1+'Adaos RESELLER'!J17),2)</f>
        <v>5.93</v>
      </c>
    </row>
    <row r="16" spans="2:8" s="146" customFormat="1">
      <c r="B16" s="890"/>
      <c r="C16" s="146">
        <f>IF(Select!$E$23=1,F16,IF(Select!$E$23=2,G16,IF(Select!$E$23=3,H16)))</f>
        <v>6.11</v>
      </c>
      <c r="D16" s="146" t="s">
        <v>372</v>
      </c>
      <c r="E16" s="364">
        <v>8.26</v>
      </c>
      <c r="F16" s="146">
        <f>ROUND(E16*(1-'Disc Dep'!J18),2)</f>
        <v>6.11</v>
      </c>
      <c r="G16" s="146">
        <f>ROUND(F16*(1+'Adaos Distr'!J18),2)</f>
        <v>6.11</v>
      </c>
      <c r="H16" s="146">
        <f>ROUND(G16*(1+'Adaos RESELLER'!J18),2)</f>
        <v>6.11</v>
      </c>
    </row>
    <row r="17" spans="2:8" s="146" customFormat="1">
      <c r="B17" s="890"/>
      <c r="C17" s="146">
        <f>IF(Select!$E$23=1,F17,IF(Select!$E$23=2,G17,IF(Select!$E$23=3,H17)))</f>
        <v>8.9</v>
      </c>
      <c r="D17" s="146" t="s">
        <v>373</v>
      </c>
      <c r="E17" s="364">
        <v>12.03</v>
      </c>
      <c r="F17" s="146">
        <f>ROUND(E17*(1-'Disc Dep'!J19),2)</f>
        <v>8.9</v>
      </c>
      <c r="G17" s="146">
        <f>ROUND(F17*(1+'Adaos Distr'!J19),2)</f>
        <v>8.9</v>
      </c>
      <c r="H17" s="146">
        <f>ROUND(G17*(1+'Adaos RESELLER'!J19),2)</f>
        <v>8.9</v>
      </c>
    </row>
    <row r="18" spans="2:8" s="146" customFormat="1">
      <c r="B18" s="890"/>
      <c r="C18" s="146">
        <f>IF(Select!$E$23=1,F18,IF(Select!$E$23=2,G18,IF(Select!$E$23=3,H18)))</f>
        <v>8.08</v>
      </c>
      <c r="D18" s="146" t="s">
        <v>374</v>
      </c>
      <c r="E18" s="364">
        <v>10.92</v>
      </c>
      <c r="F18" s="146">
        <f>ROUND(E18*(1-'Disc Dep'!J20),2)</f>
        <v>8.08</v>
      </c>
      <c r="G18" s="146">
        <f>ROUND(F18*(1+'Adaos Distr'!J20),2)</f>
        <v>8.08</v>
      </c>
      <c r="H18" s="146">
        <f>ROUND(G18*(1+'Adaos RESELLER'!J20),2)</f>
        <v>8.08</v>
      </c>
    </row>
    <row r="19" spans="2:8" s="146" customFormat="1">
      <c r="B19" s="890" t="s">
        <v>344</v>
      </c>
      <c r="C19" s="146">
        <f>IF(Select!$E$23=1,F19,IF(Select!$E$23=2,G19,IF(Select!$E$23=3,H19)))</f>
        <v>0</v>
      </c>
      <c r="D19" s="146" t="s">
        <v>366</v>
      </c>
      <c r="E19" s="364"/>
      <c r="F19" s="146">
        <f>ROUND(E19*(1-'Disc Dep'!J30),2)</f>
        <v>0</v>
      </c>
      <c r="G19" s="146">
        <f>ROUND(F19*(1+'Adaos Distr'!J30),2)</f>
        <v>0</v>
      </c>
      <c r="H19" s="146">
        <f>ROUND(G19*(1+'Adaos RESELLER'!J30),2)</f>
        <v>0</v>
      </c>
    </row>
    <row r="20" spans="2:8" s="146" customFormat="1">
      <c r="B20" s="890"/>
      <c r="C20" s="146">
        <f>IF(Select!$E$23=1,F20,IF(Select!$E$23=2,G20,IF(Select!$E$23=3,H20)))</f>
        <v>0</v>
      </c>
      <c r="D20" s="146" t="s">
        <v>367</v>
      </c>
      <c r="E20" s="364"/>
      <c r="F20" s="146">
        <f>ROUND(E20*(1-'Disc Dep'!J31),2)</f>
        <v>0</v>
      </c>
      <c r="G20" s="146">
        <f>ROUND(F20*(1+'Adaos Distr'!J31),2)</f>
        <v>0</v>
      </c>
      <c r="H20" s="146">
        <f>ROUND(G20*(1+'Adaos RESELLER'!J31),2)</f>
        <v>0</v>
      </c>
    </row>
    <row r="21" spans="2:8" s="146" customFormat="1">
      <c r="B21" s="890"/>
      <c r="C21" s="146">
        <f>IF(Select!$E$23=1,F21,IF(Select!$E$23=2,G21,IF(Select!$E$23=3,H21)))</f>
        <v>0</v>
      </c>
      <c r="D21" s="146" t="s">
        <v>368</v>
      </c>
      <c r="E21" s="364"/>
      <c r="F21" s="146">
        <f>ROUND(E21*(1-'Disc Dep'!J32),2)</f>
        <v>0</v>
      </c>
      <c r="G21" s="146">
        <f>ROUND(F21*(1+'Adaos Distr'!J32),2)</f>
        <v>0</v>
      </c>
      <c r="H21" s="146">
        <f>ROUND(G21*(1+'Adaos RESELLER'!J32),2)</f>
        <v>0</v>
      </c>
    </row>
    <row r="22" spans="2:8" s="146" customFormat="1">
      <c r="B22" s="890"/>
      <c r="C22" s="146">
        <f>IF(Select!$E$23=1,F22,IF(Select!$E$23=2,G22,IF(Select!$E$23=3,H22)))</f>
        <v>6.12</v>
      </c>
      <c r="D22" s="146" t="s">
        <v>369</v>
      </c>
      <c r="E22" s="364">
        <v>8.27</v>
      </c>
      <c r="F22" s="146">
        <f>ROUND(E22*(1-'Disc Dep'!J33),2)</f>
        <v>6.12</v>
      </c>
      <c r="G22" s="146">
        <f>ROUND(F22*(1+'Adaos Distr'!J33),2)</f>
        <v>6.12</v>
      </c>
      <c r="H22" s="146">
        <f>ROUND(G22*(1+'Adaos RESELLER'!J33),2)</f>
        <v>6.12</v>
      </c>
    </row>
    <row r="23" spans="2:8" s="146" customFormat="1">
      <c r="B23" s="890"/>
      <c r="C23" s="146">
        <f>IF(Select!$E$23=1,F23,IF(Select!$E$23=2,G23,IF(Select!$E$23=3,H23)))</f>
        <v>0</v>
      </c>
      <c r="D23" s="146" t="s">
        <v>370</v>
      </c>
      <c r="E23" s="364"/>
      <c r="F23" s="146">
        <f>ROUND(E23*(1-'Disc Dep'!J34),2)</f>
        <v>0</v>
      </c>
      <c r="G23" s="146">
        <f>ROUND(F23*(1+'Adaos Distr'!J34),2)</f>
        <v>0</v>
      </c>
      <c r="H23" s="146">
        <f>ROUND(G23*(1+'Adaos RESELLER'!J34),2)</f>
        <v>0</v>
      </c>
    </row>
    <row r="24" spans="2:8" s="146" customFormat="1">
      <c r="B24" s="890"/>
      <c r="C24" s="146">
        <f>IF(Select!$E$23=1,F24,IF(Select!$E$23=2,G24,IF(Select!$E$23=3,H24)))</f>
        <v>6.08</v>
      </c>
      <c r="D24" s="146" t="s">
        <v>371</v>
      </c>
      <c r="E24" s="364">
        <v>8.2200000000000006</v>
      </c>
      <c r="F24" s="146">
        <f>ROUND(E24*(1-'Disc Dep'!J35),2)</f>
        <v>6.08</v>
      </c>
      <c r="G24" s="146">
        <f>ROUND(F24*(1+'Adaos Distr'!J35),2)</f>
        <v>6.08</v>
      </c>
      <c r="H24" s="146">
        <f>ROUND(G24*(1+'Adaos RESELLER'!J35),2)</f>
        <v>6.08</v>
      </c>
    </row>
    <row r="25" spans="2:8" s="146" customFormat="1">
      <c r="B25" s="890"/>
      <c r="C25" s="146">
        <f>IF(Select!$E$23=1,F25,IF(Select!$E$23=2,G25,IF(Select!$E$23=3,H25)))</f>
        <v>6.33</v>
      </c>
      <c r="D25" s="146" t="s">
        <v>372</v>
      </c>
      <c r="E25" s="364">
        <v>8.56</v>
      </c>
      <c r="F25" s="146">
        <f>ROUND(E25*(1-'Disc Dep'!J36),2)</f>
        <v>6.33</v>
      </c>
      <c r="G25" s="146">
        <f>ROUND(F25*(1+'Adaos Distr'!J36),2)</f>
        <v>6.33</v>
      </c>
      <c r="H25" s="146">
        <f>ROUND(G25*(1+'Adaos RESELLER'!J36),2)</f>
        <v>6.33</v>
      </c>
    </row>
    <row r="26" spans="2:8" s="146" customFormat="1">
      <c r="B26" s="890"/>
      <c r="C26" s="146">
        <f>IF(Select!$E$23=1,F26,IF(Select!$E$23=2,G26,IF(Select!$E$23=3,H26)))</f>
        <v>9.07</v>
      </c>
      <c r="D26" s="146" t="s">
        <v>373</v>
      </c>
      <c r="E26" s="364">
        <v>12.26</v>
      </c>
      <c r="F26" s="146">
        <f>ROUND(E26*(1-'Disc Dep'!J37),2)</f>
        <v>9.07</v>
      </c>
      <c r="G26" s="146">
        <f>ROUND(F26*(1+'Adaos Distr'!J37),2)</f>
        <v>9.07</v>
      </c>
      <c r="H26" s="146">
        <f>ROUND(G26*(1+'Adaos RESELLER'!J37),2)</f>
        <v>9.07</v>
      </c>
    </row>
    <row r="27" spans="2:8" s="146" customFormat="1">
      <c r="B27" s="890"/>
      <c r="C27" s="146">
        <f>IF(Select!$E$23=1,F27,IF(Select!$E$23=2,G27,IF(Select!$E$23=3,H27)))</f>
        <v>8.19</v>
      </c>
      <c r="D27" s="146" t="s">
        <v>374</v>
      </c>
      <c r="E27" s="364">
        <v>11.07</v>
      </c>
      <c r="F27" s="146">
        <f>ROUND(E27*(1-'Disc Dep'!J38),2)</f>
        <v>8.19</v>
      </c>
      <c r="G27" s="146">
        <f>ROUND(F27*(1+'Adaos Distr'!J38),2)</f>
        <v>8.19</v>
      </c>
      <c r="H27" s="146">
        <f>ROUND(G27*(1+'Adaos RESELLER'!J38),2)</f>
        <v>8.19</v>
      </c>
    </row>
    <row r="28" spans="2:8" s="146" customFormat="1">
      <c r="B28" s="890" t="s">
        <v>376</v>
      </c>
      <c r="C28" s="146">
        <f>IF(Select!$E$23=1,F28,IF(Select!$E$23=2,G28,IF(Select!$E$23=3,H28)))</f>
        <v>0</v>
      </c>
      <c r="D28" s="146" t="s">
        <v>366</v>
      </c>
      <c r="E28" s="364"/>
      <c r="F28" s="146">
        <f>ROUND(E28*(1-'Disc Dep'!J39),2)</f>
        <v>0</v>
      </c>
      <c r="G28" s="146">
        <f>ROUND(F28*(1+'Adaos Distr'!J39),2)</f>
        <v>0</v>
      </c>
      <c r="H28" s="146">
        <f>ROUND(G28*(1+'Adaos RESELLER'!J39),2)</f>
        <v>0</v>
      </c>
    </row>
    <row r="29" spans="2:8" s="146" customFormat="1">
      <c r="B29" s="890"/>
      <c r="C29" s="146">
        <f>IF(Select!$E$23=1,F29,IF(Select!$E$23=2,G29,IF(Select!$E$23=3,H29)))</f>
        <v>0</v>
      </c>
      <c r="D29" s="146" t="s">
        <v>367</v>
      </c>
      <c r="E29" s="364"/>
      <c r="F29" s="146">
        <f>ROUND(E29*(1-'Disc Dep'!J40),2)</f>
        <v>0</v>
      </c>
      <c r="G29" s="146">
        <f>ROUND(F29*(1+'Adaos Distr'!J40),2)</f>
        <v>0</v>
      </c>
      <c r="H29" s="146">
        <f>ROUND(G29*(1+'Adaos RESELLER'!J40),2)</f>
        <v>0</v>
      </c>
    </row>
    <row r="30" spans="2:8" s="146" customFormat="1">
      <c r="B30" s="890"/>
      <c r="C30" s="146">
        <f>IF(Select!$E$23=1,F30,IF(Select!$E$23=2,G30,IF(Select!$E$23=3,H30)))</f>
        <v>0</v>
      </c>
      <c r="D30" s="146" t="s">
        <v>368</v>
      </c>
      <c r="E30" s="364"/>
      <c r="F30" s="146">
        <f>ROUND(E30*(1-'Disc Dep'!J41),2)</f>
        <v>0</v>
      </c>
      <c r="G30" s="146">
        <f>ROUND(F30*(1+'Adaos Distr'!J41),2)</f>
        <v>0</v>
      </c>
      <c r="H30" s="146">
        <f>ROUND(G30*(1+'Adaos RESELLER'!J41),2)</f>
        <v>0</v>
      </c>
    </row>
    <row r="31" spans="2:8" s="146" customFormat="1">
      <c r="B31" s="890"/>
      <c r="C31" s="146">
        <f>IF(Select!$E$23=1,F31,IF(Select!$E$23=2,G31,IF(Select!$E$23=3,H31)))</f>
        <v>6.62</v>
      </c>
      <c r="D31" s="146" t="s">
        <v>369</v>
      </c>
      <c r="E31" s="364">
        <v>8.94</v>
      </c>
      <c r="F31" s="146">
        <f>ROUND(E31*(1-'Disc Dep'!J42),2)</f>
        <v>6.62</v>
      </c>
      <c r="G31" s="146">
        <f>ROUND(F31*(1+'Adaos Distr'!J42),2)</f>
        <v>6.62</v>
      </c>
      <c r="H31" s="146">
        <f>ROUND(G31*(1+'Adaos RESELLER'!J42),2)</f>
        <v>6.62</v>
      </c>
    </row>
    <row r="32" spans="2:8" s="146" customFormat="1">
      <c r="B32" s="890"/>
      <c r="C32" s="146">
        <f>IF(Select!$E$23=1,F32,IF(Select!$E$23=2,G32,IF(Select!$E$23=3,H32)))</f>
        <v>0</v>
      </c>
      <c r="D32" s="146" t="s">
        <v>370</v>
      </c>
      <c r="E32" s="364"/>
      <c r="F32" s="146">
        <f>ROUND(E32*(1-'Disc Dep'!J43),2)</f>
        <v>0</v>
      </c>
      <c r="G32" s="146">
        <f>ROUND(F32*(1+'Adaos Distr'!J43),2)</f>
        <v>0</v>
      </c>
      <c r="H32" s="146">
        <f>ROUND(G32*(1+'Adaos RESELLER'!J43),2)</f>
        <v>0</v>
      </c>
    </row>
    <row r="33" spans="2:8" s="146" customFormat="1">
      <c r="B33" s="890"/>
      <c r="C33" s="146">
        <f>IF(Select!$E$23=1,F33,IF(Select!$E$23=2,G33,IF(Select!$E$23=3,H33)))</f>
        <v>6.36</v>
      </c>
      <c r="D33" s="146" t="s">
        <v>371</v>
      </c>
      <c r="E33" s="364">
        <v>8.6</v>
      </c>
      <c r="F33" s="146">
        <f>ROUND(E33*(1-'Disc Dep'!J44),2)</f>
        <v>6.36</v>
      </c>
      <c r="G33" s="146">
        <f>ROUND(F33*(1+'Adaos Distr'!J44),2)</f>
        <v>6.36</v>
      </c>
      <c r="H33" s="146">
        <f>ROUND(G33*(1+'Adaos RESELLER'!J44),2)</f>
        <v>6.36</v>
      </c>
    </row>
    <row r="34" spans="2:8" s="146" customFormat="1">
      <c r="B34" s="890"/>
      <c r="C34" s="146">
        <f>IF(Select!$E$23=1,F34,IF(Select!$E$23=2,G34,IF(Select!$E$23=3,H34)))</f>
        <v>6.88</v>
      </c>
      <c r="D34" s="146" t="s">
        <v>372</v>
      </c>
      <c r="E34" s="364">
        <v>9.3000000000000007</v>
      </c>
      <c r="F34" s="146">
        <f>ROUND(E34*(1-'Disc Dep'!J45),2)</f>
        <v>6.88</v>
      </c>
      <c r="G34" s="146">
        <f>ROUND(F34*(1+'Adaos Distr'!J45),2)</f>
        <v>6.88</v>
      </c>
      <c r="H34" s="146">
        <f>ROUND(G34*(1+'Adaos RESELLER'!J45),2)</f>
        <v>6.88</v>
      </c>
    </row>
    <row r="35" spans="2:8" s="146" customFormat="1">
      <c r="B35" s="890"/>
      <c r="C35" s="146">
        <f>IF(Select!$E$23=1,F35,IF(Select!$E$23=2,G35,IF(Select!$E$23=3,H35)))</f>
        <v>9.6199999999999992</v>
      </c>
      <c r="D35" s="146" t="s">
        <v>373</v>
      </c>
      <c r="E35" s="364">
        <v>13</v>
      </c>
      <c r="F35" s="146">
        <f>ROUND(E35*(1-'Disc Dep'!J46),2)</f>
        <v>9.6199999999999992</v>
      </c>
      <c r="G35" s="146">
        <f>ROUND(F35*(1+'Adaos Distr'!J46),2)</f>
        <v>9.6199999999999992</v>
      </c>
      <c r="H35" s="146">
        <f>ROUND(G35*(1+'Adaos RESELLER'!J46),2)</f>
        <v>9.6199999999999992</v>
      </c>
    </row>
    <row r="36" spans="2:8" s="146" customFormat="1">
      <c r="B36" s="890"/>
      <c r="C36" s="146">
        <f>IF(Select!$E$23=1,F36,IF(Select!$E$23=2,G36,IF(Select!$E$23=3,H36)))</f>
        <v>8.74</v>
      </c>
      <c r="D36" s="146" t="s">
        <v>374</v>
      </c>
      <c r="E36" s="364">
        <v>11.81</v>
      </c>
      <c r="F36" s="146">
        <f>ROUND(E36*(1-'Disc Dep'!J47),2)</f>
        <v>8.74</v>
      </c>
      <c r="G36" s="146">
        <f>ROUND(F36*(1+'Adaos Distr'!J47),2)</f>
        <v>8.74</v>
      </c>
      <c r="H36" s="146">
        <f>ROUND(G36*(1+'Adaos RESELLER'!J47),2)</f>
        <v>8.74</v>
      </c>
    </row>
    <row r="37" spans="2:8" s="146" customFormat="1">
      <c r="B37" s="890" t="s">
        <v>334</v>
      </c>
      <c r="C37" s="146">
        <f>IF(Select!$E$23=1,F37,IF(Select!$E$23=2,G37,IF(Select!$E$23=3,H37)))</f>
        <v>4.25</v>
      </c>
      <c r="D37" s="146" t="s">
        <v>366</v>
      </c>
      <c r="E37" s="364">
        <v>5.74</v>
      </c>
      <c r="F37" s="146">
        <f>ROUND(E37*(1-'Disc Dep'!J48),2)</f>
        <v>4.25</v>
      </c>
      <c r="G37" s="146">
        <f>ROUND(F37*(1+'Adaos Distr'!J48),2)</f>
        <v>4.25</v>
      </c>
      <c r="H37" s="146">
        <f>ROUND(G37*(1+'Adaos RESELLER'!J48),2)</f>
        <v>4.25</v>
      </c>
    </row>
    <row r="38" spans="2:8" s="146" customFormat="1">
      <c r="B38" s="890"/>
      <c r="C38" s="146">
        <f>IF(Select!$E$23=1,F38,IF(Select!$E$23=2,G38,IF(Select!$E$23=3,H38)))</f>
        <v>4.74</v>
      </c>
      <c r="D38" s="146" t="s">
        <v>367</v>
      </c>
      <c r="E38" s="364">
        <v>6.41</v>
      </c>
      <c r="F38" s="146">
        <f>ROUND(E38*(1-'Disc Dep'!J49),2)</f>
        <v>4.74</v>
      </c>
      <c r="G38" s="146">
        <f>ROUND(F38*(1+'Adaos Distr'!J49),2)</f>
        <v>4.74</v>
      </c>
      <c r="H38" s="146">
        <f>ROUND(G38*(1+'Adaos RESELLER'!J49),2)</f>
        <v>4.74</v>
      </c>
    </row>
    <row r="39" spans="2:8" s="146" customFormat="1">
      <c r="B39" s="890"/>
      <c r="C39" s="146">
        <f>IF(Select!$E$23=1,F39,IF(Select!$E$23=2,G39,IF(Select!$E$23=3,H39)))</f>
        <v>5.49</v>
      </c>
      <c r="D39" s="146" t="s">
        <v>368</v>
      </c>
      <c r="E39" s="364">
        <v>7.42</v>
      </c>
      <c r="F39" s="146">
        <f>ROUND(E39*(1-'Disc Dep'!J50),2)</f>
        <v>5.49</v>
      </c>
      <c r="G39" s="146">
        <f>ROUND(F39*(1+'Adaos Distr'!J50),2)</f>
        <v>5.49</v>
      </c>
      <c r="H39" s="146">
        <f>ROUND(G39*(1+'Adaos RESELLER'!J50),2)</f>
        <v>5.49</v>
      </c>
    </row>
    <row r="40" spans="2:8" s="146" customFormat="1">
      <c r="B40" s="890"/>
      <c r="C40" s="146">
        <f>IF(Select!$E$23=1,F40,IF(Select!$E$23=2,G40,IF(Select!$E$23=3,H40)))</f>
        <v>5.9</v>
      </c>
      <c r="D40" s="146" t="s">
        <v>369</v>
      </c>
      <c r="E40" s="364">
        <v>7.97</v>
      </c>
      <c r="F40" s="146">
        <f>ROUND(E40*(1-'Disc Dep'!J51),2)</f>
        <v>5.9</v>
      </c>
      <c r="G40" s="146">
        <f>ROUND(F40*(1+'Adaos Distr'!J51),2)</f>
        <v>5.9</v>
      </c>
      <c r="H40" s="146">
        <f>ROUND(G40*(1+'Adaos RESELLER'!J51),2)</f>
        <v>5.9</v>
      </c>
    </row>
    <row r="41" spans="2:8" s="146" customFormat="1">
      <c r="B41" s="890"/>
      <c r="C41" s="146">
        <f>IF(Select!$E$23=1,F41,IF(Select!$E$23=2,G41,IF(Select!$E$23=3,H41)))</f>
        <v>5.17</v>
      </c>
      <c r="D41" s="146" t="s">
        <v>370</v>
      </c>
      <c r="E41" s="364">
        <v>6.98</v>
      </c>
      <c r="F41" s="146">
        <f>ROUND(E41*(1-'Disc Dep'!J52),2)</f>
        <v>5.17</v>
      </c>
      <c r="G41" s="146">
        <f>ROUND(F41*(1+'Adaos Distr'!J52),2)</f>
        <v>5.17</v>
      </c>
      <c r="H41" s="146">
        <f>ROUND(G41*(1+'Adaos RESELLER'!J52),2)</f>
        <v>5.17</v>
      </c>
    </row>
    <row r="42" spans="2:8" s="146" customFormat="1">
      <c r="B42" s="890"/>
      <c r="C42" s="146">
        <f>IF(Select!$E$23=1,F42,IF(Select!$E$23=2,G42,IF(Select!$E$23=3,H42)))</f>
        <v>5.9</v>
      </c>
      <c r="D42" s="146" t="s">
        <v>371</v>
      </c>
      <c r="E42" s="364">
        <v>7.97</v>
      </c>
      <c r="F42" s="146">
        <f>ROUND(E42*(1-'Disc Dep'!J53),2)</f>
        <v>5.9</v>
      </c>
      <c r="G42" s="146">
        <f>ROUND(F42*(1+'Adaos Distr'!J53),2)</f>
        <v>5.9</v>
      </c>
      <c r="H42" s="146">
        <f>ROUND(G42*(1+'Adaos RESELLER'!J53),2)</f>
        <v>5.9</v>
      </c>
    </row>
    <row r="43" spans="2:8" s="146" customFormat="1">
      <c r="B43" s="890"/>
      <c r="C43" s="146">
        <f>IF(Select!$E$23=1,F43,IF(Select!$E$23=2,G43,IF(Select!$E$23=3,H43)))</f>
        <v>6.15</v>
      </c>
      <c r="D43" s="146" t="s">
        <v>372</v>
      </c>
      <c r="E43" s="364">
        <v>8.31</v>
      </c>
      <c r="F43" s="146">
        <f>ROUND(E43*(1-'Disc Dep'!J54),2)</f>
        <v>6.15</v>
      </c>
      <c r="G43" s="146">
        <f>ROUND(F43*(1+'Adaos Distr'!J54),2)</f>
        <v>6.15</v>
      </c>
      <c r="H43" s="146">
        <f>ROUND(G43*(1+'Adaos RESELLER'!J54),2)</f>
        <v>6.15</v>
      </c>
    </row>
    <row r="44" spans="2:8" s="146" customFormat="1">
      <c r="B44" s="890"/>
      <c r="C44" s="146">
        <f>IF(Select!$E$23=1,F44,IF(Select!$E$23=2,G44,IF(Select!$E$23=3,H44)))</f>
        <v>8.75</v>
      </c>
      <c r="D44" s="146" t="s">
        <v>373</v>
      </c>
      <c r="E44" s="364">
        <v>11.83</v>
      </c>
      <c r="F44" s="146">
        <f>ROUND(E44*(1-'Disc Dep'!J55),2)</f>
        <v>8.75</v>
      </c>
      <c r="G44" s="146">
        <f>ROUND(F44*(1+'Adaos Distr'!J55),2)</f>
        <v>8.75</v>
      </c>
      <c r="H44" s="146">
        <f>ROUND(G44*(1+'Adaos RESELLER'!J55),2)</f>
        <v>8.75</v>
      </c>
    </row>
    <row r="45" spans="2:8" s="146" customFormat="1">
      <c r="B45" s="890"/>
      <c r="C45" s="146">
        <f>IF(Select!$E$23=1,F45,IF(Select!$E$23=2,G45,IF(Select!$E$23=3,H45)))</f>
        <v>7.96</v>
      </c>
      <c r="D45" s="146" t="s">
        <v>374</v>
      </c>
      <c r="E45" s="364">
        <v>10.76</v>
      </c>
      <c r="F45" s="146">
        <f>ROUND(E45*(1-'Disc Dep'!J56),2)</f>
        <v>7.96</v>
      </c>
      <c r="G45" s="146">
        <f>ROUND(F45*(1+'Adaos Distr'!J56),2)</f>
        <v>7.96</v>
      </c>
      <c r="H45" s="146">
        <f>ROUND(G45*(1+'Adaos RESELLER'!J56),2)</f>
        <v>7.96</v>
      </c>
    </row>
    <row r="46" spans="2:8" s="146" customFormat="1">
      <c r="B46" s="890" t="s">
        <v>433</v>
      </c>
      <c r="C46" s="146">
        <f>IF(Select!$E$23=1,F46,IF(Select!$E$23=2,G46,IF(Select!$E$23=3,H46)))</f>
        <v>0</v>
      </c>
      <c r="D46" s="146" t="s">
        <v>366</v>
      </c>
      <c r="E46" s="364"/>
      <c r="F46" s="146">
        <f>ROUND(E46*(1-'Disc Dep'!J57),2)</f>
        <v>0</v>
      </c>
      <c r="G46" s="146">
        <f>ROUND(F46*(1+'Adaos Distr'!J57),2)</f>
        <v>0</v>
      </c>
      <c r="H46" s="146">
        <f>ROUND(G46*(1+'Adaos RESELLER'!J57),2)</f>
        <v>0</v>
      </c>
    </row>
    <row r="47" spans="2:8" s="146" customFormat="1">
      <c r="B47" s="890"/>
      <c r="C47" s="146">
        <f>IF(Select!$E$23=1,F47,IF(Select!$E$23=2,G47,IF(Select!$E$23=3,H47)))</f>
        <v>0</v>
      </c>
      <c r="D47" s="146" t="s">
        <v>367</v>
      </c>
      <c r="E47" s="364"/>
      <c r="F47" s="146">
        <f>ROUND(E47*(1-'Disc Dep'!J58),2)</f>
        <v>0</v>
      </c>
      <c r="G47" s="146">
        <f>ROUND(F47*(1+'Adaos Distr'!J58),2)</f>
        <v>0</v>
      </c>
      <c r="H47" s="146">
        <f>ROUND(G47*(1+'Adaos RESELLER'!J58),2)</f>
        <v>0</v>
      </c>
    </row>
    <row r="48" spans="2:8" s="146" customFormat="1">
      <c r="B48" s="890"/>
      <c r="C48" s="146">
        <f>IF(Select!$E$23=1,F48,IF(Select!$E$23=2,G48,IF(Select!$E$23=3,H48)))</f>
        <v>0</v>
      </c>
      <c r="D48" s="146" t="s">
        <v>368</v>
      </c>
      <c r="E48" s="364"/>
      <c r="F48" s="146">
        <f>ROUND(E48*(1-'Disc Dep'!J59),2)</f>
        <v>0</v>
      </c>
      <c r="G48" s="146">
        <f>ROUND(F48*(1+'Adaos Distr'!J59),2)</f>
        <v>0</v>
      </c>
      <c r="H48" s="146">
        <f>ROUND(G48*(1+'Adaos RESELLER'!J59),2)</f>
        <v>0</v>
      </c>
    </row>
    <row r="49" spans="2:8" s="146" customFormat="1">
      <c r="B49" s="890"/>
      <c r="C49" s="146">
        <f>IF(Select!$E$23=1,F49,IF(Select!$E$23=2,G49,IF(Select!$E$23=3,H49)))</f>
        <v>7.19</v>
      </c>
      <c r="D49" s="146" t="s">
        <v>369</v>
      </c>
      <c r="E49" s="364">
        <v>9.7100000000000009</v>
      </c>
      <c r="F49" s="146">
        <f>ROUND(E49*(1-'Disc Dep'!J15),2)</f>
        <v>7.19</v>
      </c>
      <c r="G49" s="146">
        <f>ROUND(F49*(1+'Adaos Distr'!J15),2)</f>
        <v>7.19</v>
      </c>
      <c r="H49" s="146">
        <f>ROUND(G49*(1+'Adaos RESELLER'!J15),2)</f>
        <v>7.19</v>
      </c>
    </row>
    <row r="50" spans="2:8" s="146" customFormat="1">
      <c r="B50" s="890"/>
      <c r="C50" s="146">
        <f>IF(Select!$E$23=1,F50,IF(Select!$E$23=2,G50,IF(Select!$E$23=3,H50)))</f>
        <v>0</v>
      </c>
      <c r="D50" s="146" t="s">
        <v>370</v>
      </c>
      <c r="E50" s="364"/>
      <c r="F50" s="146">
        <f>ROUND(E50*(1-'Disc Dep'!J61),2)</f>
        <v>0</v>
      </c>
      <c r="G50" s="146">
        <f>ROUND(F50*(1+'Adaos Distr'!J61),2)</f>
        <v>0</v>
      </c>
      <c r="H50" s="146">
        <f>ROUND(G50*(1+'Adaos RESELLER'!J61),2)</f>
        <v>0</v>
      </c>
    </row>
    <row r="51" spans="2:8" s="146" customFormat="1">
      <c r="B51" s="890"/>
      <c r="C51" s="146">
        <f>IF(Select!$E$23=1,F51,IF(Select!$E$23=2,G51,IF(Select!$E$23=3,H51)))</f>
        <v>0</v>
      </c>
      <c r="D51" s="146" t="s">
        <v>371</v>
      </c>
      <c r="E51" s="364"/>
      <c r="F51" s="146">
        <f>ROUND(E51*(1-'Disc Dep'!J62),2)</f>
        <v>0</v>
      </c>
      <c r="G51" s="146">
        <f>ROUND(F51*(1+'Adaos Distr'!J62),2)</f>
        <v>0</v>
      </c>
      <c r="H51" s="146">
        <f>ROUND(G51*(1+'Adaos RESELLER'!J62),2)</f>
        <v>0</v>
      </c>
    </row>
    <row r="52" spans="2:8" s="146" customFormat="1">
      <c r="B52" s="890"/>
      <c r="C52" s="146">
        <f>IF(Select!$E$23=1,F52,IF(Select!$E$23=2,G52,IF(Select!$E$23=3,H52)))</f>
        <v>7.3</v>
      </c>
      <c r="D52" s="146" t="s">
        <v>372</v>
      </c>
      <c r="E52" s="364">
        <v>9.8699999999999992</v>
      </c>
      <c r="F52" s="146">
        <f>ROUND(E52*(1-'Disc Dep'!J18),2)</f>
        <v>7.3</v>
      </c>
      <c r="G52" s="146">
        <f>ROUND(F52*(1+'Adaos Distr'!J18),2)</f>
        <v>7.3</v>
      </c>
      <c r="H52" s="146">
        <f>ROUND(G52*(1+'Adaos RESELLER'!J18),2)</f>
        <v>7.3</v>
      </c>
    </row>
    <row r="53" spans="2:8" s="146" customFormat="1">
      <c r="B53" s="890"/>
      <c r="C53" s="146">
        <f>IF(Select!$E$23=1,F53,IF(Select!$E$23=2,G53,IF(Select!$E$23=3,H53)))</f>
        <v>10.09</v>
      </c>
      <c r="D53" s="146" t="s">
        <v>373</v>
      </c>
      <c r="E53" s="364">
        <v>13.64</v>
      </c>
      <c r="F53" s="146">
        <f>ROUND(E53*(1-'Disc Dep'!J19),2)</f>
        <v>10.09</v>
      </c>
      <c r="G53" s="146">
        <f>ROUND(F53*(1+'Adaos Distr'!J19),2)</f>
        <v>10.09</v>
      </c>
      <c r="H53" s="146">
        <f>ROUND(G53*(1+'Adaos RESELLER'!J19),2)</f>
        <v>10.09</v>
      </c>
    </row>
    <row r="54" spans="2:8" s="146" customFormat="1">
      <c r="B54" s="890"/>
      <c r="C54" s="146">
        <f>IF(Select!$E$23=1,F54,IF(Select!$E$23=2,G54,IF(Select!$E$23=3,H54)))</f>
        <v>9.27</v>
      </c>
      <c r="D54" s="146" t="s">
        <v>374</v>
      </c>
      <c r="E54" s="364">
        <v>12.53</v>
      </c>
      <c r="F54" s="146">
        <f>ROUND(E54*(1-'Disc Dep'!J20),2)</f>
        <v>9.27</v>
      </c>
      <c r="G54" s="146">
        <f>ROUND(F54*(1+'Adaos Distr'!J20),2)</f>
        <v>9.27</v>
      </c>
      <c r="H54" s="146">
        <f>ROUND(G54*(1+'Adaos RESELLER'!J20),2)</f>
        <v>9.27</v>
      </c>
    </row>
    <row r="55" spans="2:8" s="146" customFormat="1">
      <c r="B55" s="890" t="s">
        <v>434</v>
      </c>
      <c r="C55" s="146">
        <f>IF(Select!$E$23=1,F55,IF(Select!$E$23=2,G55,IF(Select!$E$23=3,H55)))</f>
        <v>0</v>
      </c>
      <c r="D55" s="146" t="s">
        <v>366</v>
      </c>
      <c r="E55" s="364"/>
      <c r="F55" s="146">
        <f>ROUND(E55*(1-'Disc Dep'!J66),2)</f>
        <v>0</v>
      </c>
      <c r="G55" s="146">
        <f>ROUND(F55*(1+'Adaos Distr'!J66),2)</f>
        <v>0</v>
      </c>
      <c r="H55" s="146">
        <f>ROUND(G55*(1+'Adaos RESELLER'!J66),2)</f>
        <v>0</v>
      </c>
    </row>
    <row r="56" spans="2:8" s="146" customFormat="1">
      <c r="B56" s="890"/>
      <c r="C56" s="146">
        <f>IF(Select!$E$23=1,F56,IF(Select!$E$23=2,G56,IF(Select!$E$23=3,H56)))</f>
        <v>0</v>
      </c>
      <c r="D56" s="146" t="s">
        <v>367</v>
      </c>
      <c r="E56" s="364"/>
      <c r="F56" s="146">
        <f>ROUND(E56*(1-'Disc Dep'!J67),2)</f>
        <v>0</v>
      </c>
      <c r="G56" s="146">
        <f>ROUND(F56*(1+'Adaos Distr'!J67),2)</f>
        <v>0</v>
      </c>
      <c r="H56" s="146">
        <f>ROUND(G56*(1+'Adaos RESELLER'!J67),2)</f>
        <v>0</v>
      </c>
    </row>
    <row r="57" spans="2:8" s="146" customFormat="1">
      <c r="B57" s="890"/>
      <c r="C57" s="146">
        <f>IF(Select!$E$23=1,F57,IF(Select!$E$23=2,G57,IF(Select!$E$23=3,H57)))</f>
        <v>0</v>
      </c>
      <c r="D57" s="146" t="s">
        <v>368</v>
      </c>
      <c r="E57" s="364"/>
      <c r="F57" s="146">
        <f>ROUND(E57*(1-'Disc Dep'!J68),2)</f>
        <v>0</v>
      </c>
      <c r="G57" s="146">
        <f>ROUND(F57*(1+'Adaos Distr'!J68),2)</f>
        <v>0</v>
      </c>
      <c r="H57" s="146">
        <f>ROUND(G57*(1+'Adaos RESELLER'!J68),2)</f>
        <v>0</v>
      </c>
    </row>
    <row r="58" spans="2:8" s="146" customFormat="1">
      <c r="B58" s="890"/>
      <c r="C58" s="146">
        <f>IF(Select!$E$23=1,F58,IF(Select!$E$23=2,G58,IF(Select!$E$23=3,H58)))</f>
        <v>7.09</v>
      </c>
      <c r="D58" s="146" t="s">
        <v>369</v>
      </c>
      <c r="E58" s="364">
        <v>9.58</v>
      </c>
      <c r="F58" s="146">
        <f>ROUND(E58*(1-'Disc Dep'!J51),2)</f>
        <v>7.09</v>
      </c>
      <c r="G58" s="146">
        <f>ROUND(F58*(1+'Adaos Distr'!J51),2)</f>
        <v>7.09</v>
      </c>
      <c r="H58" s="146">
        <f>ROUND(G58*(1+'Adaos RESELLER'!J51),2)</f>
        <v>7.09</v>
      </c>
    </row>
    <row r="59" spans="2:8" s="146" customFormat="1">
      <c r="B59" s="890"/>
      <c r="C59" s="146">
        <f>IF(Select!$E$23=1,F59,IF(Select!$E$23=2,G59,IF(Select!$E$23=3,H59)))</f>
        <v>0</v>
      </c>
      <c r="D59" s="146" t="s">
        <v>370</v>
      </c>
      <c r="E59" s="364"/>
      <c r="F59" s="146">
        <f>ROUND(E59*(1-'Disc Dep'!J70),2)</f>
        <v>0</v>
      </c>
      <c r="G59" s="146">
        <f>ROUND(F59*(1+'Adaos Distr'!J70),2)</f>
        <v>0</v>
      </c>
      <c r="H59" s="146">
        <f>ROUND(G59*(1+'Adaos RESELLER'!J70),2)</f>
        <v>0</v>
      </c>
    </row>
    <row r="60" spans="2:8" s="146" customFormat="1">
      <c r="B60" s="890"/>
      <c r="C60" s="146">
        <f>IF(Select!$E$23=1,F60,IF(Select!$E$23=2,G60,IF(Select!$E$23=3,H60)))</f>
        <v>0</v>
      </c>
      <c r="D60" s="146" t="s">
        <v>371</v>
      </c>
      <c r="E60" s="364"/>
      <c r="F60" s="146">
        <f>ROUND(E60*(1-'Disc Dep'!J71),2)</f>
        <v>0</v>
      </c>
      <c r="G60" s="146">
        <f>ROUND(F60*(1+'Adaos Distr'!J71),2)</f>
        <v>0</v>
      </c>
      <c r="H60" s="146">
        <f>ROUND(G60*(1+'Adaos RESELLER'!J71),2)</f>
        <v>0</v>
      </c>
    </row>
    <row r="61" spans="2:8" s="146" customFormat="1">
      <c r="B61" s="890"/>
      <c r="C61" s="146">
        <f>IF(Select!$E$23=1,F61,IF(Select!$E$23=2,G61,IF(Select!$E$23=3,H61)))</f>
        <v>7.34</v>
      </c>
      <c r="D61" s="146" t="s">
        <v>372</v>
      </c>
      <c r="E61" s="364">
        <v>9.92</v>
      </c>
      <c r="F61" s="146">
        <f>ROUND(E61*(1-'Disc Dep'!J54),2)</f>
        <v>7.34</v>
      </c>
      <c r="G61" s="146">
        <f>ROUND(F61*(1+'Adaos Distr'!J54),2)</f>
        <v>7.34</v>
      </c>
      <c r="H61" s="146">
        <f>ROUND(G61*(1+'Adaos RESELLER'!J54),2)</f>
        <v>7.34</v>
      </c>
    </row>
    <row r="62" spans="2:8" s="146" customFormat="1">
      <c r="B62" s="890"/>
      <c r="C62" s="146">
        <f>IF(Select!$E$23=1,F62,IF(Select!$E$23=2,G62,IF(Select!$E$23=3,H62)))</f>
        <v>9.9499999999999993</v>
      </c>
      <c r="D62" s="146" t="s">
        <v>373</v>
      </c>
      <c r="E62" s="364">
        <v>13.44</v>
      </c>
      <c r="F62" s="146">
        <f>ROUND(E62*(1-'Disc Dep'!J55),2)</f>
        <v>9.9499999999999993</v>
      </c>
      <c r="G62" s="146">
        <f>ROUND(F62*(1+'Adaos Distr'!J55),2)</f>
        <v>9.9499999999999993</v>
      </c>
      <c r="H62" s="146">
        <f>ROUND(G62*(1+'Adaos RESELLER'!J55),2)</f>
        <v>9.9499999999999993</v>
      </c>
    </row>
    <row r="63" spans="2:8" s="146" customFormat="1">
      <c r="B63" s="890"/>
      <c r="C63" s="146">
        <f>IF(Select!$E$23=1,F63,IF(Select!$E$23=2,G63,IF(Select!$E$23=3,H63)))</f>
        <v>9.15</v>
      </c>
      <c r="D63" s="146" t="s">
        <v>374</v>
      </c>
      <c r="E63" s="364">
        <v>12.37</v>
      </c>
      <c r="F63" s="146">
        <f>ROUND(E63*(1-'Disc Dep'!J56),2)</f>
        <v>9.15</v>
      </c>
      <c r="G63" s="146">
        <f>ROUND(F63*(1+'Adaos Distr'!J56),2)</f>
        <v>9.15</v>
      </c>
      <c r="H63" s="146">
        <f>ROUND(G63*(1+'Adaos RESELLER'!J56),2)</f>
        <v>9.15</v>
      </c>
    </row>
    <row r="64" spans="2:8">
      <c r="B64" s="892" t="s">
        <v>2202</v>
      </c>
      <c r="C64" s="202">
        <f>IF(Select!$E$23=1,F64,IF(Select!$E$23=2,G64,IF(Select!$E$23=3,H64)))</f>
        <v>7.31</v>
      </c>
      <c r="D64" s="415" t="s">
        <v>369</v>
      </c>
      <c r="E64" s="364">
        <v>9.8800000000000008</v>
      </c>
      <c r="F64" s="415">
        <f>ROUND(E64*(1-'Disc Dep'!J33),2)</f>
        <v>7.31</v>
      </c>
      <c r="G64" s="415">
        <f>ROUND(F64*(1+'Adaos Distr'!J33),2)</f>
        <v>7.31</v>
      </c>
      <c r="H64" s="415">
        <f>ROUND(G64*(1+'Adaos RESELLER'!J33),2)</f>
        <v>7.31</v>
      </c>
    </row>
    <row r="65" spans="1:49">
      <c r="B65" s="892"/>
      <c r="C65" s="415">
        <f>IF(Select!$E$23=1,F65,IF(Select!$E$23=2,G65,IF(Select!$E$23=3,H65)))</f>
        <v>7.27</v>
      </c>
      <c r="D65" s="415" t="s">
        <v>371</v>
      </c>
      <c r="E65" s="364">
        <v>9.83</v>
      </c>
      <c r="F65" s="415">
        <f>ROUND(E65*(1-'Disc Dep'!J35),2)</f>
        <v>7.27</v>
      </c>
      <c r="G65" s="415">
        <f>ROUND(F65*(1+'Adaos Distr'!J35),2)</f>
        <v>7.27</v>
      </c>
      <c r="H65" s="415">
        <f>ROUND(G65*(1+'Adaos RESELLER'!J35),2)</f>
        <v>7.27</v>
      </c>
    </row>
    <row r="66" spans="1:49">
      <c r="B66" s="892"/>
      <c r="C66" s="415">
        <f>IF(Select!$E$23=1,F66,IF(Select!$E$23=2,G66,IF(Select!$E$23=3,H66)))</f>
        <v>7.53</v>
      </c>
      <c r="D66" s="415" t="s">
        <v>372</v>
      </c>
      <c r="E66" s="364">
        <v>10.17</v>
      </c>
      <c r="F66" s="415">
        <f>ROUND(E66*(1-'Disc Dep'!J36),2)</f>
        <v>7.53</v>
      </c>
      <c r="G66" s="415">
        <f>ROUND(F66*(1+'Adaos Distr'!J36),2)</f>
        <v>7.53</v>
      </c>
      <c r="H66" s="415">
        <f>ROUND(G66*(1+'Adaos RESELLER'!J36),2)</f>
        <v>7.53</v>
      </c>
    </row>
    <row r="67" spans="1:49">
      <c r="B67" s="892"/>
      <c r="C67" s="415">
        <f>IF(Select!$E$23=1,F67,IF(Select!$E$23=2,G67,IF(Select!$E$23=3,H67)))</f>
        <v>10.26</v>
      </c>
      <c r="D67" s="415" t="s">
        <v>373</v>
      </c>
      <c r="E67" s="364">
        <v>13.87</v>
      </c>
      <c r="F67" s="415">
        <f>ROUND(E67*(1-'Disc Dep'!J37),2)</f>
        <v>10.26</v>
      </c>
      <c r="G67" s="415">
        <f>ROUND(F67*(1+'Adaos Distr'!J37),2)</f>
        <v>10.26</v>
      </c>
      <c r="H67" s="415">
        <f>ROUND(G67*(1+'Adaos RESELLER'!J37),2)</f>
        <v>10.26</v>
      </c>
    </row>
    <row r="68" spans="1:49">
      <c r="B68" s="892"/>
      <c r="C68" s="415">
        <f>IF(Select!$E$23=1,F68,IF(Select!$E$23=2,G68,IF(Select!$E$23=3,H68)))</f>
        <v>9.3800000000000008</v>
      </c>
      <c r="D68" s="415" t="s">
        <v>374</v>
      </c>
      <c r="E68" s="364">
        <v>12.68</v>
      </c>
      <c r="F68" s="415">
        <f>ROUND(E68*(1-'Disc Dep'!J38),2)</f>
        <v>9.3800000000000008</v>
      </c>
      <c r="G68" s="415">
        <f>ROUND(F68*(1+'Adaos Distr'!J38),2)</f>
        <v>9.3800000000000008</v>
      </c>
      <c r="H68" s="415">
        <f>ROUND(G68*(1+'Adaos RESELLER'!J38),2)</f>
        <v>9.3800000000000008</v>
      </c>
    </row>
    <row r="69" spans="1:49" s="410" customFormat="1">
      <c r="A69" s="412" t="s">
        <v>1725</v>
      </c>
      <c r="C69" s="411"/>
      <c r="F69" s="411"/>
      <c r="G69" s="411"/>
      <c r="H69" s="411"/>
    </row>
    <row r="70" spans="1:49">
      <c r="A70" s="120"/>
      <c r="D70" s="891" t="s">
        <v>306</v>
      </c>
      <c r="E70" s="891"/>
      <c r="F70" s="891"/>
      <c r="G70" s="891"/>
      <c r="H70" s="891"/>
      <c r="I70" s="891"/>
      <c r="J70" s="891"/>
      <c r="K70" s="891"/>
      <c r="L70" s="891"/>
      <c r="M70" s="889" t="s">
        <v>244</v>
      </c>
      <c r="N70" s="889"/>
      <c r="O70" s="889"/>
      <c r="P70" s="889"/>
      <c r="Q70" s="889"/>
      <c r="R70" s="889"/>
      <c r="S70" s="889"/>
      <c r="T70" s="889"/>
      <c r="U70" s="889"/>
      <c r="V70" s="889">
        <v>1</v>
      </c>
      <c r="W70" s="889"/>
      <c r="X70" s="889"/>
      <c r="Y70" s="889"/>
      <c r="Z70" s="889"/>
      <c r="AA70" s="889"/>
      <c r="AB70" s="889"/>
      <c r="AC70" s="889"/>
      <c r="AD70" s="889"/>
      <c r="AE70" s="889">
        <v>2</v>
      </c>
      <c r="AF70" s="889"/>
      <c r="AG70" s="889"/>
      <c r="AH70" s="889"/>
      <c r="AI70" s="889"/>
      <c r="AJ70" s="889"/>
      <c r="AK70" s="889"/>
      <c r="AL70" s="889"/>
      <c r="AM70" s="889"/>
      <c r="AN70" s="889">
        <v>3</v>
      </c>
      <c r="AO70" s="889"/>
      <c r="AP70" s="889"/>
      <c r="AQ70" s="889"/>
      <c r="AR70" s="889"/>
      <c r="AS70" s="889"/>
      <c r="AT70" s="889"/>
      <c r="AU70" s="889"/>
      <c r="AV70" s="889"/>
      <c r="AW70" s="146"/>
    </row>
    <row r="71" spans="1:49" s="146" customFormat="1">
      <c r="D71" s="173" t="s">
        <v>385</v>
      </c>
      <c r="E71" s="173" t="s">
        <v>386</v>
      </c>
      <c r="F71" s="173" t="s">
        <v>388</v>
      </c>
      <c r="G71" s="173" t="s">
        <v>387</v>
      </c>
      <c r="H71" s="173" t="s">
        <v>389</v>
      </c>
      <c r="I71" s="173" t="s">
        <v>390</v>
      </c>
      <c r="J71" s="173" t="s">
        <v>393</v>
      </c>
      <c r="K71" s="173" t="s">
        <v>391</v>
      </c>
      <c r="L71" s="173" t="s">
        <v>392</v>
      </c>
      <c r="M71" s="148" t="str">
        <f>IF(Select!$E$23=1,V71,IF(Select!$E$23=2,AE71,IF(Select!$E$23=3,AN71)))</f>
        <v>L035</v>
      </c>
      <c r="N71" s="148" t="str">
        <f>IF(Select!$E$23=1,W71,IF(Select!$E$23=2,AF71,IF(Select!$E$23=3,AO71)))</f>
        <v>L04</v>
      </c>
      <c r="O71" s="148" t="str">
        <f>IF(Select!$E$23=1,X71,IF(Select!$E$23=2,AG71,IF(Select!$E$23=3,AP71)))</f>
        <v>L045</v>
      </c>
      <c r="P71" s="148" t="str">
        <f>IF(Select!$E$23=1,Y71,IF(Select!$E$23=2,AH71,IF(Select!$E$23=3,AQ71)))</f>
        <v>L05</v>
      </c>
      <c r="Q71" s="148" t="str">
        <f>IF(Select!$E$23=1,Z71,IF(Select!$E$23=2,AI71,IF(Select!$E$23=3,AR71)))</f>
        <v>M04</v>
      </c>
      <c r="R71" s="148" t="str">
        <f>IF(Select!$E$23=1,AA71,IF(Select!$E$23=2,AJ71,IF(Select!$E$23=3,AS71)))</f>
        <v>M045</v>
      </c>
      <c r="S71" s="148" t="str">
        <f>IF(Select!$E$23=1,AB71,IF(Select!$E$23=2,AK71,IF(Select!$E$23=3,AT71)))</f>
        <v>M05</v>
      </c>
      <c r="T71" s="148" t="str">
        <f>IF(Select!$E$23=1,AC71,IF(Select!$E$23=2,AL71,IF(Select!$E$23=3,AU71)))</f>
        <v>S</v>
      </c>
      <c r="U71" s="148" t="str">
        <f>IF(Select!$E$23=1,AD71,IF(Select!$E$23=2,AM71,IF(Select!$E$23=3,AV71)))</f>
        <v>N</v>
      </c>
      <c r="V71" s="159" t="s">
        <v>385</v>
      </c>
      <c r="W71" s="159" t="s">
        <v>386</v>
      </c>
      <c r="X71" s="159" t="s">
        <v>388</v>
      </c>
      <c r="Y71" s="159" t="s">
        <v>387</v>
      </c>
      <c r="Z71" s="159" t="s">
        <v>389</v>
      </c>
      <c r="AA71" s="159" t="s">
        <v>390</v>
      </c>
      <c r="AB71" s="159" t="s">
        <v>393</v>
      </c>
      <c r="AC71" s="159" t="s">
        <v>391</v>
      </c>
      <c r="AD71" s="159" t="s">
        <v>392</v>
      </c>
      <c r="AE71" s="159" t="s">
        <v>385</v>
      </c>
      <c r="AF71" s="159" t="s">
        <v>386</v>
      </c>
      <c r="AG71" s="159" t="s">
        <v>388</v>
      </c>
      <c r="AH71" s="159" t="s">
        <v>387</v>
      </c>
      <c r="AI71" s="159" t="s">
        <v>389</v>
      </c>
      <c r="AJ71" s="159" t="s">
        <v>390</v>
      </c>
      <c r="AK71" s="159" t="s">
        <v>393</v>
      </c>
      <c r="AL71" s="159" t="s">
        <v>391</v>
      </c>
      <c r="AM71" s="159" t="s">
        <v>392</v>
      </c>
      <c r="AN71" s="159" t="s">
        <v>385</v>
      </c>
      <c r="AO71" s="159" t="s">
        <v>386</v>
      </c>
      <c r="AP71" s="159" t="s">
        <v>388</v>
      </c>
      <c r="AQ71" s="159" t="s">
        <v>387</v>
      </c>
      <c r="AR71" s="159" t="s">
        <v>389</v>
      </c>
      <c r="AS71" s="159" t="s">
        <v>390</v>
      </c>
      <c r="AT71" s="159" t="s">
        <v>393</v>
      </c>
      <c r="AU71" s="159" t="s">
        <v>391</v>
      </c>
      <c r="AV71" s="159" t="s">
        <v>392</v>
      </c>
    </row>
    <row r="72" spans="1:49" s="146" customFormat="1" ht="15.6">
      <c r="A72" s="146" t="str">
        <f>Lang!A32</f>
        <v>Bordura speciala calcan BSC</v>
      </c>
      <c r="C72" s="146">
        <f>IF(Select!$B$232=2,M72,IF(Select!$B$232=3,N72,IF(Select!$B$232=4,O72,IF(Select!$B$232=5,P72,IF(Select!$B$232=6,Q72,IF(Select!$B$232=7,R72,IF(Select!$B$232=8,S72,IF(Select!$B$232=9,T72,IF(Select!$B$232=10,U72,0)))))))))</f>
        <v>0</v>
      </c>
      <c r="D72" s="356">
        <v>4.97</v>
      </c>
      <c r="E72" s="356">
        <v>4.97</v>
      </c>
      <c r="F72" s="356">
        <v>6.03</v>
      </c>
      <c r="G72" s="356">
        <v>6.41</v>
      </c>
      <c r="H72" s="356">
        <v>6.03</v>
      </c>
      <c r="I72" s="356">
        <v>6.23</v>
      </c>
      <c r="J72" s="356">
        <v>6.48</v>
      </c>
      <c r="K72" s="356">
        <v>8.99</v>
      </c>
      <c r="L72" s="356">
        <v>7.9339911580617191</v>
      </c>
      <c r="M72" s="148">
        <f>IF(Select!$E$23=1,V72,IF(Select!$E$23=2,AE72,IF(Select!$E$23=3,AN72)))</f>
        <v>3.68</v>
      </c>
      <c r="N72" s="148">
        <f>IF(Select!$E$23=1,W72,IF(Select!$E$23=2,AF72,IF(Select!$E$23=3,AO72)))</f>
        <v>3.68</v>
      </c>
      <c r="O72" s="148">
        <f>IF(Select!$E$23=1,X72,IF(Select!$E$23=2,AG72,IF(Select!$E$23=3,AP72)))</f>
        <v>4.46</v>
      </c>
      <c r="P72" s="148">
        <f>IF(Select!$E$23=1,Y72,IF(Select!$E$23=2,AH72,IF(Select!$E$23=3,AQ72)))</f>
        <v>4.74</v>
      </c>
      <c r="Q72" s="148">
        <f>IF(Select!$E$23=1,Z72,IF(Select!$E$23=2,AI72,IF(Select!$E$23=3,AR72)))</f>
        <v>4.46</v>
      </c>
      <c r="R72" s="148">
        <f>IF(Select!$E$23=1,AA72,IF(Select!$E$23=2,AJ72,IF(Select!$E$23=3,AS72)))</f>
        <v>4.6100000000000003</v>
      </c>
      <c r="S72" s="148">
        <f>IF(Select!$E$23=1,AB72,IF(Select!$E$23=2,AK72,IF(Select!$E$23=3,AT72)))</f>
        <v>4.8</v>
      </c>
      <c r="T72" s="148">
        <f>IF(Select!$E$23=1,AC72,IF(Select!$E$23=2,AL72,IF(Select!$E$23=3,AU72)))</f>
        <v>6.65</v>
      </c>
      <c r="U72" s="148">
        <f>IF(Select!$E$23=1,AD72,IF(Select!$E$23=2,AM72,IF(Select!$E$23=3,AV72)))</f>
        <v>5.87</v>
      </c>
      <c r="V72" s="146">
        <f>ROUND(D72*(1-'Disc Dep'!$C$111),2)</f>
        <v>3.68</v>
      </c>
      <c r="W72" s="146">
        <f>ROUND(E72*(1-'Disc Dep'!$C$111),2)</f>
        <v>3.68</v>
      </c>
      <c r="X72" s="146">
        <f>ROUND(F72*(1-'Disc Dep'!$C$111),2)</f>
        <v>4.46</v>
      </c>
      <c r="Y72" s="146">
        <f>ROUND(G72*(1-'Disc Dep'!$C$111),2)</f>
        <v>4.74</v>
      </c>
      <c r="Z72" s="146">
        <f>ROUND(H72*(1-'Disc Dep'!$C$111),2)</f>
        <v>4.46</v>
      </c>
      <c r="AA72" s="146">
        <f>ROUND(I72*(1-'Disc Dep'!$C$111),2)</f>
        <v>4.6100000000000003</v>
      </c>
      <c r="AB72" s="146">
        <f>ROUND(J72*(1-'Disc Dep'!$C$111),2)</f>
        <v>4.8</v>
      </c>
      <c r="AC72" s="146">
        <f>ROUND(K72*(1-'Disc Dep'!$C$111),2)</f>
        <v>6.65</v>
      </c>
      <c r="AD72" s="146">
        <f>ROUND(L72*(1-'Disc Dep'!$C$111),2)</f>
        <v>5.87</v>
      </c>
      <c r="AE72" s="146">
        <f>ROUND(V72*(1+'Adaos Distr'!$C$111),2)</f>
        <v>3.68</v>
      </c>
      <c r="AF72" s="146">
        <f>ROUND(W72*(1+'Adaos Distr'!$C$111),2)</f>
        <v>3.68</v>
      </c>
      <c r="AG72" s="146">
        <f>ROUND(X72*(1+'Adaos Distr'!$C$111),2)</f>
        <v>4.46</v>
      </c>
      <c r="AH72" s="146">
        <f>ROUND(Y72*(1+'Adaos Distr'!$C$111),2)</f>
        <v>4.74</v>
      </c>
      <c r="AI72" s="146">
        <f>ROUND(Z72*(1+'Adaos Distr'!$C$111),2)</f>
        <v>4.46</v>
      </c>
      <c r="AJ72" s="146">
        <f>ROUND(AA72*(1+'Adaos Distr'!$C$111),2)</f>
        <v>4.6100000000000003</v>
      </c>
      <c r="AK72" s="146">
        <f>ROUND(AB72*(1+'Adaos Distr'!$C$111),2)</f>
        <v>4.8</v>
      </c>
      <c r="AL72" s="146">
        <f>ROUND(AC72*(1+'Adaos Distr'!$C$111),2)</f>
        <v>6.65</v>
      </c>
      <c r="AM72" s="146">
        <f>ROUND(AD72*(1+'Adaos Distr'!$C$111),2)</f>
        <v>5.87</v>
      </c>
      <c r="AN72" s="146">
        <f>ROUND(AE72*(1+'Adaos RESELLER'!$C$111),2)</f>
        <v>3.68</v>
      </c>
      <c r="AO72" s="146">
        <f>ROUND(AF72*(1+'Adaos RESELLER'!$C$111),2)</f>
        <v>3.68</v>
      </c>
      <c r="AP72" s="146">
        <f>ROUND(AG72*(1+'Adaos RESELLER'!$C$111),2)</f>
        <v>4.46</v>
      </c>
      <c r="AQ72" s="146">
        <f>ROUND(AH72*(1+'Adaos RESELLER'!$C$111),2)</f>
        <v>4.74</v>
      </c>
      <c r="AR72" s="146">
        <f>ROUND(AI72*(1+'Adaos RESELLER'!$C$111),2)</f>
        <v>4.46</v>
      </c>
      <c r="AS72" s="146">
        <f>ROUND(AJ72*(1+'Adaos RESELLER'!$C$111),2)</f>
        <v>4.6100000000000003</v>
      </c>
      <c r="AT72" s="146">
        <f>ROUND(AK72*(1+'Adaos RESELLER'!$C$111),2)</f>
        <v>4.8</v>
      </c>
      <c r="AU72" s="146">
        <f>ROUND(AL72*(1+'Adaos RESELLER'!$C$111),2)</f>
        <v>6.65</v>
      </c>
      <c r="AV72" s="146">
        <f>ROUND(AM72*(1+'Adaos RESELLER'!$C$111),2)</f>
        <v>5.87</v>
      </c>
    </row>
    <row r="73" spans="1:49" s="146" customFormat="1" ht="15.6">
      <c r="A73" s="349" t="str">
        <f>Lang!A33</f>
        <v xml:space="preserve">Coama dreapta mare </v>
      </c>
      <c r="C73" s="408">
        <f>IF(Select!$B$232=2,M73,IF(Select!$B$232=3,N73,IF(Select!$B$232=4,O73,IF(Select!$B$232=5,P73,IF(Select!$B$232=6,Q73,IF(Select!$B$232=7,R73,IF(Select!$B$232=8,S73,IF(Select!$B$232=9,T73,IF(Select!$B$232=10,U73,0)))))))))</f>
        <v>0</v>
      </c>
      <c r="D73" s="356">
        <v>6.8</v>
      </c>
      <c r="E73" s="356">
        <v>6.8</v>
      </c>
      <c r="F73" s="356">
        <v>8.0299999999999994</v>
      </c>
      <c r="G73" s="356">
        <v>8.5399999999999991</v>
      </c>
      <c r="H73" s="356">
        <v>8.0299999999999994</v>
      </c>
      <c r="I73" s="356">
        <v>8.31</v>
      </c>
      <c r="J73" s="356">
        <v>8.64</v>
      </c>
      <c r="K73" s="356">
        <v>11.99</v>
      </c>
      <c r="L73" s="356">
        <v>10.578654877415627</v>
      </c>
      <c r="M73" s="148">
        <f>IF(Select!$E$23=1,V73,IF(Select!$E$23=2,AE73,IF(Select!$E$23=3,AN73)))</f>
        <v>5.03</v>
      </c>
      <c r="N73" s="148">
        <f>IF(Select!$E$23=1,W73,IF(Select!$E$23=2,AF73,IF(Select!$E$23=3,AO73)))</f>
        <v>5.03</v>
      </c>
      <c r="O73" s="148">
        <f>IF(Select!$E$23=1,X73,IF(Select!$E$23=2,AG73,IF(Select!$E$23=3,AP73)))</f>
        <v>5.94</v>
      </c>
      <c r="P73" s="148">
        <f>IF(Select!$E$23=1,Y73,IF(Select!$E$23=2,AH73,IF(Select!$E$23=3,AQ73)))</f>
        <v>6.32</v>
      </c>
      <c r="Q73" s="148">
        <f>IF(Select!$E$23=1,Z73,IF(Select!$E$23=2,AI73,IF(Select!$E$23=3,AR73)))</f>
        <v>5.94</v>
      </c>
      <c r="R73" s="148">
        <f>IF(Select!$E$23=1,AA73,IF(Select!$E$23=2,AJ73,IF(Select!$E$23=3,AS73)))</f>
        <v>6.15</v>
      </c>
      <c r="S73" s="148">
        <f>IF(Select!$E$23=1,AB73,IF(Select!$E$23=2,AK73,IF(Select!$E$23=3,AT73)))</f>
        <v>6.39</v>
      </c>
      <c r="T73" s="148">
        <f>IF(Select!$E$23=1,AC73,IF(Select!$E$23=2,AL73,IF(Select!$E$23=3,AU73)))</f>
        <v>8.8699999999999992</v>
      </c>
      <c r="U73" s="148">
        <f>IF(Select!$E$23=1,AD73,IF(Select!$E$23=2,AM73,IF(Select!$E$23=3,AV73)))</f>
        <v>7.83</v>
      </c>
      <c r="V73" s="408">
        <f>ROUND(D73*(1-'Disc Dep'!$C$111),2)</f>
        <v>5.03</v>
      </c>
      <c r="W73" s="408">
        <f>ROUND(E73*(1-'Disc Dep'!$C$111),2)</f>
        <v>5.03</v>
      </c>
      <c r="X73" s="408">
        <f>ROUND(F73*(1-'Disc Dep'!$C$111),2)</f>
        <v>5.94</v>
      </c>
      <c r="Y73" s="408">
        <f>ROUND(G73*(1-'Disc Dep'!$C$111),2)</f>
        <v>6.32</v>
      </c>
      <c r="Z73" s="408">
        <f>ROUND(H73*(1-'Disc Dep'!$C$111),2)</f>
        <v>5.94</v>
      </c>
      <c r="AA73" s="408">
        <f>ROUND(I73*(1-'Disc Dep'!$C$111),2)</f>
        <v>6.15</v>
      </c>
      <c r="AB73" s="408">
        <f>ROUND(J73*(1-'Disc Dep'!$C$111),2)</f>
        <v>6.39</v>
      </c>
      <c r="AC73" s="408">
        <f>ROUND(K73*(1-'Disc Dep'!$C$111),2)</f>
        <v>8.8699999999999992</v>
      </c>
      <c r="AD73" s="408">
        <f>ROUND(L73*(1-'Disc Dep'!$C$111),2)</f>
        <v>7.83</v>
      </c>
      <c r="AE73" s="408">
        <f>ROUND(V73*(1+'Adaos Distr'!$C$111),2)</f>
        <v>5.03</v>
      </c>
      <c r="AF73" s="408">
        <f>ROUND(W73*(1+'Adaos Distr'!$C$111),2)</f>
        <v>5.03</v>
      </c>
      <c r="AG73" s="408">
        <f>ROUND(X73*(1+'Adaos Distr'!$C$111),2)</f>
        <v>5.94</v>
      </c>
      <c r="AH73" s="408">
        <f>ROUND(Y73*(1+'Adaos Distr'!$C$111),2)</f>
        <v>6.32</v>
      </c>
      <c r="AI73" s="408">
        <f>ROUND(Z73*(1+'Adaos Distr'!$C$111),2)</f>
        <v>5.94</v>
      </c>
      <c r="AJ73" s="408">
        <f>ROUND(AA73*(1+'Adaos Distr'!$C$111),2)</f>
        <v>6.15</v>
      </c>
      <c r="AK73" s="408">
        <f>ROUND(AB73*(1+'Adaos Distr'!$C$111),2)</f>
        <v>6.39</v>
      </c>
      <c r="AL73" s="408">
        <f>ROUND(AC73*(1+'Adaos Distr'!$C$111),2)</f>
        <v>8.8699999999999992</v>
      </c>
      <c r="AM73" s="408">
        <f>ROUND(AD73*(1+'Adaos Distr'!$C$111),2)</f>
        <v>7.83</v>
      </c>
      <c r="AN73" s="408">
        <f>ROUND(AE73*(1+'Adaos RESELLER'!$C$111),2)</f>
        <v>5.03</v>
      </c>
      <c r="AO73" s="408">
        <f>ROUND(AF73*(1+'Adaos RESELLER'!$C$111),2)</f>
        <v>5.03</v>
      </c>
      <c r="AP73" s="408">
        <f>ROUND(AG73*(1+'Adaos RESELLER'!$C$111),2)</f>
        <v>5.94</v>
      </c>
      <c r="AQ73" s="408">
        <f>ROUND(AH73*(1+'Adaos RESELLER'!$C$111),2)</f>
        <v>6.32</v>
      </c>
      <c r="AR73" s="408">
        <f>ROUND(AI73*(1+'Adaos RESELLER'!$C$111),2)</f>
        <v>5.94</v>
      </c>
      <c r="AS73" s="408">
        <f>ROUND(AJ73*(1+'Adaos RESELLER'!$C$111),2)</f>
        <v>6.15</v>
      </c>
      <c r="AT73" s="408">
        <f>ROUND(AK73*(1+'Adaos RESELLER'!$C$111),2)</f>
        <v>6.39</v>
      </c>
      <c r="AU73" s="408">
        <f>ROUND(AL73*(1+'Adaos RESELLER'!$C$111),2)</f>
        <v>8.8699999999999992</v>
      </c>
      <c r="AV73" s="408">
        <f>ROUND(AM73*(1+'Adaos RESELLER'!$C$111),2)</f>
        <v>7.83</v>
      </c>
    </row>
    <row r="74" spans="1:49" s="146" customFormat="1" ht="15.6">
      <c r="A74" s="349" t="str">
        <f>Lang!A34</f>
        <v>Coama dreapta mica CDMI</v>
      </c>
      <c r="C74" s="408">
        <f>IF(Select!$B$232=2,M74,IF(Select!$B$232=3,N74,IF(Select!$B$232=4,O74,IF(Select!$B$232=5,P74,IF(Select!$B$232=6,Q74,IF(Select!$B$232=7,R74,IF(Select!$B$232=8,S74,IF(Select!$B$232=9,T74,IF(Select!$B$232=10,U74,0)))))))))</f>
        <v>0</v>
      </c>
      <c r="D74" s="356">
        <v>4.97</v>
      </c>
      <c r="E74" s="356">
        <v>4.97</v>
      </c>
      <c r="F74" s="356">
        <v>6.03</v>
      </c>
      <c r="G74" s="356">
        <v>6.41</v>
      </c>
      <c r="H74" s="356">
        <v>6.03</v>
      </c>
      <c r="I74" s="356">
        <v>6.23</v>
      </c>
      <c r="J74" s="356">
        <v>6.48</v>
      </c>
      <c r="K74" s="356">
        <v>8.99</v>
      </c>
      <c r="L74" s="356">
        <v>7.9339911580617191</v>
      </c>
      <c r="M74" s="148">
        <f>IF(Select!$E$23=1,V74,IF(Select!$E$23=2,AE74,IF(Select!$E$23=3,AN74)))</f>
        <v>3.68</v>
      </c>
      <c r="N74" s="148">
        <f>IF(Select!$E$23=1,W74,IF(Select!$E$23=2,AF74,IF(Select!$E$23=3,AO74)))</f>
        <v>3.68</v>
      </c>
      <c r="O74" s="148">
        <f>IF(Select!$E$23=1,X74,IF(Select!$E$23=2,AG74,IF(Select!$E$23=3,AP74)))</f>
        <v>4.46</v>
      </c>
      <c r="P74" s="148">
        <f>IF(Select!$E$23=1,Y74,IF(Select!$E$23=2,AH74,IF(Select!$E$23=3,AQ74)))</f>
        <v>4.74</v>
      </c>
      <c r="Q74" s="148">
        <f>IF(Select!$E$23=1,Z74,IF(Select!$E$23=2,AI74,IF(Select!$E$23=3,AR74)))</f>
        <v>4.46</v>
      </c>
      <c r="R74" s="148">
        <f>IF(Select!$E$23=1,AA74,IF(Select!$E$23=2,AJ74,IF(Select!$E$23=3,AS74)))</f>
        <v>4.6100000000000003</v>
      </c>
      <c r="S74" s="148">
        <f>IF(Select!$E$23=1,AB74,IF(Select!$E$23=2,AK74,IF(Select!$E$23=3,AT74)))</f>
        <v>4.8</v>
      </c>
      <c r="T74" s="148">
        <f>IF(Select!$E$23=1,AC74,IF(Select!$E$23=2,AL74,IF(Select!$E$23=3,AU74)))</f>
        <v>6.65</v>
      </c>
      <c r="U74" s="148">
        <f>IF(Select!$E$23=1,AD74,IF(Select!$E$23=2,AM74,IF(Select!$E$23=3,AV74)))</f>
        <v>5.87</v>
      </c>
      <c r="V74" s="408">
        <f>ROUND(D74*(1-'Disc Dep'!$C$111),2)</f>
        <v>3.68</v>
      </c>
      <c r="W74" s="408">
        <f>ROUND(E74*(1-'Disc Dep'!$C$111),2)</f>
        <v>3.68</v>
      </c>
      <c r="X74" s="408">
        <f>ROUND(F74*(1-'Disc Dep'!$C$111),2)</f>
        <v>4.46</v>
      </c>
      <c r="Y74" s="408">
        <f>ROUND(G74*(1-'Disc Dep'!$C$111),2)</f>
        <v>4.74</v>
      </c>
      <c r="Z74" s="408">
        <f>ROUND(H74*(1-'Disc Dep'!$C$111),2)</f>
        <v>4.46</v>
      </c>
      <c r="AA74" s="408">
        <f>ROUND(I74*(1-'Disc Dep'!$C$111),2)</f>
        <v>4.6100000000000003</v>
      </c>
      <c r="AB74" s="408">
        <f>ROUND(J74*(1-'Disc Dep'!$C$111),2)</f>
        <v>4.8</v>
      </c>
      <c r="AC74" s="408">
        <f>ROUND(K74*(1-'Disc Dep'!$C$111),2)</f>
        <v>6.65</v>
      </c>
      <c r="AD74" s="408">
        <f>ROUND(L74*(1-'Disc Dep'!$C$111),2)</f>
        <v>5.87</v>
      </c>
      <c r="AE74" s="408">
        <f>ROUND(V74*(1+'Adaos Distr'!$C$111),2)</f>
        <v>3.68</v>
      </c>
      <c r="AF74" s="408">
        <f>ROUND(W74*(1+'Adaos Distr'!$C$111),2)</f>
        <v>3.68</v>
      </c>
      <c r="AG74" s="408">
        <f>ROUND(X74*(1+'Adaos Distr'!$C$111),2)</f>
        <v>4.46</v>
      </c>
      <c r="AH74" s="408">
        <f>ROUND(Y74*(1+'Adaos Distr'!$C$111),2)</f>
        <v>4.74</v>
      </c>
      <c r="AI74" s="408">
        <f>ROUND(Z74*(1+'Adaos Distr'!$C$111),2)</f>
        <v>4.46</v>
      </c>
      <c r="AJ74" s="408">
        <f>ROUND(AA74*(1+'Adaos Distr'!$C$111),2)</f>
        <v>4.6100000000000003</v>
      </c>
      <c r="AK74" s="408">
        <f>ROUND(AB74*(1+'Adaos Distr'!$C$111),2)</f>
        <v>4.8</v>
      </c>
      <c r="AL74" s="408">
        <f>ROUND(AC74*(1+'Adaos Distr'!$C$111),2)</f>
        <v>6.65</v>
      </c>
      <c r="AM74" s="408">
        <f>ROUND(AD74*(1+'Adaos Distr'!$C$111),2)</f>
        <v>5.87</v>
      </c>
      <c r="AN74" s="408">
        <f>ROUND(AE74*(1+'Adaos RESELLER'!$C$111),2)</f>
        <v>3.68</v>
      </c>
      <c r="AO74" s="408">
        <f>ROUND(AF74*(1+'Adaos RESELLER'!$C$111),2)</f>
        <v>3.68</v>
      </c>
      <c r="AP74" s="408">
        <f>ROUND(AG74*(1+'Adaos RESELLER'!$C$111),2)</f>
        <v>4.46</v>
      </c>
      <c r="AQ74" s="408">
        <f>ROUND(AH74*(1+'Adaos RESELLER'!$C$111),2)</f>
        <v>4.74</v>
      </c>
      <c r="AR74" s="408">
        <f>ROUND(AI74*(1+'Adaos RESELLER'!$C$111),2)</f>
        <v>4.46</v>
      </c>
      <c r="AS74" s="408">
        <f>ROUND(AJ74*(1+'Adaos RESELLER'!$C$111),2)</f>
        <v>4.6100000000000003</v>
      </c>
      <c r="AT74" s="408">
        <f>ROUND(AK74*(1+'Adaos RESELLER'!$C$111),2)</f>
        <v>4.8</v>
      </c>
      <c r="AU74" s="408">
        <f>ROUND(AL74*(1+'Adaos RESELLER'!$C$111),2)</f>
        <v>6.65</v>
      </c>
      <c r="AV74" s="408">
        <f>ROUND(AM74*(1+'Adaos RESELLER'!$C$111),2)</f>
        <v>5.87</v>
      </c>
    </row>
    <row r="75" spans="1:49" s="146" customFormat="1" ht="15.6">
      <c r="A75" s="349" t="str">
        <f>Lang!A35</f>
        <v>Coama rotunda mica CR</v>
      </c>
      <c r="C75" s="408">
        <f>IF(Select!$B$232=2,M75,IF(Select!$B$232=3,N75,IF(Select!$B$232=4,O75,IF(Select!$B$232=5,P75,IF(Select!$B$232=6,Q75,IF(Select!$B$232=7,R75,IF(Select!$B$232=8,S75,IF(Select!$B$232=9,T75,IF(Select!$B$232=10,U75,0)))))))))</f>
        <v>0</v>
      </c>
      <c r="D75" s="356">
        <v>4.97</v>
      </c>
      <c r="E75" s="356">
        <v>4.97</v>
      </c>
      <c r="F75" s="356">
        <v>6.03</v>
      </c>
      <c r="G75" s="356">
        <v>6.41</v>
      </c>
      <c r="H75" s="356">
        <v>6.03</v>
      </c>
      <c r="I75" s="356">
        <v>6.23</v>
      </c>
      <c r="J75" s="356">
        <v>6.48</v>
      </c>
      <c r="K75" s="356">
        <v>8.99</v>
      </c>
      <c r="L75" s="356">
        <v>7.9339911580617191</v>
      </c>
      <c r="M75" s="148">
        <f>IF(Select!$E$23=1,V75,IF(Select!$E$23=2,AE75,IF(Select!$E$23=3,AN75)))</f>
        <v>3.68</v>
      </c>
      <c r="N75" s="148">
        <f>IF(Select!$E$23=1,W75,IF(Select!$E$23=2,AF75,IF(Select!$E$23=3,AO75)))</f>
        <v>3.68</v>
      </c>
      <c r="O75" s="148">
        <f>IF(Select!$E$23=1,X75,IF(Select!$E$23=2,AG75,IF(Select!$E$23=3,AP75)))</f>
        <v>4.46</v>
      </c>
      <c r="P75" s="148">
        <f>IF(Select!$E$23=1,Y75,IF(Select!$E$23=2,AH75,IF(Select!$E$23=3,AQ75)))</f>
        <v>4.74</v>
      </c>
      <c r="Q75" s="148">
        <f>IF(Select!$E$23=1,Z75,IF(Select!$E$23=2,AI75,IF(Select!$E$23=3,AR75)))</f>
        <v>4.46</v>
      </c>
      <c r="R75" s="148">
        <f>IF(Select!$E$23=1,AA75,IF(Select!$E$23=2,AJ75,IF(Select!$E$23=3,AS75)))</f>
        <v>4.6100000000000003</v>
      </c>
      <c r="S75" s="148">
        <f>IF(Select!$E$23=1,AB75,IF(Select!$E$23=2,AK75,IF(Select!$E$23=3,AT75)))</f>
        <v>4.8</v>
      </c>
      <c r="T75" s="148">
        <f>IF(Select!$E$23=1,AC75,IF(Select!$E$23=2,AL75,IF(Select!$E$23=3,AU75)))</f>
        <v>6.65</v>
      </c>
      <c r="U75" s="148">
        <f>IF(Select!$E$23=1,AD75,IF(Select!$E$23=2,AM75,IF(Select!$E$23=3,AV75)))</f>
        <v>5.87</v>
      </c>
      <c r="V75" s="408">
        <f>ROUND(D75*(1-'Disc Dep'!$C$111),2)</f>
        <v>3.68</v>
      </c>
      <c r="W75" s="408">
        <f>ROUND(E75*(1-'Disc Dep'!$C$111),2)</f>
        <v>3.68</v>
      </c>
      <c r="X75" s="408">
        <f>ROUND(F75*(1-'Disc Dep'!$C$111),2)</f>
        <v>4.46</v>
      </c>
      <c r="Y75" s="408">
        <f>ROUND(G75*(1-'Disc Dep'!$C$111),2)</f>
        <v>4.74</v>
      </c>
      <c r="Z75" s="408">
        <f>ROUND(H75*(1-'Disc Dep'!$C$111),2)</f>
        <v>4.46</v>
      </c>
      <c r="AA75" s="408">
        <f>ROUND(I75*(1-'Disc Dep'!$C$111),2)</f>
        <v>4.6100000000000003</v>
      </c>
      <c r="AB75" s="408">
        <f>ROUND(J75*(1-'Disc Dep'!$C$111),2)</f>
        <v>4.8</v>
      </c>
      <c r="AC75" s="408">
        <f>ROUND(K75*(1-'Disc Dep'!$C$111),2)</f>
        <v>6.65</v>
      </c>
      <c r="AD75" s="408">
        <f>ROUND(L75*(1-'Disc Dep'!$C$111),2)</f>
        <v>5.87</v>
      </c>
      <c r="AE75" s="408">
        <f>ROUND(V75*(1+'Adaos Distr'!$C$111),2)</f>
        <v>3.68</v>
      </c>
      <c r="AF75" s="408">
        <f>ROUND(W75*(1+'Adaos Distr'!$C$111),2)</f>
        <v>3.68</v>
      </c>
      <c r="AG75" s="408">
        <f>ROUND(X75*(1+'Adaos Distr'!$C$111),2)</f>
        <v>4.46</v>
      </c>
      <c r="AH75" s="408">
        <f>ROUND(Y75*(1+'Adaos Distr'!$C$111),2)</f>
        <v>4.74</v>
      </c>
      <c r="AI75" s="408">
        <f>ROUND(Z75*(1+'Adaos Distr'!$C$111),2)</f>
        <v>4.46</v>
      </c>
      <c r="AJ75" s="408">
        <f>ROUND(AA75*(1+'Adaos Distr'!$C$111),2)</f>
        <v>4.6100000000000003</v>
      </c>
      <c r="AK75" s="408">
        <f>ROUND(AB75*(1+'Adaos Distr'!$C$111),2)</f>
        <v>4.8</v>
      </c>
      <c r="AL75" s="408">
        <f>ROUND(AC75*(1+'Adaos Distr'!$C$111),2)</f>
        <v>6.65</v>
      </c>
      <c r="AM75" s="408">
        <f>ROUND(AD75*(1+'Adaos Distr'!$C$111),2)</f>
        <v>5.87</v>
      </c>
      <c r="AN75" s="408">
        <f>ROUND(AE75*(1+'Adaos RESELLER'!$C$111),2)</f>
        <v>3.68</v>
      </c>
      <c r="AO75" s="408">
        <f>ROUND(AF75*(1+'Adaos RESELLER'!$C$111),2)</f>
        <v>3.68</v>
      </c>
      <c r="AP75" s="408">
        <f>ROUND(AG75*(1+'Adaos RESELLER'!$C$111),2)</f>
        <v>4.46</v>
      </c>
      <c r="AQ75" s="408">
        <f>ROUND(AH75*(1+'Adaos RESELLER'!$C$111),2)</f>
        <v>4.74</v>
      </c>
      <c r="AR75" s="408">
        <f>ROUND(AI75*(1+'Adaos RESELLER'!$C$111),2)</f>
        <v>4.46</v>
      </c>
      <c r="AS75" s="408">
        <f>ROUND(AJ75*(1+'Adaos RESELLER'!$C$111),2)</f>
        <v>4.6100000000000003</v>
      </c>
      <c r="AT75" s="408">
        <f>ROUND(AK75*(1+'Adaos RESELLER'!$C$111),2)</f>
        <v>4.8</v>
      </c>
      <c r="AU75" s="408">
        <f>ROUND(AL75*(1+'Adaos RESELLER'!$C$111),2)</f>
        <v>6.65</v>
      </c>
      <c r="AV75" s="408">
        <f>ROUND(AM75*(1+'Adaos RESELLER'!$C$111),2)</f>
        <v>5.87</v>
      </c>
    </row>
    <row r="76" spans="1:49" s="146" customFormat="1" ht="15.6">
      <c r="A76" s="349" t="str">
        <f>Lang!A36</f>
        <v>Coama rotunda mare CRMA</v>
      </c>
      <c r="C76" s="408">
        <f>IF(Select!$B$232=2,M76,IF(Select!$B$232=3,N76,IF(Select!$B$232=4,O76,IF(Select!$B$232=5,P76,IF(Select!$B$232=6,Q76,IF(Select!$B$232=7,R76,IF(Select!$B$232=8,S76,IF(Select!$B$232=9,T76,IF(Select!$B$232=10,U76,0)))))))))</f>
        <v>0</v>
      </c>
      <c r="D76" s="356">
        <v>8.5399999999999991</v>
      </c>
      <c r="E76" s="356">
        <v>8.5399999999999991</v>
      </c>
      <c r="F76" s="356">
        <v>8.5399999999999991</v>
      </c>
      <c r="G76" s="356">
        <v>8.5399999999999991</v>
      </c>
      <c r="H76" s="356">
        <v>8.3000000000000007</v>
      </c>
      <c r="I76" s="356">
        <v>8.31</v>
      </c>
      <c r="J76" s="356">
        <v>8.64</v>
      </c>
      <c r="K76" s="356">
        <v>11.99</v>
      </c>
      <c r="L76" s="356">
        <v>10.578654877415627</v>
      </c>
      <c r="M76" s="148">
        <f>IF(Select!$E$23=1,V76,IF(Select!$E$23=2,AE76,IF(Select!$E$23=3,AN76)))</f>
        <v>6.32</v>
      </c>
      <c r="N76" s="148">
        <f>IF(Select!$E$23=1,W76,IF(Select!$E$23=2,AF76,IF(Select!$E$23=3,AO76)))</f>
        <v>6.32</v>
      </c>
      <c r="O76" s="148">
        <f>IF(Select!$E$23=1,X76,IF(Select!$E$23=2,AG76,IF(Select!$E$23=3,AP76)))</f>
        <v>6.32</v>
      </c>
      <c r="P76" s="148">
        <f>IF(Select!$E$23=1,Y76,IF(Select!$E$23=2,AH76,IF(Select!$E$23=3,AQ76)))</f>
        <v>6.32</v>
      </c>
      <c r="Q76" s="148">
        <f>IF(Select!$E$23=1,Z76,IF(Select!$E$23=2,AI76,IF(Select!$E$23=3,AR76)))</f>
        <v>6.14</v>
      </c>
      <c r="R76" s="148">
        <f>IF(Select!$E$23=1,AA76,IF(Select!$E$23=2,AJ76,IF(Select!$E$23=3,AS76)))</f>
        <v>6.15</v>
      </c>
      <c r="S76" s="148">
        <f>IF(Select!$E$23=1,AB76,IF(Select!$E$23=2,AK76,IF(Select!$E$23=3,AT76)))</f>
        <v>6.39</v>
      </c>
      <c r="T76" s="148">
        <f>IF(Select!$E$23=1,AC76,IF(Select!$E$23=2,AL76,IF(Select!$E$23=3,AU76)))</f>
        <v>8.8699999999999992</v>
      </c>
      <c r="U76" s="148">
        <f>IF(Select!$E$23=1,AD76,IF(Select!$E$23=2,AM76,IF(Select!$E$23=3,AV76)))</f>
        <v>7.83</v>
      </c>
      <c r="V76" s="408">
        <f>ROUND(D76*(1-'Disc Dep'!$C$111),2)</f>
        <v>6.32</v>
      </c>
      <c r="W76" s="408">
        <f>ROUND(E76*(1-'Disc Dep'!$C$111),2)</f>
        <v>6.32</v>
      </c>
      <c r="X76" s="408">
        <f>ROUND(F76*(1-'Disc Dep'!$C$111),2)</f>
        <v>6.32</v>
      </c>
      <c r="Y76" s="408">
        <f>ROUND(G76*(1-'Disc Dep'!$C$111),2)</f>
        <v>6.32</v>
      </c>
      <c r="Z76" s="408">
        <f>ROUND(H76*(1-'Disc Dep'!$C$111),2)</f>
        <v>6.14</v>
      </c>
      <c r="AA76" s="408">
        <f>ROUND(I76*(1-'Disc Dep'!$C$111),2)</f>
        <v>6.15</v>
      </c>
      <c r="AB76" s="408">
        <f>ROUND(J76*(1-'Disc Dep'!$C$111),2)</f>
        <v>6.39</v>
      </c>
      <c r="AC76" s="408">
        <f>ROUND(K76*(1-'Disc Dep'!$C$111),2)</f>
        <v>8.8699999999999992</v>
      </c>
      <c r="AD76" s="408">
        <f>ROUND(L76*(1-'Disc Dep'!$C$111),2)</f>
        <v>7.83</v>
      </c>
      <c r="AE76" s="408">
        <f>ROUND(V76*(1+'Adaos Distr'!$C$111),2)</f>
        <v>6.32</v>
      </c>
      <c r="AF76" s="408">
        <f>ROUND(W76*(1+'Adaos Distr'!$C$111),2)</f>
        <v>6.32</v>
      </c>
      <c r="AG76" s="408">
        <f>ROUND(X76*(1+'Adaos Distr'!$C$111),2)</f>
        <v>6.32</v>
      </c>
      <c r="AH76" s="408">
        <f>ROUND(Y76*(1+'Adaos Distr'!$C$111),2)</f>
        <v>6.32</v>
      </c>
      <c r="AI76" s="408">
        <f>ROUND(Z76*(1+'Adaos Distr'!$C$111),2)</f>
        <v>6.14</v>
      </c>
      <c r="AJ76" s="408">
        <f>ROUND(AA76*(1+'Adaos Distr'!$C$111),2)</f>
        <v>6.15</v>
      </c>
      <c r="AK76" s="408">
        <f>ROUND(AB76*(1+'Adaos Distr'!$C$111),2)</f>
        <v>6.39</v>
      </c>
      <c r="AL76" s="408">
        <f>ROUND(AC76*(1+'Adaos Distr'!$C$111),2)</f>
        <v>8.8699999999999992</v>
      </c>
      <c r="AM76" s="408">
        <f>ROUND(AD76*(1+'Adaos Distr'!$C$111),2)</f>
        <v>7.83</v>
      </c>
      <c r="AN76" s="408">
        <f>ROUND(AE76*(1+'Adaos RESELLER'!$C$111),2)</f>
        <v>6.32</v>
      </c>
      <c r="AO76" s="408">
        <f>ROUND(AF76*(1+'Adaos RESELLER'!$C$111),2)</f>
        <v>6.32</v>
      </c>
      <c r="AP76" s="408">
        <f>ROUND(AG76*(1+'Adaos RESELLER'!$C$111),2)</f>
        <v>6.32</v>
      </c>
      <c r="AQ76" s="408">
        <f>ROUND(AH76*(1+'Adaos RESELLER'!$C$111),2)</f>
        <v>6.32</v>
      </c>
      <c r="AR76" s="408">
        <f>ROUND(AI76*(1+'Adaos RESELLER'!$C$111),2)</f>
        <v>6.14</v>
      </c>
      <c r="AS76" s="408">
        <f>ROUND(AJ76*(1+'Adaos RESELLER'!$C$111),2)</f>
        <v>6.15</v>
      </c>
      <c r="AT76" s="408">
        <f>ROUND(AK76*(1+'Adaos RESELLER'!$C$111),2)</f>
        <v>6.39</v>
      </c>
      <c r="AU76" s="408">
        <f>ROUND(AL76*(1+'Adaos RESELLER'!$C$111),2)</f>
        <v>8.8699999999999992</v>
      </c>
      <c r="AV76" s="408">
        <f>ROUND(AM76*(1+'Adaos RESELLER'!$C$111),2)</f>
        <v>7.83</v>
      </c>
    </row>
    <row r="77" spans="1:49" s="349" customFormat="1" ht="15.6">
      <c r="A77" s="349" t="str">
        <f>Lang!A37</f>
        <v>Semicoama</v>
      </c>
      <c r="C77" s="408">
        <f>IF(Select!$B$232=2,M77,IF(Select!$B$232=3,N77,IF(Select!$B$232=4,O77,IF(Select!$B$232=5,P77,IF(Select!$B$232=6,Q77,IF(Select!$B$232=7,R77,IF(Select!$B$232=8,S77,IF(Select!$B$232=9,T77,IF(Select!$B$232=10,U77,0)))))))))</f>
        <v>0</v>
      </c>
      <c r="D77" s="356">
        <v>6.8</v>
      </c>
      <c r="E77" s="356">
        <v>6.8</v>
      </c>
      <c r="F77" s="356">
        <v>8.0299999999999994</v>
      </c>
      <c r="G77" s="356">
        <v>8.5399999999999991</v>
      </c>
      <c r="H77" s="356">
        <v>8.0299999999999994</v>
      </c>
      <c r="I77" s="356">
        <v>8.31</v>
      </c>
      <c r="J77" s="356">
        <v>8.64</v>
      </c>
      <c r="K77" s="356">
        <v>11.99</v>
      </c>
      <c r="L77" s="356">
        <v>10.578654877415627</v>
      </c>
      <c r="M77" s="148">
        <f>IF(Select!$E$23=1,V77,IF(Select!$E$23=2,AE77,IF(Select!$E$23=3,AN77)))</f>
        <v>5.03</v>
      </c>
      <c r="N77" s="148">
        <f>IF(Select!$E$23=1,W77,IF(Select!$E$23=2,AF77,IF(Select!$E$23=3,AO77)))</f>
        <v>5.03</v>
      </c>
      <c r="O77" s="148">
        <f>IF(Select!$E$23=1,X77,IF(Select!$E$23=2,AG77,IF(Select!$E$23=3,AP77)))</f>
        <v>5.94</v>
      </c>
      <c r="P77" s="148">
        <f>IF(Select!$E$23=1,Y77,IF(Select!$E$23=2,AH77,IF(Select!$E$23=3,AQ77)))</f>
        <v>6.32</v>
      </c>
      <c r="Q77" s="148">
        <f>IF(Select!$E$23=1,Z77,IF(Select!$E$23=2,AI77,IF(Select!$E$23=3,AR77)))</f>
        <v>5.94</v>
      </c>
      <c r="R77" s="148">
        <f>IF(Select!$E$23=1,AA77,IF(Select!$E$23=2,AJ77,IF(Select!$E$23=3,AS77)))</f>
        <v>6.15</v>
      </c>
      <c r="S77" s="148">
        <f>IF(Select!$E$23=1,AB77,IF(Select!$E$23=2,AK77,IF(Select!$E$23=3,AT77)))</f>
        <v>6.39</v>
      </c>
      <c r="T77" s="148">
        <f>IF(Select!$E$23=1,AC77,IF(Select!$E$23=2,AL77,IF(Select!$E$23=3,AU77)))</f>
        <v>8.8699999999999992</v>
      </c>
      <c r="U77" s="148">
        <f>IF(Select!$E$23=1,AD77,IF(Select!$E$23=2,AM77,IF(Select!$E$23=3,AV77)))</f>
        <v>7.83</v>
      </c>
      <c r="V77" s="408">
        <f>ROUND(D77*(1-'Disc Dep'!$C$111),2)</f>
        <v>5.03</v>
      </c>
      <c r="W77" s="408">
        <f>ROUND(E77*(1-'Disc Dep'!$C$111),2)</f>
        <v>5.03</v>
      </c>
      <c r="X77" s="408">
        <f>ROUND(F77*(1-'Disc Dep'!$C$111),2)</f>
        <v>5.94</v>
      </c>
      <c r="Y77" s="408">
        <f>ROUND(G77*(1-'Disc Dep'!$C$111),2)</f>
        <v>6.32</v>
      </c>
      <c r="Z77" s="408">
        <f>ROUND(H77*(1-'Disc Dep'!$C$111),2)</f>
        <v>5.94</v>
      </c>
      <c r="AA77" s="408">
        <f>ROUND(I77*(1-'Disc Dep'!$C$111),2)</f>
        <v>6.15</v>
      </c>
      <c r="AB77" s="408">
        <f>ROUND(J77*(1-'Disc Dep'!$C$111),2)</f>
        <v>6.39</v>
      </c>
      <c r="AC77" s="408">
        <f>ROUND(K77*(1-'Disc Dep'!$C$111),2)</f>
        <v>8.8699999999999992</v>
      </c>
      <c r="AD77" s="408">
        <f>ROUND(L77*(1-'Disc Dep'!$C$111),2)</f>
        <v>7.83</v>
      </c>
      <c r="AE77" s="408">
        <f>ROUND(V77*(1+'Adaos Distr'!$C$111),2)</f>
        <v>5.03</v>
      </c>
      <c r="AF77" s="408">
        <f>ROUND(W77*(1+'Adaos Distr'!$C$111),2)</f>
        <v>5.03</v>
      </c>
      <c r="AG77" s="408">
        <f>ROUND(X77*(1+'Adaos Distr'!$C$111),2)</f>
        <v>5.94</v>
      </c>
      <c r="AH77" s="408">
        <f>ROUND(Y77*(1+'Adaos Distr'!$C$111),2)</f>
        <v>6.32</v>
      </c>
      <c r="AI77" s="408">
        <f>ROUND(Z77*(1+'Adaos Distr'!$C$111),2)</f>
        <v>5.94</v>
      </c>
      <c r="AJ77" s="408">
        <f>ROUND(AA77*(1+'Adaos Distr'!$C$111),2)</f>
        <v>6.15</v>
      </c>
      <c r="AK77" s="408">
        <f>ROUND(AB77*(1+'Adaos Distr'!$C$111),2)</f>
        <v>6.39</v>
      </c>
      <c r="AL77" s="408">
        <f>ROUND(AC77*(1+'Adaos Distr'!$C$111),2)</f>
        <v>8.8699999999999992</v>
      </c>
      <c r="AM77" s="408">
        <f>ROUND(AD77*(1+'Adaos Distr'!$C$111),2)</f>
        <v>7.83</v>
      </c>
      <c r="AN77" s="408">
        <f>ROUND(AE77*(1+'Adaos RESELLER'!$C$111),2)</f>
        <v>5.03</v>
      </c>
      <c r="AO77" s="408">
        <f>ROUND(AF77*(1+'Adaos RESELLER'!$C$111),2)</f>
        <v>5.03</v>
      </c>
      <c r="AP77" s="408">
        <f>ROUND(AG77*(1+'Adaos RESELLER'!$C$111),2)</f>
        <v>5.94</v>
      </c>
      <c r="AQ77" s="408">
        <f>ROUND(AH77*(1+'Adaos RESELLER'!$C$111),2)</f>
        <v>6.32</v>
      </c>
      <c r="AR77" s="408">
        <f>ROUND(AI77*(1+'Adaos RESELLER'!$C$111),2)</f>
        <v>5.94</v>
      </c>
      <c r="AS77" s="408">
        <f>ROUND(AJ77*(1+'Adaos RESELLER'!$C$111),2)</f>
        <v>6.15</v>
      </c>
      <c r="AT77" s="408">
        <f>ROUND(AK77*(1+'Adaos RESELLER'!$C$111),2)</f>
        <v>6.39</v>
      </c>
      <c r="AU77" s="408">
        <f>ROUND(AL77*(1+'Adaos RESELLER'!$C$111),2)</f>
        <v>8.8699999999999992</v>
      </c>
      <c r="AV77" s="408">
        <f>ROUND(AM77*(1+'Adaos RESELLER'!$C$111),2)</f>
        <v>7.83</v>
      </c>
    </row>
    <row r="78" spans="1:49" s="146" customFormat="1" ht="15.6">
      <c r="A78" s="349" t="str">
        <f>Lang!A38</f>
        <v>Capac coama</v>
      </c>
      <c r="C78" s="408">
        <f>IF(Select!$B$232=2,M78,IF(Select!$B$232=3,N78,IF(Select!$B$232=4,O78,IF(Select!$B$232=5,P78,IF(Select!$B$232=6,Q78,IF(Select!$B$232=7,R78,IF(Select!$B$232=8,S78,IF(Select!$B$232=9,T78,IF(Select!$B$232=10,U78,0)))))))))</f>
        <v>0</v>
      </c>
      <c r="D78" s="356">
        <v>2.2400000000000002</v>
      </c>
      <c r="E78" s="356">
        <v>2.2400000000000002</v>
      </c>
      <c r="F78" s="356">
        <v>2.2400000000000002</v>
      </c>
      <c r="G78" s="356">
        <v>2.2400000000000002</v>
      </c>
      <c r="H78" s="356">
        <v>2.2400000000000002</v>
      </c>
      <c r="I78" s="356">
        <v>2.2400000000000002</v>
      </c>
      <c r="J78" s="356">
        <v>2.2400000000000002</v>
      </c>
      <c r="K78" s="356">
        <v>2.98</v>
      </c>
      <c r="L78" s="356">
        <v>2.6306438152995004</v>
      </c>
      <c r="M78" s="148">
        <f>IF(Select!$E$23=1,V78,IF(Select!$E$23=2,AE78,IF(Select!$E$23=3,AN78)))</f>
        <v>1.66</v>
      </c>
      <c r="N78" s="148">
        <f>IF(Select!$E$23=1,W78,IF(Select!$E$23=2,AF78,IF(Select!$E$23=3,AO78)))</f>
        <v>1.66</v>
      </c>
      <c r="O78" s="148">
        <f>IF(Select!$E$23=1,X78,IF(Select!$E$23=2,AG78,IF(Select!$E$23=3,AP78)))</f>
        <v>1.66</v>
      </c>
      <c r="P78" s="148">
        <f>IF(Select!$E$23=1,Y78,IF(Select!$E$23=2,AH78,IF(Select!$E$23=3,AQ78)))</f>
        <v>1.66</v>
      </c>
      <c r="Q78" s="148">
        <f>IF(Select!$E$23=1,Z78,IF(Select!$E$23=2,AI78,IF(Select!$E$23=3,AR78)))</f>
        <v>1.66</v>
      </c>
      <c r="R78" s="148">
        <f>IF(Select!$E$23=1,AA78,IF(Select!$E$23=2,AJ78,IF(Select!$E$23=3,AS78)))</f>
        <v>1.66</v>
      </c>
      <c r="S78" s="148">
        <f>IF(Select!$E$23=1,AB78,IF(Select!$E$23=2,AK78,IF(Select!$E$23=3,AT78)))</f>
        <v>1.66</v>
      </c>
      <c r="T78" s="148">
        <f>IF(Select!$E$23=1,AC78,IF(Select!$E$23=2,AL78,IF(Select!$E$23=3,AU78)))</f>
        <v>2.21</v>
      </c>
      <c r="U78" s="148">
        <f>IF(Select!$E$23=1,AD78,IF(Select!$E$23=2,AM78,IF(Select!$E$23=3,AV78)))</f>
        <v>1.95</v>
      </c>
      <c r="V78" s="408">
        <f>ROUND(D78*(1-'Disc Dep'!$C$111),2)</f>
        <v>1.66</v>
      </c>
      <c r="W78" s="408">
        <f>ROUND(E78*(1-'Disc Dep'!$C$111),2)</f>
        <v>1.66</v>
      </c>
      <c r="X78" s="408">
        <f>ROUND(F78*(1-'Disc Dep'!$C$111),2)</f>
        <v>1.66</v>
      </c>
      <c r="Y78" s="408">
        <f>ROUND(G78*(1-'Disc Dep'!$C$111),2)</f>
        <v>1.66</v>
      </c>
      <c r="Z78" s="408">
        <f>ROUND(H78*(1-'Disc Dep'!$C$111),2)</f>
        <v>1.66</v>
      </c>
      <c r="AA78" s="408">
        <f>ROUND(I78*(1-'Disc Dep'!$C$111),2)</f>
        <v>1.66</v>
      </c>
      <c r="AB78" s="408">
        <f>ROUND(J78*(1-'Disc Dep'!$C$111),2)</f>
        <v>1.66</v>
      </c>
      <c r="AC78" s="408">
        <f>ROUND(K78*(1-'Disc Dep'!$C$111),2)</f>
        <v>2.21</v>
      </c>
      <c r="AD78" s="408">
        <f>ROUND(L78*(1-'Disc Dep'!$C$111),2)</f>
        <v>1.95</v>
      </c>
      <c r="AE78" s="408">
        <f>ROUND(V78*(1+'Adaos Distr'!$C$111),2)</f>
        <v>1.66</v>
      </c>
      <c r="AF78" s="408">
        <f>ROUND(W78*(1+'Adaos Distr'!$C$111),2)</f>
        <v>1.66</v>
      </c>
      <c r="AG78" s="408">
        <f>ROUND(X78*(1+'Adaos Distr'!$C$111),2)</f>
        <v>1.66</v>
      </c>
      <c r="AH78" s="408">
        <f>ROUND(Y78*(1+'Adaos Distr'!$C$111),2)</f>
        <v>1.66</v>
      </c>
      <c r="AI78" s="408">
        <f>ROUND(Z78*(1+'Adaos Distr'!$C$111),2)</f>
        <v>1.66</v>
      </c>
      <c r="AJ78" s="408">
        <f>ROUND(AA78*(1+'Adaos Distr'!$C$111),2)</f>
        <v>1.66</v>
      </c>
      <c r="AK78" s="408">
        <f>ROUND(AB78*(1+'Adaos Distr'!$C$111),2)</f>
        <v>1.66</v>
      </c>
      <c r="AL78" s="408">
        <f>ROUND(AC78*(1+'Adaos Distr'!$C$111),2)</f>
        <v>2.21</v>
      </c>
      <c r="AM78" s="408">
        <f>ROUND(AD78*(1+'Adaos Distr'!$C$111),2)</f>
        <v>1.95</v>
      </c>
      <c r="AN78" s="408">
        <f>ROUND(AE78*(1+'Adaos RESELLER'!$C$111),2)</f>
        <v>1.66</v>
      </c>
      <c r="AO78" s="408">
        <f>ROUND(AF78*(1+'Adaos RESELLER'!$C$111),2)</f>
        <v>1.66</v>
      </c>
      <c r="AP78" s="408">
        <f>ROUND(AG78*(1+'Adaos RESELLER'!$C$111),2)</f>
        <v>1.66</v>
      </c>
      <c r="AQ78" s="408">
        <f>ROUND(AH78*(1+'Adaos RESELLER'!$C$111),2)</f>
        <v>1.66</v>
      </c>
      <c r="AR78" s="408">
        <f>ROUND(AI78*(1+'Adaos RESELLER'!$C$111),2)</f>
        <v>1.66</v>
      </c>
      <c r="AS78" s="408">
        <f>ROUND(AJ78*(1+'Adaos RESELLER'!$C$111),2)</f>
        <v>1.66</v>
      </c>
      <c r="AT78" s="408">
        <f>ROUND(AK78*(1+'Adaos RESELLER'!$C$111),2)</f>
        <v>1.66</v>
      </c>
      <c r="AU78" s="408">
        <f>ROUND(AL78*(1+'Adaos RESELLER'!$C$111),2)</f>
        <v>2.21</v>
      </c>
      <c r="AV78" s="408">
        <f>ROUND(AM78*(1+'Adaos RESELLER'!$C$111),2)</f>
        <v>1.95</v>
      </c>
    </row>
    <row r="79" spans="1:49" s="146" customFormat="1" ht="15.6">
      <c r="A79" s="349" t="str">
        <f>Lang!A39</f>
        <v>Colector fronton CF</v>
      </c>
      <c r="C79" s="408">
        <f>IF(Select!$B$232=2,M79,IF(Select!$B$232=3,N79,IF(Select!$B$232=4,O79,IF(Select!$B$232=5,P79,IF(Select!$B$232=6,Q79,IF(Select!$B$232=7,R79,IF(Select!$B$232=8,S79,IF(Select!$B$232=9,T79,IF(Select!$B$232=10,U79,0)))))))))</f>
        <v>0</v>
      </c>
      <c r="D79" s="356">
        <v>3.24</v>
      </c>
      <c r="E79" s="356">
        <v>3.24</v>
      </c>
      <c r="F79" s="356">
        <v>3.24</v>
      </c>
      <c r="G79" s="356">
        <v>3.24</v>
      </c>
      <c r="H79" s="356">
        <v>3.24</v>
      </c>
      <c r="I79" s="356">
        <v>3.24</v>
      </c>
      <c r="J79" s="356">
        <v>3.24</v>
      </c>
      <c r="K79" s="356">
        <v>3.24</v>
      </c>
      <c r="L79" s="356">
        <v>3.1455012404753449</v>
      </c>
      <c r="M79" s="148">
        <f>IF(Select!$E$23=1,V79,IF(Select!$E$23=2,AE79,IF(Select!$E$23=3,AN79)))</f>
        <v>2.4</v>
      </c>
      <c r="N79" s="148">
        <f>IF(Select!$E$23=1,W79,IF(Select!$E$23=2,AF79,IF(Select!$E$23=3,AO79)))</f>
        <v>2.4</v>
      </c>
      <c r="O79" s="148">
        <f>IF(Select!$E$23=1,X79,IF(Select!$E$23=2,AG79,IF(Select!$E$23=3,AP79)))</f>
        <v>2.4</v>
      </c>
      <c r="P79" s="148">
        <f>IF(Select!$E$23=1,Y79,IF(Select!$E$23=2,AH79,IF(Select!$E$23=3,AQ79)))</f>
        <v>2.4</v>
      </c>
      <c r="Q79" s="148">
        <f>IF(Select!$E$23=1,Z79,IF(Select!$E$23=2,AI79,IF(Select!$E$23=3,AR79)))</f>
        <v>2.4</v>
      </c>
      <c r="R79" s="148">
        <f>IF(Select!$E$23=1,AA79,IF(Select!$E$23=2,AJ79,IF(Select!$E$23=3,AS79)))</f>
        <v>2.4</v>
      </c>
      <c r="S79" s="148">
        <f>IF(Select!$E$23=1,AB79,IF(Select!$E$23=2,AK79,IF(Select!$E$23=3,AT79)))</f>
        <v>2.4</v>
      </c>
      <c r="T79" s="148">
        <f>IF(Select!$E$23=1,AC79,IF(Select!$E$23=2,AL79,IF(Select!$E$23=3,AU79)))</f>
        <v>2.4</v>
      </c>
      <c r="U79" s="148">
        <f>IF(Select!$E$23=1,AD79,IF(Select!$E$23=2,AM79,IF(Select!$E$23=3,AV79)))</f>
        <v>2.33</v>
      </c>
      <c r="V79" s="408">
        <f>ROUND(D79*(1-'Disc Dep'!$C$111),2)</f>
        <v>2.4</v>
      </c>
      <c r="W79" s="408">
        <f>ROUND(E79*(1-'Disc Dep'!$C$111),2)</f>
        <v>2.4</v>
      </c>
      <c r="X79" s="408">
        <f>ROUND(F79*(1-'Disc Dep'!$C$111),2)</f>
        <v>2.4</v>
      </c>
      <c r="Y79" s="408">
        <f>ROUND(G79*(1-'Disc Dep'!$C$111),2)</f>
        <v>2.4</v>
      </c>
      <c r="Z79" s="408">
        <f>ROUND(H79*(1-'Disc Dep'!$C$111),2)</f>
        <v>2.4</v>
      </c>
      <c r="AA79" s="408">
        <f>ROUND(I79*(1-'Disc Dep'!$C$111),2)</f>
        <v>2.4</v>
      </c>
      <c r="AB79" s="408">
        <f>ROUND(J79*(1-'Disc Dep'!$C$111),2)</f>
        <v>2.4</v>
      </c>
      <c r="AC79" s="408">
        <f>ROUND(K79*(1-'Disc Dep'!$C$111),2)</f>
        <v>2.4</v>
      </c>
      <c r="AD79" s="408">
        <f>ROUND(L79*(1-'Disc Dep'!$C$111),2)</f>
        <v>2.33</v>
      </c>
      <c r="AE79" s="408">
        <f>ROUND(V79*(1+'Adaos Distr'!$C$111),2)</f>
        <v>2.4</v>
      </c>
      <c r="AF79" s="408">
        <f>ROUND(W79*(1+'Adaos Distr'!$C$111),2)</f>
        <v>2.4</v>
      </c>
      <c r="AG79" s="408">
        <f>ROUND(X79*(1+'Adaos Distr'!$C$111),2)</f>
        <v>2.4</v>
      </c>
      <c r="AH79" s="408">
        <f>ROUND(Y79*(1+'Adaos Distr'!$C$111),2)</f>
        <v>2.4</v>
      </c>
      <c r="AI79" s="408">
        <f>ROUND(Z79*(1+'Adaos Distr'!$C$111),2)</f>
        <v>2.4</v>
      </c>
      <c r="AJ79" s="408">
        <f>ROUND(AA79*(1+'Adaos Distr'!$C$111),2)</f>
        <v>2.4</v>
      </c>
      <c r="AK79" s="408">
        <f>ROUND(AB79*(1+'Adaos Distr'!$C$111),2)</f>
        <v>2.4</v>
      </c>
      <c r="AL79" s="408">
        <f>ROUND(AC79*(1+'Adaos Distr'!$C$111),2)</f>
        <v>2.4</v>
      </c>
      <c r="AM79" s="408">
        <f>ROUND(AD79*(1+'Adaos Distr'!$C$111),2)</f>
        <v>2.33</v>
      </c>
      <c r="AN79" s="408">
        <f>ROUND(AE79*(1+'Adaos RESELLER'!$C$111),2)</f>
        <v>2.4</v>
      </c>
      <c r="AO79" s="408">
        <f>ROUND(AF79*(1+'Adaos RESELLER'!$C$111),2)</f>
        <v>2.4</v>
      </c>
      <c r="AP79" s="408">
        <f>ROUND(AG79*(1+'Adaos RESELLER'!$C$111),2)</f>
        <v>2.4</v>
      </c>
      <c r="AQ79" s="408">
        <f>ROUND(AH79*(1+'Adaos RESELLER'!$C$111),2)</f>
        <v>2.4</v>
      </c>
      <c r="AR79" s="408">
        <f>ROUND(AI79*(1+'Adaos RESELLER'!$C$111),2)</f>
        <v>2.4</v>
      </c>
      <c r="AS79" s="408">
        <f>ROUND(AJ79*(1+'Adaos RESELLER'!$C$111),2)</f>
        <v>2.4</v>
      </c>
      <c r="AT79" s="408">
        <f>ROUND(AK79*(1+'Adaos RESELLER'!$C$111),2)</f>
        <v>2.4</v>
      </c>
      <c r="AU79" s="408">
        <f>ROUND(AL79*(1+'Adaos RESELLER'!$C$111),2)</f>
        <v>2.4</v>
      </c>
      <c r="AV79" s="408">
        <f>ROUND(AM79*(1+'Adaos RESELLER'!$C$111),2)</f>
        <v>2.33</v>
      </c>
    </row>
    <row r="80" spans="1:49" s="146" customFormat="1" ht="15.6">
      <c r="A80" s="349" t="str">
        <f>Lang!A40</f>
        <v>Racord calcan</v>
      </c>
      <c r="C80" s="408">
        <f>IF(Select!$B$232=2,M80,IF(Select!$B$232=3,N80,IF(Select!$B$232=4,O80,IF(Select!$B$232=5,P80,IF(Select!$B$232=6,Q80,IF(Select!$B$232=7,R80,IF(Select!$B$232=8,S80,IF(Select!$B$232=9,T80,IF(Select!$B$232=10,U80,0)))))))))</f>
        <v>0</v>
      </c>
      <c r="D80" s="356">
        <v>4.0199999999999996</v>
      </c>
      <c r="E80" s="356">
        <v>4.0199999999999996</v>
      </c>
      <c r="F80" s="356">
        <v>4.0199999999999996</v>
      </c>
      <c r="G80" s="356">
        <v>4.0199999999999996</v>
      </c>
      <c r="H80" s="356">
        <v>4.32</v>
      </c>
      <c r="I80" s="356">
        <v>4.32</v>
      </c>
      <c r="J80" s="356">
        <v>4.32</v>
      </c>
      <c r="K80" s="356">
        <v>5.99</v>
      </c>
      <c r="L80" s="356">
        <v>5.2893274387078133</v>
      </c>
      <c r="M80" s="148">
        <f>IF(Select!$E$23=1,V80,IF(Select!$E$23=2,AE80,IF(Select!$E$23=3,AN80)))</f>
        <v>2.97</v>
      </c>
      <c r="N80" s="148">
        <f>IF(Select!$E$23=1,W80,IF(Select!$E$23=2,AF80,IF(Select!$E$23=3,AO80)))</f>
        <v>2.97</v>
      </c>
      <c r="O80" s="148">
        <f>IF(Select!$E$23=1,X80,IF(Select!$E$23=2,AG80,IF(Select!$E$23=3,AP80)))</f>
        <v>2.97</v>
      </c>
      <c r="P80" s="148">
        <f>IF(Select!$E$23=1,Y80,IF(Select!$E$23=2,AH80,IF(Select!$E$23=3,AQ80)))</f>
        <v>2.97</v>
      </c>
      <c r="Q80" s="148">
        <f>IF(Select!$E$23=1,Z80,IF(Select!$E$23=2,AI80,IF(Select!$E$23=3,AR80)))</f>
        <v>3.2</v>
      </c>
      <c r="R80" s="148">
        <f>IF(Select!$E$23=1,AA80,IF(Select!$E$23=2,AJ80,IF(Select!$E$23=3,AS80)))</f>
        <v>3.2</v>
      </c>
      <c r="S80" s="148">
        <f>IF(Select!$E$23=1,AB80,IF(Select!$E$23=2,AK80,IF(Select!$E$23=3,AT80)))</f>
        <v>3.2</v>
      </c>
      <c r="T80" s="148">
        <f>IF(Select!$E$23=1,AC80,IF(Select!$E$23=2,AL80,IF(Select!$E$23=3,AU80)))</f>
        <v>4.43</v>
      </c>
      <c r="U80" s="148">
        <f>IF(Select!$E$23=1,AD80,IF(Select!$E$23=2,AM80,IF(Select!$E$23=3,AV80)))</f>
        <v>3.91</v>
      </c>
      <c r="V80" s="408">
        <f>ROUND(D80*(1-'Disc Dep'!$C$111),2)</f>
        <v>2.97</v>
      </c>
      <c r="W80" s="408">
        <f>ROUND(E80*(1-'Disc Dep'!$C$111),2)</f>
        <v>2.97</v>
      </c>
      <c r="X80" s="408">
        <f>ROUND(F80*(1-'Disc Dep'!$C$111),2)</f>
        <v>2.97</v>
      </c>
      <c r="Y80" s="408">
        <f>ROUND(G80*(1-'Disc Dep'!$C$111),2)</f>
        <v>2.97</v>
      </c>
      <c r="Z80" s="408">
        <f>ROUND(H80*(1-'Disc Dep'!$C$111),2)</f>
        <v>3.2</v>
      </c>
      <c r="AA80" s="408">
        <f>ROUND(I80*(1-'Disc Dep'!$C$111),2)</f>
        <v>3.2</v>
      </c>
      <c r="AB80" s="408">
        <f>ROUND(J80*(1-'Disc Dep'!$C$111),2)</f>
        <v>3.2</v>
      </c>
      <c r="AC80" s="408">
        <f>ROUND(K80*(1-'Disc Dep'!$C$111),2)</f>
        <v>4.43</v>
      </c>
      <c r="AD80" s="408">
        <f>ROUND(L80*(1-'Disc Dep'!$C$111),2)</f>
        <v>3.91</v>
      </c>
      <c r="AE80" s="408">
        <f>ROUND(V80*(1+'Adaos Distr'!$C$111),2)</f>
        <v>2.97</v>
      </c>
      <c r="AF80" s="408">
        <f>ROUND(W80*(1+'Adaos Distr'!$C$111),2)</f>
        <v>2.97</v>
      </c>
      <c r="AG80" s="408">
        <f>ROUND(X80*(1+'Adaos Distr'!$C$111),2)</f>
        <v>2.97</v>
      </c>
      <c r="AH80" s="408">
        <f>ROUND(Y80*(1+'Adaos Distr'!$C$111),2)</f>
        <v>2.97</v>
      </c>
      <c r="AI80" s="408">
        <f>ROUND(Z80*(1+'Adaos Distr'!$C$111),2)</f>
        <v>3.2</v>
      </c>
      <c r="AJ80" s="408">
        <f>ROUND(AA80*(1+'Adaos Distr'!$C$111),2)</f>
        <v>3.2</v>
      </c>
      <c r="AK80" s="408">
        <f>ROUND(AB80*(1+'Adaos Distr'!$C$111),2)</f>
        <v>3.2</v>
      </c>
      <c r="AL80" s="408">
        <f>ROUND(AC80*(1+'Adaos Distr'!$C$111),2)</f>
        <v>4.43</v>
      </c>
      <c r="AM80" s="408">
        <f>ROUND(AD80*(1+'Adaos Distr'!$C$111),2)</f>
        <v>3.91</v>
      </c>
      <c r="AN80" s="408">
        <f>ROUND(AE80*(1+'Adaos RESELLER'!$C$111),2)</f>
        <v>2.97</v>
      </c>
      <c r="AO80" s="408">
        <f>ROUND(AF80*(1+'Adaos RESELLER'!$C$111),2)</f>
        <v>2.97</v>
      </c>
      <c r="AP80" s="408">
        <f>ROUND(AG80*(1+'Adaos RESELLER'!$C$111),2)</f>
        <v>2.97</v>
      </c>
      <c r="AQ80" s="408">
        <f>ROUND(AH80*(1+'Adaos RESELLER'!$C$111),2)</f>
        <v>2.97</v>
      </c>
      <c r="AR80" s="408">
        <f>ROUND(AI80*(1+'Adaos RESELLER'!$C$111),2)</f>
        <v>3.2</v>
      </c>
      <c r="AS80" s="408">
        <f>ROUND(AJ80*(1+'Adaos RESELLER'!$C$111),2)</f>
        <v>3.2</v>
      </c>
      <c r="AT80" s="408">
        <f>ROUND(AK80*(1+'Adaos RESELLER'!$C$111),2)</f>
        <v>3.2</v>
      </c>
      <c r="AU80" s="408">
        <f>ROUND(AL80*(1+'Adaos RESELLER'!$C$111),2)</f>
        <v>4.43</v>
      </c>
      <c r="AV80" s="408">
        <f>ROUND(AM80*(1+'Adaos RESELLER'!$C$111),2)</f>
        <v>3.91</v>
      </c>
    </row>
    <row r="81" spans="1:48" s="146" customFormat="1" ht="15.6">
      <c r="A81" s="349" t="str">
        <f>Lang!A41</f>
        <v>Dolie DO</v>
      </c>
      <c r="C81" s="408">
        <f>IF(Select!$B$232=2,M81,IF(Select!$B$232=3,N81,IF(Select!$B$232=4,O81,IF(Select!$B$232=5,P81,IF(Select!$B$232=6,Q81,IF(Select!$B$232=7,R81,IF(Select!$B$232=8,S81,IF(Select!$B$232=9,T81,IF(Select!$B$232=10,U81,0)))))))))</f>
        <v>0</v>
      </c>
      <c r="D81" s="356">
        <v>8.0299999999999994</v>
      </c>
      <c r="E81" s="356">
        <v>8.0299999999999994</v>
      </c>
      <c r="F81" s="356">
        <v>8.0299999999999994</v>
      </c>
      <c r="G81" s="356">
        <v>8.0299999999999994</v>
      </c>
      <c r="H81" s="356">
        <v>8.64</v>
      </c>
      <c r="I81" s="356">
        <v>8.64</v>
      </c>
      <c r="J81" s="356">
        <v>8.64</v>
      </c>
      <c r="K81" s="356">
        <v>11.99</v>
      </c>
      <c r="L81" s="356">
        <v>10.578654877415627</v>
      </c>
      <c r="M81" s="148">
        <f>IF(Select!$E$23=1,V81,IF(Select!$E$23=2,AE81,IF(Select!$E$23=3,AN81)))</f>
        <v>5.94</v>
      </c>
      <c r="N81" s="148">
        <f>IF(Select!$E$23=1,W81,IF(Select!$E$23=2,AF81,IF(Select!$E$23=3,AO81)))</f>
        <v>5.94</v>
      </c>
      <c r="O81" s="148">
        <f>IF(Select!$E$23=1,X81,IF(Select!$E$23=2,AG81,IF(Select!$E$23=3,AP81)))</f>
        <v>5.94</v>
      </c>
      <c r="P81" s="148">
        <f>IF(Select!$E$23=1,Y81,IF(Select!$E$23=2,AH81,IF(Select!$E$23=3,AQ81)))</f>
        <v>5.94</v>
      </c>
      <c r="Q81" s="148">
        <f>IF(Select!$E$23=1,Z81,IF(Select!$E$23=2,AI81,IF(Select!$E$23=3,AR81)))</f>
        <v>6.39</v>
      </c>
      <c r="R81" s="148">
        <f>IF(Select!$E$23=1,AA81,IF(Select!$E$23=2,AJ81,IF(Select!$E$23=3,AS81)))</f>
        <v>6.39</v>
      </c>
      <c r="S81" s="148">
        <f>IF(Select!$E$23=1,AB81,IF(Select!$E$23=2,AK81,IF(Select!$E$23=3,AT81)))</f>
        <v>6.39</v>
      </c>
      <c r="T81" s="148">
        <f>IF(Select!$E$23=1,AC81,IF(Select!$E$23=2,AL81,IF(Select!$E$23=3,AU81)))</f>
        <v>8.8699999999999992</v>
      </c>
      <c r="U81" s="148">
        <f>IF(Select!$E$23=1,AD81,IF(Select!$E$23=2,AM81,IF(Select!$E$23=3,AV81)))</f>
        <v>7.83</v>
      </c>
      <c r="V81" s="408">
        <f>ROUND(D81*(1-'Disc Dep'!$C$111),2)</f>
        <v>5.94</v>
      </c>
      <c r="W81" s="408">
        <f>ROUND(E81*(1-'Disc Dep'!$C$111),2)</f>
        <v>5.94</v>
      </c>
      <c r="X81" s="408">
        <f>ROUND(F81*(1-'Disc Dep'!$C$111),2)</f>
        <v>5.94</v>
      </c>
      <c r="Y81" s="408">
        <f>ROUND(G81*(1-'Disc Dep'!$C$111),2)</f>
        <v>5.94</v>
      </c>
      <c r="Z81" s="408">
        <f>ROUND(H81*(1-'Disc Dep'!$C$111),2)</f>
        <v>6.39</v>
      </c>
      <c r="AA81" s="408">
        <f>ROUND(I81*(1-'Disc Dep'!$C$111),2)</f>
        <v>6.39</v>
      </c>
      <c r="AB81" s="408">
        <f>ROUND(J81*(1-'Disc Dep'!$C$111),2)</f>
        <v>6.39</v>
      </c>
      <c r="AC81" s="408">
        <f>ROUND(K81*(1-'Disc Dep'!$C$111),2)</f>
        <v>8.8699999999999992</v>
      </c>
      <c r="AD81" s="408">
        <f>ROUND(L81*(1-'Disc Dep'!$C$111),2)</f>
        <v>7.83</v>
      </c>
      <c r="AE81" s="408">
        <f>ROUND(V81*(1+'Adaos Distr'!$C$111),2)</f>
        <v>5.94</v>
      </c>
      <c r="AF81" s="408">
        <f>ROUND(W81*(1+'Adaos Distr'!$C$111),2)</f>
        <v>5.94</v>
      </c>
      <c r="AG81" s="408">
        <f>ROUND(X81*(1+'Adaos Distr'!$C$111),2)</f>
        <v>5.94</v>
      </c>
      <c r="AH81" s="408">
        <f>ROUND(Y81*(1+'Adaos Distr'!$C$111),2)</f>
        <v>5.94</v>
      </c>
      <c r="AI81" s="408">
        <f>ROUND(Z81*(1+'Adaos Distr'!$C$111),2)</f>
        <v>6.39</v>
      </c>
      <c r="AJ81" s="408">
        <f>ROUND(AA81*(1+'Adaos Distr'!$C$111),2)</f>
        <v>6.39</v>
      </c>
      <c r="AK81" s="408">
        <f>ROUND(AB81*(1+'Adaos Distr'!$C$111),2)</f>
        <v>6.39</v>
      </c>
      <c r="AL81" s="408">
        <f>ROUND(AC81*(1+'Adaos Distr'!$C$111),2)</f>
        <v>8.8699999999999992</v>
      </c>
      <c r="AM81" s="408">
        <f>ROUND(AD81*(1+'Adaos Distr'!$C$111),2)</f>
        <v>7.83</v>
      </c>
      <c r="AN81" s="408">
        <f>ROUND(AE81*(1+'Adaos RESELLER'!$C$111),2)</f>
        <v>5.94</v>
      </c>
      <c r="AO81" s="408">
        <f>ROUND(AF81*(1+'Adaos RESELLER'!$C$111),2)</f>
        <v>5.94</v>
      </c>
      <c r="AP81" s="408">
        <f>ROUND(AG81*(1+'Adaos RESELLER'!$C$111),2)</f>
        <v>5.94</v>
      </c>
      <c r="AQ81" s="408">
        <f>ROUND(AH81*(1+'Adaos RESELLER'!$C$111),2)</f>
        <v>5.94</v>
      </c>
      <c r="AR81" s="408">
        <f>ROUND(AI81*(1+'Adaos RESELLER'!$C$111),2)</f>
        <v>6.39</v>
      </c>
      <c r="AS81" s="408">
        <f>ROUND(AJ81*(1+'Adaos RESELLER'!$C$111),2)</f>
        <v>6.39</v>
      </c>
      <c r="AT81" s="408">
        <f>ROUND(AK81*(1+'Adaos RESELLER'!$C$111),2)</f>
        <v>6.39</v>
      </c>
      <c r="AU81" s="408">
        <f>ROUND(AL81*(1+'Adaos RESELLER'!$C$111),2)</f>
        <v>8.8699999999999992</v>
      </c>
      <c r="AV81" s="408">
        <f>ROUND(AM81*(1+'Adaos RESELLER'!$C$111),2)</f>
        <v>7.83</v>
      </c>
    </row>
    <row r="82" spans="1:48" s="146" customFormat="1" ht="15.6">
      <c r="A82" s="349" t="str">
        <f>Lang!A42</f>
        <v>Opritor zapada</v>
      </c>
      <c r="C82" s="408">
        <f>IF(Select!$B$232=2,M82,IF(Select!$B$232=3,N82,IF(Select!$B$232=4,O82,IF(Select!$B$232=5,P82,IF(Select!$B$232=6,Q82,IF(Select!$B$232=7,R82,IF(Select!$B$232=8,S82,IF(Select!$B$232=9,T82,IF(Select!$B$232=10,U82,0)))))))))</f>
        <v>0</v>
      </c>
      <c r="D82" s="356">
        <v>0.68</v>
      </c>
      <c r="E82" s="356">
        <v>0.68</v>
      </c>
      <c r="F82" s="356">
        <v>0.68</v>
      </c>
      <c r="G82" s="356">
        <v>0.68</v>
      </c>
      <c r="H82" s="356">
        <v>0.81</v>
      </c>
      <c r="I82" s="356">
        <v>0.81</v>
      </c>
      <c r="J82" s="356">
        <v>0.81</v>
      </c>
      <c r="K82" s="356">
        <v>1.58</v>
      </c>
      <c r="L82" s="356">
        <v>1.3913337438000002</v>
      </c>
      <c r="M82" s="148">
        <f>IF(Select!$E$23=1,V82,IF(Select!$E$23=2,AE82,IF(Select!$E$23=3,AN82)))</f>
        <v>0.5</v>
      </c>
      <c r="N82" s="148">
        <f>IF(Select!$E$23=1,W82,IF(Select!$E$23=2,AF82,IF(Select!$E$23=3,AO82)))</f>
        <v>0.5</v>
      </c>
      <c r="O82" s="148">
        <f>IF(Select!$E$23=1,X82,IF(Select!$E$23=2,AG82,IF(Select!$E$23=3,AP82)))</f>
        <v>0.5</v>
      </c>
      <c r="P82" s="148">
        <f>IF(Select!$E$23=1,Y82,IF(Select!$E$23=2,AH82,IF(Select!$E$23=3,AQ82)))</f>
        <v>0.5</v>
      </c>
      <c r="Q82" s="148">
        <f>IF(Select!$E$23=1,Z82,IF(Select!$E$23=2,AI82,IF(Select!$E$23=3,AR82)))</f>
        <v>0.6</v>
      </c>
      <c r="R82" s="148">
        <f>IF(Select!$E$23=1,AA82,IF(Select!$E$23=2,AJ82,IF(Select!$E$23=3,AS82)))</f>
        <v>0.6</v>
      </c>
      <c r="S82" s="148">
        <f>IF(Select!$E$23=1,AB82,IF(Select!$E$23=2,AK82,IF(Select!$E$23=3,AT82)))</f>
        <v>0.6</v>
      </c>
      <c r="T82" s="148">
        <f>IF(Select!$E$23=1,AC82,IF(Select!$E$23=2,AL82,IF(Select!$E$23=3,AU82)))</f>
        <v>1.17</v>
      </c>
      <c r="U82" s="148">
        <f>IF(Select!$E$23=1,AD82,IF(Select!$E$23=2,AM82,IF(Select!$E$23=3,AV82)))</f>
        <v>1.03</v>
      </c>
      <c r="V82" s="408">
        <f>ROUND(D82*(1-'Disc Dep'!$C$111),2)</f>
        <v>0.5</v>
      </c>
      <c r="W82" s="408">
        <f>ROUND(E82*(1-'Disc Dep'!$C$111),2)</f>
        <v>0.5</v>
      </c>
      <c r="X82" s="408">
        <f>ROUND(F82*(1-'Disc Dep'!$C$111),2)</f>
        <v>0.5</v>
      </c>
      <c r="Y82" s="408">
        <f>ROUND(G82*(1-'Disc Dep'!$C$111),2)</f>
        <v>0.5</v>
      </c>
      <c r="Z82" s="408">
        <f>ROUND(H82*(1-'Disc Dep'!$C$111),2)</f>
        <v>0.6</v>
      </c>
      <c r="AA82" s="408">
        <f>ROUND(I82*(1-'Disc Dep'!$C$111),2)</f>
        <v>0.6</v>
      </c>
      <c r="AB82" s="408">
        <f>ROUND(J82*(1-'Disc Dep'!$C$111),2)</f>
        <v>0.6</v>
      </c>
      <c r="AC82" s="408">
        <f>ROUND(K82*(1-'Disc Dep'!$C$111),2)</f>
        <v>1.17</v>
      </c>
      <c r="AD82" s="408">
        <f>ROUND(L82*(1-'Disc Dep'!$C$111),2)</f>
        <v>1.03</v>
      </c>
      <c r="AE82" s="408">
        <f>ROUND(V82*(1+'Adaos Distr'!$C$111),2)</f>
        <v>0.5</v>
      </c>
      <c r="AF82" s="408">
        <f>ROUND(W82*(1+'Adaos Distr'!$C$111),2)</f>
        <v>0.5</v>
      </c>
      <c r="AG82" s="408">
        <f>ROUND(X82*(1+'Adaos Distr'!$C$111),2)</f>
        <v>0.5</v>
      </c>
      <c r="AH82" s="408">
        <f>ROUND(Y82*(1+'Adaos Distr'!$C$111),2)</f>
        <v>0.5</v>
      </c>
      <c r="AI82" s="408">
        <f>ROUND(Z82*(1+'Adaos Distr'!$C$111),2)</f>
        <v>0.6</v>
      </c>
      <c r="AJ82" s="408">
        <f>ROUND(AA82*(1+'Adaos Distr'!$C$111),2)</f>
        <v>0.6</v>
      </c>
      <c r="AK82" s="408">
        <f>ROUND(AB82*(1+'Adaos Distr'!$C$111),2)</f>
        <v>0.6</v>
      </c>
      <c r="AL82" s="408">
        <f>ROUND(AC82*(1+'Adaos Distr'!$C$111),2)</f>
        <v>1.17</v>
      </c>
      <c r="AM82" s="408">
        <f>ROUND(AD82*(1+'Adaos Distr'!$C$111),2)</f>
        <v>1.03</v>
      </c>
      <c r="AN82" s="408">
        <f>ROUND(AE82*(1+'Adaos RESELLER'!$C$111),2)</f>
        <v>0.5</v>
      </c>
      <c r="AO82" s="408">
        <f>ROUND(AF82*(1+'Adaos RESELLER'!$C$111),2)</f>
        <v>0.5</v>
      </c>
      <c r="AP82" s="408">
        <f>ROUND(AG82*(1+'Adaos RESELLER'!$C$111),2)</f>
        <v>0.5</v>
      </c>
      <c r="AQ82" s="408">
        <f>ROUND(AH82*(1+'Adaos RESELLER'!$C$111),2)</f>
        <v>0.5</v>
      </c>
      <c r="AR82" s="408">
        <f>ROUND(AI82*(1+'Adaos RESELLER'!$C$111),2)</f>
        <v>0.6</v>
      </c>
      <c r="AS82" s="408">
        <f>ROUND(AJ82*(1+'Adaos RESELLER'!$C$111),2)</f>
        <v>0.6</v>
      </c>
      <c r="AT82" s="408">
        <f>ROUND(AK82*(1+'Adaos RESELLER'!$C$111),2)</f>
        <v>0.6</v>
      </c>
      <c r="AU82" s="408">
        <f>ROUND(AL82*(1+'Adaos RESELLER'!$C$111),2)</f>
        <v>1.17</v>
      </c>
      <c r="AV82" s="408">
        <f>ROUND(AM82*(1+'Adaos RESELLER'!$C$111),2)</f>
        <v>1.03</v>
      </c>
    </row>
    <row r="83" spans="1:48" s="146" customFormat="1" ht="15.6">
      <c r="A83" s="349" t="str">
        <f>Lang!A43</f>
        <v>Pazie tip 1 PAZ 1</v>
      </c>
      <c r="C83" s="408">
        <f>IF(Select!$B$232=2,M83,IF(Select!$B$232=3,N83,IF(Select!$B$232=4,O83,IF(Select!$B$232=5,P83,IF(Select!$B$232=6,Q83,IF(Select!$B$232=7,R83,IF(Select!$B$232=8,S83,IF(Select!$B$232=9,T83,IF(Select!$B$232=10,U83,0)))))))))</f>
        <v>0</v>
      </c>
      <c r="D83" s="356">
        <v>4.97</v>
      </c>
      <c r="E83" s="356">
        <v>4.97</v>
      </c>
      <c r="F83" s="356">
        <v>6.03</v>
      </c>
      <c r="G83" s="356">
        <v>6.41</v>
      </c>
      <c r="H83" s="356">
        <v>6.03</v>
      </c>
      <c r="I83" s="356">
        <v>6.23</v>
      </c>
      <c r="J83" s="356">
        <v>6.48</v>
      </c>
      <c r="K83" s="356">
        <v>8.99</v>
      </c>
      <c r="L83" s="356">
        <v>7.9339911580617191</v>
      </c>
      <c r="M83" s="148">
        <f>IF(Select!$E$23=1,V83,IF(Select!$E$23=2,AE83,IF(Select!$E$23=3,AN83)))</f>
        <v>3.68</v>
      </c>
      <c r="N83" s="148">
        <f>IF(Select!$E$23=1,W83,IF(Select!$E$23=2,AF83,IF(Select!$E$23=3,AO83)))</f>
        <v>3.68</v>
      </c>
      <c r="O83" s="148">
        <f>IF(Select!$E$23=1,X83,IF(Select!$E$23=2,AG83,IF(Select!$E$23=3,AP83)))</f>
        <v>4.46</v>
      </c>
      <c r="P83" s="148">
        <f>IF(Select!$E$23=1,Y83,IF(Select!$E$23=2,AH83,IF(Select!$E$23=3,AQ83)))</f>
        <v>4.74</v>
      </c>
      <c r="Q83" s="148">
        <f>IF(Select!$E$23=1,Z83,IF(Select!$E$23=2,AI83,IF(Select!$E$23=3,AR83)))</f>
        <v>4.46</v>
      </c>
      <c r="R83" s="148">
        <f>IF(Select!$E$23=1,AA83,IF(Select!$E$23=2,AJ83,IF(Select!$E$23=3,AS83)))</f>
        <v>4.6100000000000003</v>
      </c>
      <c r="S83" s="148">
        <f>IF(Select!$E$23=1,AB83,IF(Select!$E$23=2,AK83,IF(Select!$E$23=3,AT83)))</f>
        <v>4.8</v>
      </c>
      <c r="T83" s="148">
        <f>IF(Select!$E$23=1,AC83,IF(Select!$E$23=2,AL83,IF(Select!$E$23=3,AU83)))</f>
        <v>6.65</v>
      </c>
      <c r="U83" s="148">
        <f>IF(Select!$E$23=1,AD83,IF(Select!$E$23=2,AM83,IF(Select!$E$23=3,AV83)))</f>
        <v>5.87</v>
      </c>
      <c r="V83" s="408">
        <f>ROUND(D83*(1-'Disc Dep'!$C$111),2)</f>
        <v>3.68</v>
      </c>
      <c r="W83" s="408">
        <f>ROUND(E83*(1-'Disc Dep'!$C$111),2)</f>
        <v>3.68</v>
      </c>
      <c r="X83" s="408">
        <f>ROUND(F83*(1-'Disc Dep'!$C$111),2)</f>
        <v>4.46</v>
      </c>
      <c r="Y83" s="408">
        <f>ROUND(G83*(1-'Disc Dep'!$C$111),2)</f>
        <v>4.74</v>
      </c>
      <c r="Z83" s="408">
        <f>ROUND(H83*(1-'Disc Dep'!$C$111),2)</f>
        <v>4.46</v>
      </c>
      <c r="AA83" s="408">
        <f>ROUND(I83*(1-'Disc Dep'!$C$111),2)</f>
        <v>4.6100000000000003</v>
      </c>
      <c r="AB83" s="408">
        <f>ROUND(J83*(1-'Disc Dep'!$C$111),2)</f>
        <v>4.8</v>
      </c>
      <c r="AC83" s="408">
        <f>ROUND(K83*(1-'Disc Dep'!$C$111),2)</f>
        <v>6.65</v>
      </c>
      <c r="AD83" s="408">
        <f>ROUND(L83*(1-'Disc Dep'!$C$111),2)</f>
        <v>5.87</v>
      </c>
      <c r="AE83" s="408">
        <f>ROUND(V83*(1+'Adaos Distr'!$C$111),2)</f>
        <v>3.68</v>
      </c>
      <c r="AF83" s="408">
        <f>ROUND(W83*(1+'Adaos Distr'!$C$111),2)</f>
        <v>3.68</v>
      </c>
      <c r="AG83" s="408">
        <f>ROUND(X83*(1+'Adaos Distr'!$C$111),2)</f>
        <v>4.46</v>
      </c>
      <c r="AH83" s="408">
        <f>ROUND(Y83*(1+'Adaos Distr'!$C$111),2)</f>
        <v>4.74</v>
      </c>
      <c r="AI83" s="408">
        <f>ROUND(Z83*(1+'Adaos Distr'!$C$111),2)</f>
        <v>4.46</v>
      </c>
      <c r="AJ83" s="408">
        <f>ROUND(AA83*(1+'Adaos Distr'!$C$111),2)</f>
        <v>4.6100000000000003</v>
      </c>
      <c r="AK83" s="408">
        <f>ROUND(AB83*(1+'Adaos Distr'!$C$111),2)</f>
        <v>4.8</v>
      </c>
      <c r="AL83" s="408">
        <f>ROUND(AC83*(1+'Adaos Distr'!$C$111),2)</f>
        <v>6.65</v>
      </c>
      <c r="AM83" s="408">
        <f>ROUND(AD83*(1+'Adaos Distr'!$C$111),2)</f>
        <v>5.87</v>
      </c>
      <c r="AN83" s="408">
        <f>ROUND(AE83*(1+'Adaos RESELLER'!$C$111),2)</f>
        <v>3.68</v>
      </c>
      <c r="AO83" s="408">
        <f>ROUND(AF83*(1+'Adaos RESELLER'!$C$111),2)</f>
        <v>3.68</v>
      </c>
      <c r="AP83" s="408">
        <f>ROUND(AG83*(1+'Adaos RESELLER'!$C$111),2)</f>
        <v>4.46</v>
      </c>
      <c r="AQ83" s="408">
        <f>ROUND(AH83*(1+'Adaos RESELLER'!$C$111),2)</f>
        <v>4.74</v>
      </c>
      <c r="AR83" s="408">
        <f>ROUND(AI83*(1+'Adaos RESELLER'!$C$111),2)</f>
        <v>4.46</v>
      </c>
      <c r="AS83" s="408">
        <f>ROUND(AJ83*(1+'Adaos RESELLER'!$C$111),2)</f>
        <v>4.6100000000000003</v>
      </c>
      <c r="AT83" s="408">
        <f>ROUND(AK83*(1+'Adaos RESELLER'!$C$111),2)</f>
        <v>4.8</v>
      </c>
      <c r="AU83" s="408">
        <f>ROUND(AL83*(1+'Adaos RESELLER'!$C$111),2)</f>
        <v>6.65</v>
      </c>
      <c r="AV83" s="408">
        <f>ROUND(AM83*(1+'Adaos RESELLER'!$C$111),2)</f>
        <v>5.87</v>
      </c>
    </row>
    <row r="84" spans="1:48" s="146" customFormat="1" ht="15.6">
      <c r="A84" s="349" t="str">
        <f>Lang!A44</f>
        <v>Pazie streasina PAZS</v>
      </c>
      <c r="C84" s="408">
        <f>IF(Select!$B$232=2,M84,IF(Select!$B$232=3,N84,IF(Select!$B$232=4,O84,IF(Select!$B$232=5,P84,IF(Select!$B$232=6,Q84,IF(Select!$B$232=7,R84,IF(Select!$B$232=8,S84,IF(Select!$B$232=9,T84,IF(Select!$B$232=10,U84,0)))))))))</f>
        <v>0</v>
      </c>
      <c r="D84" s="356">
        <v>2.54</v>
      </c>
      <c r="E84" s="356">
        <v>2.54</v>
      </c>
      <c r="F84" s="356">
        <v>3.02</v>
      </c>
      <c r="G84" s="356">
        <v>3.2</v>
      </c>
      <c r="H84" s="356">
        <v>3.01</v>
      </c>
      <c r="I84" s="356">
        <v>3.11</v>
      </c>
      <c r="J84" s="356">
        <v>3.24</v>
      </c>
      <c r="K84" s="356">
        <v>4.49</v>
      </c>
      <c r="L84" s="356">
        <v>3.9669955790308595</v>
      </c>
      <c r="M84" s="148">
        <f>IF(Select!$E$23=1,V84,IF(Select!$E$23=2,AE84,IF(Select!$E$23=3,AN84)))</f>
        <v>1.88</v>
      </c>
      <c r="N84" s="148">
        <f>IF(Select!$E$23=1,W84,IF(Select!$E$23=2,AF84,IF(Select!$E$23=3,AO84)))</f>
        <v>1.88</v>
      </c>
      <c r="O84" s="148">
        <f>IF(Select!$E$23=1,X84,IF(Select!$E$23=2,AG84,IF(Select!$E$23=3,AP84)))</f>
        <v>2.23</v>
      </c>
      <c r="P84" s="148">
        <f>IF(Select!$E$23=1,Y84,IF(Select!$E$23=2,AH84,IF(Select!$E$23=3,AQ84)))</f>
        <v>2.37</v>
      </c>
      <c r="Q84" s="148">
        <f>IF(Select!$E$23=1,Z84,IF(Select!$E$23=2,AI84,IF(Select!$E$23=3,AR84)))</f>
        <v>2.23</v>
      </c>
      <c r="R84" s="148">
        <f>IF(Select!$E$23=1,AA84,IF(Select!$E$23=2,AJ84,IF(Select!$E$23=3,AS84)))</f>
        <v>2.2999999999999998</v>
      </c>
      <c r="S84" s="148">
        <f>IF(Select!$E$23=1,AB84,IF(Select!$E$23=2,AK84,IF(Select!$E$23=3,AT84)))</f>
        <v>2.4</v>
      </c>
      <c r="T84" s="148">
        <f>IF(Select!$E$23=1,AC84,IF(Select!$E$23=2,AL84,IF(Select!$E$23=3,AU84)))</f>
        <v>3.32</v>
      </c>
      <c r="U84" s="148">
        <f>IF(Select!$E$23=1,AD84,IF(Select!$E$23=2,AM84,IF(Select!$E$23=3,AV84)))</f>
        <v>2.94</v>
      </c>
      <c r="V84" s="408">
        <f>ROUND(D84*(1-'Disc Dep'!$C$111),2)</f>
        <v>1.88</v>
      </c>
      <c r="W84" s="408">
        <f>ROUND(E84*(1-'Disc Dep'!$C$111),2)</f>
        <v>1.88</v>
      </c>
      <c r="X84" s="408">
        <f>ROUND(F84*(1-'Disc Dep'!$C$111),2)</f>
        <v>2.23</v>
      </c>
      <c r="Y84" s="408">
        <f>ROUND(G84*(1-'Disc Dep'!$C$111),2)</f>
        <v>2.37</v>
      </c>
      <c r="Z84" s="408">
        <f>ROUND(H84*(1-'Disc Dep'!$C$111),2)</f>
        <v>2.23</v>
      </c>
      <c r="AA84" s="408">
        <f>ROUND(I84*(1-'Disc Dep'!$C$111),2)</f>
        <v>2.2999999999999998</v>
      </c>
      <c r="AB84" s="408">
        <f>ROUND(J84*(1-'Disc Dep'!$C$111),2)</f>
        <v>2.4</v>
      </c>
      <c r="AC84" s="408">
        <f>ROUND(K84*(1-'Disc Dep'!$C$111),2)</f>
        <v>3.32</v>
      </c>
      <c r="AD84" s="408">
        <f>ROUND(L84*(1-'Disc Dep'!$C$111),2)</f>
        <v>2.94</v>
      </c>
      <c r="AE84" s="408">
        <f>ROUND(V84*(1+'Adaos Distr'!$C$111),2)</f>
        <v>1.88</v>
      </c>
      <c r="AF84" s="408">
        <f>ROUND(W84*(1+'Adaos Distr'!$C$111),2)</f>
        <v>1.88</v>
      </c>
      <c r="AG84" s="408">
        <f>ROUND(X84*(1+'Adaos Distr'!$C$111),2)</f>
        <v>2.23</v>
      </c>
      <c r="AH84" s="408">
        <f>ROUND(Y84*(1+'Adaos Distr'!$C$111),2)</f>
        <v>2.37</v>
      </c>
      <c r="AI84" s="408">
        <f>ROUND(Z84*(1+'Adaos Distr'!$C$111),2)</f>
        <v>2.23</v>
      </c>
      <c r="AJ84" s="408">
        <f>ROUND(AA84*(1+'Adaos Distr'!$C$111),2)</f>
        <v>2.2999999999999998</v>
      </c>
      <c r="AK84" s="408">
        <f>ROUND(AB84*(1+'Adaos Distr'!$C$111),2)</f>
        <v>2.4</v>
      </c>
      <c r="AL84" s="408">
        <f>ROUND(AC84*(1+'Adaos Distr'!$C$111),2)</f>
        <v>3.32</v>
      </c>
      <c r="AM84" s="408">
        <f>ROUND(AD84*(1+'Adaos Distr'!$C$111),2)</f>
        <v>2.94</v>
      </c>
      <c r="AN84" s="408">
        <f>ROUND(AE84*(1+'Adaos RESELLER'!$C$111),2)</f>
        <v>1.88</v>
      </c>
      <c r="AO84" s="408">
        <f>ROUND(AF84*(1+'Adaos RESELLER'!$C$111),2)</f>
        <v>1.88</v>
      </c>
      <c r="AP84" s="408">
        <f>ROUND(AG84*(1+'Adaos RESELLER'!$C$111),2)</f>
        <v>2.23</v>
      </c>
      <c r="AQ84" s="408">
        <f>ROUND(AH84*(1+'Adaos RESELLER'!$C$111),2)</f>
        <v>2.37</v>
      </c>
      <c r="AR84" s="408">
        <f>ROUND(AI84*(1+'Adaos RESELLER'!$C$111),2)</f>
        <v>2.23</v>
      </c>
      <c r="AS84" s="408">
        <f>ROUND(AJ84*(1+'Adaos RESELLER'!$C$111),2)</f>
        <v>2.2999999999999998</v>
      </c>
      <c r="AT84" s="408">
        <f>ROUND(AK84*(1+'Adaos RESELLER'!$C$111),2)</f>
        <v>2.4</v>
      </c>
      <c r="AU84" s="408">
        <f>ROUND(AL84*(1+'Adaos RESELLER'!$C$111),2)</f>
        <v>3.32</v>
      </c>
      <c r="AV84" s="408">
        <f>ROUND(AM84*(1+'Adaos RESELLER'!$C$111),2)</f>
        <v>2.94</v>
      </c>
    </row>
    <row r="85" spans="1:48" s="146" customFormat="1" ht="15.6">
      <c r="A85" s="349" t="str">
        <f>Lang!A45</f>
        <v>Parazapada Ranforsata PRZS</v>
      </c>
      <c r="C85" s="408">
        <f>IF(Select!$B$232=2,M85,IF(Select!$B$232=3,N85,IF(Select!$B$232=4,O85,IF(Select!$B$232=5,P85,IF(Select!$B$232=6,Q85,IF(Select!$B$232=7,R85,IF(Select!$B$232=8,S85,IF(Select!$B$232=9,T85,IF(Select!$B$232=10,U85,0)))))))))</f>
        <v>0</v>
      </c>
      <c r="D85" s="356">
        <v>4.82</v>
      </c>
      <c r="E85" s="356">
        <v>4.82</v>
      </c>
      <c r="F85" s="356">
        <v>4.82</v>
      </c>
      <c r="G85" s="356">
        <v>4.82</v>
      </c>
      <c r="H85" s="356">
        <v>5.18</v>
      </c>
      <c r="I85" s="356">
        <v>5.18</v>
      </c>
      <c r="J85" s="356">
        <v>5.18</v>
      </c>
      <c r="K85" s="356">
        <v>7.19</v>
      </c>
      <c r="L85" s="356">
        <v>6.3471929264493765</v>
      </c>
      <c r="M85" s="148">
        <f>IF(Select!$E$23=1,V85,IF(Select!$E$23=2,AE85,IF(Select!$E$23=3,AN85)))</f>
        <v>3.57</v>
      </c>
      <c r="N85" s="148">
        <f>IF(Select!$E$23=1,W85,IF(Select!$E$23=2,AF85,IF(Select!$E$23=3,AO85)))</f>
        <v>3.57</v>
      </c>
      <c r="O85" s="148">
        <f>IF(Select!$E$23=1,X85,IF(Select!$E$23=2,AG85,IF(Select!$E$23=3,AP85)))</f>
        <v>3.57</v>
      </c>
      <c r="P85" s="148">
        <f>IF(Select!$E$23=1,Y85,IF(Select!$E$23=2,AH85,IF(Select!$E$23=3,AQ85)))</f>
        <v>3.57</v>
      </c>
      <c r="Q85" s="148">
        <f>IF(Select!$E$23=1,Z85,IF(Select!$E$23=2,AI85,IF(Select!$E$23=3,AR85)))</f>
        <v>3.83</v>
      </c>
      <c r="R85" s="148">
        <f>IF(Select!$E$23=1,AA85,IF(Select!$E$23=2,AJ85,IF(Select!$E$23=3,AS85)))</f>
        <v>3.83</v>
      </c>
      <c r="S85" s="148">
        <f>IF(Select!$E$23=1,AB85,IF(Select!$E$23=2,AK85,IF(Select!$E$23=3,AT85)))</f>
        <v>3.83</v>
      </c>
      <c r="T85" s="148">
        <f>IF(Select!$E$23=1,AC85,IF(Select!$E$23=2,AL85,IF(Select!$E$23=3,AU85)))</f>
        <v>5.32</v>
      </c>
      <c r="U85" s="148">
        <f>IF(Select!$E$23=1,AD85,IF(Select!$E$23=2,AM85,IF(Select!$E$23=3,AV85)))</f>
        <v>4.7</v>
      </c>
      <c r="V85" s="408">
        <f>ROUND(D85*(1-'Disc Dep'!$C$111),2)</f>
        <v>3.57</v>
      </c>
      <c r="W85" s="408">
        <f>ROUND(E85*(1-'Disc Dep'!$C$111),2)</f>
        <v>3.57</v>
      </c>
      <c r="X85" s="408">
        <f>ROUND(F85*(1-'Disc Dep'!$C$111),2)</f>
        <v>3.57</v>
      </c>
      <c r="Y85" s="408">
        <f>ROUND(G85*(1-'Disc Dep'!$C$111),2)</f>
        <v>3.57</v>
      </c>
      <c r="Z85" s="408">
        <f>ROUND(H85*(1-'Disc Dep'!$C$111),2)</f>
        <v>3.83</v>
      </c>
      <c r="AA85" s="408">
        <f>ROUND(I85*(1-'Disc Dep'!$C$111),2)</f>
        <v>3.83</v>
      </c>
      <c r="AB85" s="408">
        <f>ROUND(J85*(1-'Disc Dep'!$C$111),2)</f>
        <v>3.83</v>
      </c>
      <c r="AC85" s="408">
        <f>ROUND(K85*(1-'Disc Dep'!$C$111),2)</f>
        <v>5.32</v>
      </c>
      <c r="AD85" s="408">
        <f>ROUND(L85*(1-'Disc Dep'!$C$111),2)</f>
        <v>4.7</v>
      </c>
      <c r="AE85" s="408">
        <f>ROUND(V85*(1+'Adaos Distr'!$C$111),2)</f>
        <v>3.57</v>
      </c>
      <c r="AF85" s="408">
        <f>ROUND(W85*(1+'Adaos Distr'!$C$111),2)</f>
        <v>3.57</v>
      </c>
      <c r="AG85" s="408">
        <f>ROUND(X85*(1+'Adaos Distr'!$C$111),2)</f>
        <v>3.57</v>
      </c>
      <c r="AH85" s="408">
        <f>ROUND(Y85*(1+'Adaos Distr'!$C$111),2)</f>
        <v>3.57</v>
      </c>
      <c r="AI85" s="408">
        <f>ROUND(Z85*(1+'Adaos Distr'!$C$111),2)</f>
        <v>3.83</v>
      </c>
      <c r="AJ85" s="408">
        <f>ROUND(AA85*(1+'Adaos Distr'!$C$111),2)</f>
        <v>3.83</v>
      </c>
      <c r="AK85" s="408">
        <f>ROUND(AB85*(1+'Adaos Distr'!$C$111),2)</f>
        <v>3.83</v>
      </c>
      <c r="AL85" s="408">
        <f>ROUND(AC85*(1+'Adaos Distr'!$C$111),2)</f>
        <v>5.32</v>
      </c>
      <c r="AM85" s="408">
        <f>ROUND(AD85*(1+'Adaos Distr'!$C$111),2)</f>
        <v>4.7</v>
      </c>
      <c r="AN85" s="408">
        <f>ROUND(AE85*(1+'Adaos RESELLER'!$C$111),2)</f>
        <v>3.57</v>
      </c>
      <c r="AO85" s="408">
        <f>ROUND(AF85*(1+'Adaos RESELLER'!$C$111),2)</f>
        <v>3.57</v>
      </c>
      <c r="AP85" s="408">
        <f>ROUND(AG85*(1+'Adaos RESELLER'!$C$111),2)</f>
        <v>3.57</v>
      </c>
      <c r="AQ85" s="408">
        <f>ROUND(AH85*(1+'Adaos RESELLER'!$C$111),2)</f>
        <v>3.57</v>
      </c>
      <c r="AR85" s="408">
        <f>ROUND(AI85*(1+'Adaos RESELLER'!$C$111),2)</f>
        <v>3.83</v>
      </c>
      <c r="AS85" s="408">
        <f>ROUND(AJ85*(1+'Adaos RESELLER'!$C$111),2)</f>
        <v>3.83</v>
      </c>
      <c r="AT85" s="408">
        <f>ROUND(AK85*(1+'Adaos RESELLER'!$C$111),2)</f>
        <v>3.83</v>
      </c>
      <c r="AU85" s="408">
        <f>ROUND(AL85*(1+'Adaos RESELLER'!$C$111),2)</f>
        <v>5.32</v>
      </c>
      <c r="AV85" s="408">
        <f>ROUND(AM85*(1+'Adaos RESELLER'!$C$111),2)</f>
        <v>4.7</v>
      </c>
    </row>
    <row r="86" spans="1:48" s="146" customFormat="1" ht="15.6">
      <c r="A86" s="349" t="str">
        <f>Lang!A46</f>
        <v>Rupere panta interior</v>
      </c>
      <c r="C86" s="408">
        <f>IF(Select!$B$232=2,M86,IF(Select!$B$232=3,N86,IF(Select!$B$232=4,O86,IF(Select!$B$232=5,P86,IF(Select!$B$232=6,Q86,IF(Select!$B$232=7,R86,IF(Select!$B$232=8,S86,IF(Select!$B$232=9,T86,IF(Select!$B$232=10,U86,0)))))))))</f>
        <v>0</v>
      </c>
      <c r="D86" s="356">
        <v>4.97</v>
      </c>
      <c r="E86" s="356">
        <v>4.97</v>
      </c>
      <c r="F86" s="356">
        <v>6.03</v>
      </c>
      <c r="G86" s="356">
        <v>6.41</v>
      </c>
      <c r="H86" s="356">
        <v>6.03</v>
      </c>
      <c r="I86" s="356">
        <v>6.23</v>
      </c>
      <c r="J86" s="356">
        <v>6.48</v>
      </c>
      <c r="K86" s="356">
        <v>8.99</v>
      </c>
      <c r="L86" s="356">
        <v>7.9339911580617191</v>
      </c>
      <c r="M86" s="148">
        <f>IF(Select!$E$23=1,V86,IF(Select!$E$23=2,AE86,IF(Select!$E$23=3,AN86)))</f>
        <v>3.68</v>
      </c>
      <c r="N86" s="148">
        <f>IF(Select!$E$23=1,W86,IF(Select!$E$23=2,AF86,IF(Select!$E$23=3,AO86)))</f>
        <v>3.68</v>
      </c>
      <c r="O86" s="148">
        <f>IF(Select!$E$23=1,X86,IF(Select!$E$23=2,AG86,IF(Select!$E$23=3,AP86)))</f>
        <v>4.46</v>
      </c>
      <c r="P86" s="148">
        <f>IF(Select!$E$23=1,Y86,IF(Select!$E$23=2,AH86,IF(Select!$E$23=3,AQ86)))</f>
        <v>4.74</v>
      </c>
      <c r="Q86" s="148">
        <f>IF(Select!$E$23=1,Z86,IF(Select!$E$23=2,AI86,IF(Select!$E$23=3,AR86)))</f>
        <v>4.46</v>
      </c>
      <c r="R86" s="148">
        <f>IF(Select!$E$23=1,AA86,IF(Select!$E$23=2,AJ86,IF(Select!$E$23=3,AS86)))</f>
        <v>4.6100000000000003</v>
      </c>
      <c r="S86" s="148">
        <f>IF(Select!$E$23=1,AB86,IF(Select!$E$23=2,AK86,IF(Select!$E$23=3,AT86)))</f>
        <v>4.8</v>
      </c>
      <c r="T86" s="148">
        <f>IF(Select!$E$23=1,AC86,IF(Select!$E$23=2,AL86,IF(Select!$E$23=3,AU86)))</f>
        <v>6.65</v>
      </c>
      <c r="U86" s="148">
        <f>IF(Select!$E$23=1,AD86,IF(Select!$E$23=2,AM86,IF(Select!$E$23=3,AV86)))</f>
        <v>5.87</v>
      </c>
      <c r="V86" s="408">
        <f>ROUND(D86*(1-'Disc Dep'!$C$111),2)</f>
        <v>3.68</v>
      </c>
      <c r="W86" s="408">
        <f>ROUND(E86*(1-'Disc Dep'!$C$111),2)</f>
        <v>3.68</v>
      </c>
      <c r="X86" s="408">
        <f>ROUND(F86*(1-'Disc Dep'!$C$111),2)</f>
        <v>4.46</v>
      </c>
      <c r="Y86" s="408">
        <f>ROUND(G86*(1-'Disc Dep'!$C$111),2)</f>
        <v>4.74</v>
      </c>
      <c r="Z86" s="408">
        <f>ROUND(H86*(1-'Disc Dep'!$C$111),2)</f>
        <v>4.46</v>
      </c>
      <c r="AA86" s="408">
        <f>ROUND(I86*(1-'Disc Dep'!$C$111),2)</f>
        <v>4.6100000000000003</v>
      </c>
      <c r="AB86" s="408">
        <f>ROUND(J86*(1-'Disc Dep'!$C$111),2)</f>
        <v>4.8</v>
      </c>
      <c r="AC86" s="408">
        <f>ROUND(K86*(1-'Disc Dep'!$C$111),2)</f>
        <v>6.65</v>
      </c>
      <c r="AD86" s="408">
        <f>ROUND(L86*(1-'Disc Dep'!$C$111),2)</f>
        <v>5.87</v>
      </c>
      <c r="AE86" s="408">
        <f>ROUND(V86*(1+'Adaos Distr'!$C$111),2)</f>
        <v>3.68</v>
      </c>
      <c r="AF86" s="408">
        <f>ROUND(W86*(1+'Adaos Distr'!$C$111),2)</f>
        <v>3.68</v>
      </c>
      <c r="AG86" s="408">
        <f>ROUND(X86*(1+'Adaos Distr'!$C$111),2)</f>
        <v>4.46</v>
      </c>
      <c r="AH86" s="408">
        <f>ROUND(Y86*(1+'Adaos Distr'!$C$111),2)</f>
        <v>4.74</v>
      </c>
      <c r="AI86" s="408">
        <f>ROUND(Z86*(1+'Adaos Distr'!$C$111),2)</f>
        <v>4.46</v>
      </c>
      <c r="AJ86" s="408">
        <f>ROUND(AA86*(1+'Adaos Distr'!$C$111),2)</f>
        <v>4.6100000000000003</v>
      </c>
      <c r="AK86" s="408">
        <f>ROUND(AB86*(1+'Adaos Distr'!$C$111),2)</f>
        <v>4.8</v>
      </c>
      <c r="AL86" s="408">
        <f>ROUND(AC86*(1+'Adaos Distr'!$C$111),2)</f>
        <v>6.65</v>
      </c>
      <c r="AM86" s="408">
        <f>ROUND(AD86*(1+'Adaos Distr'!$C$111),2)</f>
        <v>5.87</v>
      </c>
      <c r="AN86" s="408">
        <f>ROUND(AE86*(1+'Adaos RESELLER'!$C$111),2)</f>
        <v>3.68</v>
      </c>
      <c r="AO86" s="408">
        <f>ROUND(AF86*(1+'Adaos RESELLER'!$C$111),2)</f>
        <v>3.68</v>
      </c>
      <c r="AP86" s="408">
        <f>ROUND(AG86*(1+'Adaos RESELLER'!$C$111),2)</f>
        <v>4.46</v>
      </c>
      <c r="AQ86" s="408">
        <f>ROUND(AH86*(1+'Adaos RESELLER'!$C$111),2)</f>
        <v>4.74</v>
      </c>
      <c r="AR86" s="408">
        <f>ROUND(AI86*(1+'Adaos RESELLER'!$C$111),2)</f>
        <v>4.46</v>
      </c>
      <c r="AS86" s="408">
        <f>ROUND(AJ86*(1+'Adaos RESELLER'!$C$111),2)</f>
        <v>4.6100000000000003</v>
      </c>
      <c r="AT86" s="408">
        <f>ROUND(AK86*(1+'Adaos RESELLER'!$C$111),2)</f>
        <v>4.8</v>
      </c>
      <c r="AU86" s="408">
        <f>ROUND(AL86*(1+'Adaos RESELLER'!$C$111),2)</f>
        <v>6.65</v>
      </c>
      <c r="AV86" s="408">
        <f>ROUND(AM86*(1+'Adaos RESELLER'!$C$111),2)</f>
        <v>5.87</v>
      </c>
    </row>
    <row r="87" spans="1:48" s="146" customFormat="1" ht="15.6">
      <c r="A87" s="349" t="str">
        <f>Lang!A47</f>
        <v>Sort rupere perete vertical SRV</v>
      </c>
      <c r="C87" s="408">
        <f>IF(Select!$B$232=2,M87,IF(Select!$B$232=3,N87,IF(Select!$B$232=4,O87,IF(Select!$B$232=5,P87,IF(Select!$B$232=6,Q87,IF(Select!$B$232=7,R87,IF(Select!$B$232=8,S87,IF(Select!$B$232=9,T87,IF(Select!$B$232=10,U87,0)))))))))</f>
        <v>0</v>
      </c>
      <c r="D87" s="356">
        <v>4.08</v>
      </c>
      <c r="E87" s="356">
        <v>4.08</v>
      </c>
      <c r="F87" s="356">
        <v>4.82</v>
      </c>
      <c r="G87" s="356">
        <v>5.13</v>
      </c>
      <c r="H87" s="356">
        <v>4.82</v>
      </c>
      <c r="I87" s="356">
        <v>4.9800000000000004</v>
      </c>
      <c r="J87" s="356">
        <v>5.18</v>
      </c>
      <c r="K87" s="356">
        <v>7.19</v>
      </c>
      <c r="L87" s="356">
        <v>6.3471929264493765</v>
      </c>
      <c r="M87" s="148">
        <f>IF(Select!$E$23=1,V87,IF(Select!$E$23=2,AE87,IF(Select!$E$23=3,AN87)))</f>
        <v>3.02</v>
      </c>
      <c r="N87" s="148">
        <f>IF(Select!$E$23=1,W87,IF(Select!$E$23=2,AF87,IF(Select!$E$23=3,AO87)))</f>
        <v>3.02</v>
      </c>
      <c r="O87" s="148">
        <f>IF(Select!$E$23=1,X87,IF(Select!$E$23=2,AG87,IF(Select!$E$23=3,AP87)))</f>
        <v>3.57</v>
      </c>
      <c r="P87" s="148">
        <f>IF(Select!$E$23=1,Y87,IF(Select!$E$23=2,AH87,IF(Select!$E$23=3,AQ87)))</f>
        <v>3.8</v>
      </c>
      <c r="Q87" s="148">
        <f>IF(Select!$E$23=1,Z87,IF(Select!$E$23=2,AI87,IF(Select!$E$23=3,AR87)))</f>
        <v>3.57</v>
      </c>
      <c r="R87" s="148">
        <f>IF(Select!$E$23=1,AA87,IF(Select!$E$23=2,AJ87,IF(Select!$E$23=3,AS87)))</f>
        <v>3.69</v>
      </c>
      <c r="S87" s="148">
        <f>IF(Select!$E$23=1,AB87,IF(Select!$E$23=2,AK87,IF(Select!$E$23=3,AT87)))</f>
        <v>3.83</v>
      </c>
      <c r="T87" s="148">
        <f>IF(Select!$E$23=1,AC87,IF(Select!$E$23=2,AL87,IF(Select!$E$23=3,AU87)))</f>
        <v>5.32</v>
      </c>
      <c r="U87" s="148">
        <f>IF(Select!$E$23=1,AD87,IF(Select!$E$23=2,AM87,IF(Select!$E$23=3,AV87)))</f>
        <v>4.7</v>
      </c>
      <c r="V87" s="408">
        <f>ROUND(D87*(1-'Disc Dep'!$C$111),2)</f>
        <v>3.02</v>
      </c>
      <c r="W87" s="408">
        <f>ROUND(E87*(1-'Disc Dep'!$C$111),2)</f>
        <v>3.02</v>
      </c>
      <c r="X87" s="408">
        <f>ROUND(F87*(1-'Disc Dep'!$C$111),2)</f>
        <v>3.57</v>
      </c>
      <c r="Y87" s="408">
        <f>ROUND(G87*(1-'Disc Dep'!$C$111),2)</f>
        <v>3.8</v>
      </c>
      <c r="Z87" s="408">
        <f>ROUND(H87*(1-'Disc Dep'!$C$111),2)</f>
        <v>3.57</v>
      </c>
      <c r="AA87" s="408">
        <f>ROUND(I87*(1-'Disc Dep'!$C$111),2)</f>
        <v>3.69</v>
      </c>
      <c r="AB87" s="408">
        <f>ROUND(J87*(1-'Disc Dep'!$C$111),2)</f>
        <v>3.83</v>
      </c>
      <c r="AC87" s="408">
        <f>ROUND(K87*(1-'Disc Dep'!$C$111),2)</f>
        <v>5.32</v>
      </c>
      <c r="AD87" s="408">
        <f>ROUND(L87*(1-'Disc Dep'!$C$111),2)</f>
        <v>4.7</v>
      </c>
      <c r="AE87" s="408">
        <f>ROUND(V87*(1+'Adaos Distr'!$C$111),2)</f>
        <v>3.02</v>
      </c>
      <c r="AF87" s="408">
        <f>ROUND(W87*(1+'Adaos Distr'!$C$111),2)</f>
        <v>3.02</v>
      </c>
      <c r="AG87" s="408">
        <f>ROUND(X87*(1+'Adaos Distr'!$C$111),2)</f>
        <v>3.57</v>
      </c>
      <c r="AH87" s="408">
        <f>ROUND(Y87*(1+'Adaos Distr'!$C$111),2)</f>
        <v>3.8</v>
      </c>
      <c r="AI87" s="408">
        <f>ROUND(Z87*(1+'Adaos Distr'!$C$111),2)</f>
        <v>3.57</v>
      </c>
      <c r="AJ87" s="408">
        <f>ROUND(AA87*(1+'Adaos Distr'!$C$111),2)</f>
        <v>3.69</v>
      </c>
      <c r="AK87" s="408">
        <f>ROUND(AB87*(1+'Adaos Distr'!$C$111),2)</f>
        <v>3.83</v>
      </c>
      <c r="AL87" s="408">
        <f>ROUND(AC87*(1+'Adaos Distr'!$C$111),2)</f>
        <v>5.32</v>
      </c>
      <c r="AM87" s="408">
        <f>ROUND(AD87*(1+'Adaos Distr'!$C$111),2)</f>
        <v>4.7</v>
      </c>
      <c r="AN87" s="408">
        <f>ROUND(AE87*(1+'Adaos RESELLER'!$C$111),2)</f>
        <v>3.02</v>
      </c>
      <c r="AO87" s="408">
        <f>ROUND(AF87*(1+'Adaos RESELLER'!$C$111),2)</f>
        <v>3.02</v>
      </c>
      <c r="AP87" s="408">
        <f>ROUND(AG87*(1+'Adaos RESELLER'!$C$111),2)</f>
        <v>3.57</v>
      </c>
      <c r="AQ87" s="408">
        <f>ROUND(AH87*(1+'Adaos RESELLER'!$C$111),2)</f>
        <v>3.8</v>
      </c>
      <c r="AR87" s="408">
        <f>ROUND(AI87*(1+'Adaos RESELLER'!$C$111),2)</f>
        <v>3.57</v>
      </c>
      <c r="AS87" s="408">
        <f>ROUND(AJ87*(1+'Adaos RESELLER'!$C$111),2)</f>
        <v>3.69</v>
      </c>
      <c r="AT87" s="408">
        <f>ROUND(AK87*(1+'Adaos RESELLER'!$C$111),2)</f>
        <v>3.83</v>
      </c>
      <c r="AU87" s="408">
        <f>ROUND(AL87*(1+'Adaos RESELLER'!$C$111),2)</f>
        <v>5.32</v>
      </c>
      <c r="AV87" s="408">
        <f>ROUND(AM87*(1+'Adaos RESELLER'!$C$111),2)</f>
        <v>4.7</v>
      </c>
    </row>
    <row r="88" spans="1:48" s="146" customFormat="1" ht="15.6">
      <c r="A88" s="349" t="str">
        <f>Lang!A48</f>
        <v>Sort streasina SO</v>
      </c>
      <c r="C88" s="408">
        <f>IF(Select!$B$232=2,M88,IF(Select!$B$232=3,N88,IF(Select!$B$232=4,O88,IF(Select!$B$232=5,P88,IF(Select!$B$232=6,Q88,IF(Select!$B$232=7,R88,IF(Select!$B$232=8,S88,IF(Select!$B$232=9,T88,IF(Select!$B$232=10,U88,0)))))))))</f>
        <v>0</v>
      </c>
      <c r="D88" s="356">
        <v>3.44</v>
      </c>
      <c r="E88" s="356">
        <v>3.44</v>
      </c>
      <c r="F88" s="356">
        <v>3.44</v>
      </c>
      <c r="G88" s="356">
        <v>3.44</v>
      </c>
      <c r="H88" s="356">
        <v>3.7</v>
      </c>
      <c r="I88" s="356">
        <v>3.7</v>
      </c>
      <c r="J88" s="356">
        <v>3.7</v>
      </c>
      <c r="K88" s="356">
        <v>5.14</v>
      </c>
      <c r="L88" s="356">
        <v>4.5337092331781248</v>
      </c>
      <c r="M88" s="148">
        <f>IF(Select!$E$23=1,V88,IF(Select!$E$23=2,AE88,IF(Select!$E$23=3,AN88)))</f>
        <v>2.5499999999999998</v>
      </c>
      <c r="N88" s="148">
        <f>IF(Select!$E$23=1,W88,IF(Select!$E$23=2,AF88,IF(Select!$E$23=3,AO88)))</f>
        <v>2.5499999999999998</v>
      </c>
      <c r="O88" s="148">
        <f>IF(Select!$E$23=1,X88,IF(Select!$E$23=2,AG88,IF(Select!$E$23=3,AP88)))</f>
        <v>2.5499999999999998</v>
      </c>
      <c r="P88" s="148">
        <f>IF(Select!$E$23=1,Y88,IF(Select!$E$23=2,AH88,IF(Select!$E$23=3,AQ88)))</f>
        <v>2.5499999999999998</v>
      </c>
      <c r="Q88" s="148">
        <f>IF(Select!$E$23=1,Z88,IF(Select!$E$23=2,AI88,IF(Select!$E$23=3,AR88)))</f>
        <v>2.74</v>
      </c>
      <c r="R88" s="148">
        <f>IF(Select!$E$23=1,AA88,IF(Select!$E$23=2,AJ88,IF(Select!$E$23=3,AS88)))</f>
        <v>2.74</v>
      </c>
      <c r="S88" s="148">
        <f>IF(Select!$E$23=1,AB88,IF(Select!$E$23=2,AK88,IF(Select!$E$23=3,AT88)))</f>
        <v>2.74</v>
      </c>
      <c r="T88" s="148">
        <f>IF(Select!$E$23=1,AC88,IF(Select!$E$23=2,AL88,IF(Select!$E$23=3,AU88)))</f>
        <v>3.8</v>
      </c>
      <c r="U88" s="148">
        <f>IF(Select!$E$23=1,AD88,IF(Select!$E$23=2,AM88,IF(Select!$E$23=3,AV88)))</f>
        <v>3.35</v>
      </c>
      <c r="V88" s="408">
        <f>ROUND(D88*(1-'Disc Dep'!$C$111),2)</f>
        <v>2.5499999999999998</v>
      </c>
      <c r="W88" s="408">
        <f>ROUND(E88*(1-'Disc Dep'!$C$111),2)</f>
        <v>2.5499999999999998</v>
      </c>
      <c r="X88" s="408">
        <f>ROUND(F88*(1-'Disc Dep'!$C$111),2)</f>
        <v>2.5499999999999998</v>
      </c>
      <c r="Y88" s="408">
        <f>ROUND(G88*(1-'Disc Dep'!$C$111),2)</f>
        <v>2.5499999999999998</v>
      </c>
      <c r="Z88" s="408">
        <f>ROUND(H88*(1-'Disc Dep'!$C$111),2)</f>
        <v>2.74</v>
      </c>
      <c r="AA88" s="408">
        <f>ROUND(I88*(1-'Disc Dep'!$C$111),2)</f>
        <v>2.74</v>
      </c>
      <c r="AB88" s="408">
        <f>ROUND(J88*(1-'Disc Dep'!$C$111),2)</f>
        <v>2.74</v>
      </c>
      <c r="AC88" s="408">
        <f>ROUND(K88*(1-'Disc Dep'!$C$111),2)</f>
        <v>3.8</v>
      </c>
      <c r="AD88" s="408">
        <f>ROUND(L88*(1-'Disc Dep'!$C$111),2)</f>
        <v>3.35</v>
      </c>
      <c r="AE88" s="408">
        <f>ROUND(V88*(1+'Adaos Distr'!$C$111),2)</f>
        <v>2.5499999999999998</v>
      </c>
      <c r="AF88" s="408">
        <f>ROUND(W88*(1+'Adaos Distr'!$C$111),2)</f>
        <v>2.5499999999999998</v>
      </c>
      <c r="AG88" s="408">
        <f>ROUND(X88*(1+'Adaos Distr'!$C$111),2)</f>
        <v>2.5499999999999998</v>
      </c>
      <c r="AH88" s="408">
        <f>ROUND(Y88*(1+'Adaos Distr'!$C$111),2)</f>
        <v>2.5499999999999998</v>
      </c>
      <c r="AI88" s="408">
        <f>ROUND(Z88*(1+'Adaos Distr'!$C$111),2)</f>
        <v>2.74</v>
      </c>
      <c r="AJ88" s="408">
        <f>ROUND(AA88*(1+'Adaos Distr'!$C$111),2)</f>
        <v>2.74</v>
      </c>
      <c r="AK88" s="408">
        <f>ROUND(AB88*(1+'Adaos Distr'!$C$111),2)</f>
        <v>2.74</v>
      </c>
      <c r="AL88" s="408">
        <f>ROUND(AC88*(1+'Adaos Distr'!$C$111),2)</f>
        <v>3.8</v>
      </c>
      <c r="AM88" s="408">
        <f>ROUND(AD88*(1+'Adaos Distr'!$C$111),2)</f>
        <v>3.35</v>
      </c>
      <c r="AN88" s="408">
        <f>ROUND(AE88*(1+'Adaos RESELLER'!$C$111),2)</f>
        <v>2.5499999999999998</v>
      </c>
      <c r="AO88" s="408">
        <f>ROUND(AF88*(1+'Adaos RESELLER'!$C$111),2)</f>
        <v>2.5499999999999998</v>
      </c>
      <c r="AP88" s="408">
        <f>ROUND(AG88*(1+'Adaos RESELLER'!$C$111),2)</f>
        <v>2.5499999999999998</v>
      </c>
      <c r="AQ88" s="408">
        <f>ROUND(AH88*(1+'Adaos RESELLER'!$C$111),2)</f>
        <v>2.5499999999999998</v>
      </c>
      <c r="AR88" s="408">
        <f>ROUND(AI88*(1+'Adaos RESELLER'!$C$111),2)</f>
        <v>2.74</v>
      </c>
      <c r="AS88" s="408">
        <f>ROUND(AJ88*(1+'Adaos RESELLER'!$C$111),2)</f>
        <v>2.74</v>
      </c>
      <c r="AT88" s="408">
        <f>ROUND(AK88*(1+'Adaos RESELLER'!$C$111),2)</f>
        <v>2.74</v>
      </c>
      <c r="AU88" s="408">
        <f>ROUND(AL88*(1+'Adaos RESELLER'!$C$111),2)</f>
        <v>3.8</v>
      </c>
      <c r="AV88" s="408">
        <f>ROUND(AM88*(1+'Adaos RESELLER'!$C$111),2)</f>
        <v>3.35</v>
      </c>
    </row>
    <row r="89" spans="1:48" s="221" customFormat="1" ht="15.6">
      <c r="A89" s="349" t="str">
        <f>Lang!A49</f>
        <v>Set Cos Fum</v>
      </c>
      <c r="C89" s="408">
        <f>IF(Select!$B$232=2,M89,IF(Select!$B$232=3,N89,IF(Select!$B$232=4,O89,IF(Select!$B$232=5,P89,IF(Select!$B$232=6,Q89,IF(Select!$B$232=7,R89,IF(Select!$B$232=8,S89,IF(Select!$B$232=9,T89,IF(Select!$B$232=10,U89,0)))))))))</f>
        <v>0</v>
      </c>
      <c r="D89" s="356">
        <v>21.09</v>
      </c>
      <c r="E89" s="356">
        <v>21.09</v>
      </c>
      <c r="F89" s="356">
        <v>24.61</v>
      </c>
      <c r="G89" s="356">
        <v>26.31</v>
      </c>
      <c r="H89" s="356">
        <v>23.05</v>
      </c>
      <c r="I89" s="356">
        <v>26.28</v>
      </c>
      <c r="J89" s="356">
        <v>27.46</v>
      </c>
      <c r="K89" s="356">
        <v>39.57</v>
      </c>
      <c r="L89" s="356">
        <v>34.925063354999992</v>
      </c>
      <c r="M89" s="148">
        <f>IF(Select!$E$23=1,V89,IF(Select!$E$23=2,AE89,IF(Select!$E$23=3,AN89)))</f>
        <v>15.61</v>
      </c>
      <c r="N89" s="148">
        <f>IF(Select!$E$23=1,W89,IF(Select!$E$23=2,AF89,IF(Select!$E$23=3,AO89)))</f>
        <v>15.61</v>
      </c>
      <c r="O89" s="148">
        <f>IF(Select!$E$23=1,X89,IF(Select!$E$23=2,AG89,IF(Select!$E$23=3,AP89)))</f>
        <v>18.21</v>
      </c>
      <c r="P89" s="148">
        <f>IF(Select!$E$23=1,Y89,IF(Select!$E$23=2,AH89,IF(Select!$E$23=3,AQ89)))</f>
        <v>19.47</v>
      </c>
      <c r="Q89" s="148">
        <f>IF(Select!$E$23=1,Z89,IF(Select!$E$23=2,AI89,IF(Select!$E$23=3,AR89)))</f>
        <v>17.059999999999999</v>
      </c>
      <c r="R89" s="148">
        <f>IF(Select!$E$23=1,AA89,IF(Select!$E$23=2,AJ89,IF(Select!$E$23=3,AS89)))</f>
        <v>19.45</v>
      </c>
      <c r="S89" s="148">
        <f>IF(Select!$E$23=1,AB89,IF(Select!$E$23=2,AK89,IF(Select!$E$23=3,AT89)))</f>
        <v>20.32</v>
      </c>
      <c r="T89" s="148">
        <f>IF(Select!$E$23=1,AC89,IF(Select!$E$23=2,AL89,IF(Select!$E$23=3,AU89)))</f>
        <v>29.28</v>
      </c>
      <c r="U89" s="148">
        <f>IF(Select!$E$23=1,AD89,IF(Select!$E$23=2,AM89,IF(Select!$E$23=3,AV89)))</f>
        <v>25.84</v>
      </c>
      <c r="V89" s="408">
        <f>ROUND(D89*(1-'Disc Dep'!$C$111),2)</f>
        <v>15.61</v>
      </c>
      <c r="W89" s="408">
        <f>ROUND(E89*(1-'Disc Dep'!$C$111),2)</f>
        <v>15.61</v>
      </c>
      <c r="X89" s="408">
        <f>ROUND(F89*(1-'Disc Dep'!$C$111),2)</f>
        <v>18.21</v>
      </c>
      <c r="Y89" s="408">
        <f>ROUND(G89*(1-'Disc Dep'!$C$111),2)</f>
        <v>19.47</v>
      </c>
      <c r="Z89" s="408">
        <f>ROUND(H89*(1-'Disc Dep'!$C$111),2)</f>
        <v>17.059999999999999</v>
      </c>
      <c r="AA89" s="408">
        <f>ROUND(I89*(1-'Disc Dep'!$C$111),2)</f>
        <v>19.45</v>
      </c>
      <c r="AB89" s="408">
        <f>ROUND(J89*(1-'Disc Dep'!$C$111),2)</f>
        <v>20.32</v>
      </c>
      <c r="AC89" s="408">
        <f>ROUND(K89*(1-'Disc Dep'!$C$111),2)</f>
        <v>29.28</v>
      </c>
      <c r="AD89" s="408">
        <f>ROUND(L89*(1-'Disc Dep'!$C$111),2)</f>
        <v>25.84</v>
      </c>
      <c r="AE89" s="408">
        <f>ROUND(V89*(1+'Adaos Distr'!$C$111),2)</f>
        <v>15.61</v>
      </c>
      <c r="AF89" s="408">
        <f>ROUND(W89*(1+'Adaos Distr'!$C$111),2)</f>
        <v>15.61</v>
      </c>
      <c r="AG89" s="408">
        <f>ROUND(X89*(1+'Adaos Distr'!$C$111),2)</f>
        <v>18.21</v>
      </c>
      <c r="AH89" s="408">
        <f>ROUND(Y89*(1+'Adaos Distr'!$C$111),2)</f>
        <v>19.47</v>
      </c>
      <c r="AI89" s="408">
        <f>ROUND(Z89*(1+'Adaos Distr'!$C$111),2)</f>
        <v>17.059999999999999</v>
      </c>
      <c r="AJ89" s="408">
        <f>ROUND(AA89*(1+'Adaos Distr'!$C$111),2)</f>
        <v>19.45</v>
      </c>
      <c r="AK89" s="408">
        <f>ROUND(AB89*(1+'Adaos Distr'!$C$111),2)</f>
        <v>20.32</v>
      </c>
      <c r="AL89" s="408">
        <f>ROUND(AC89*(1+'Adaos Distr'!$C$111),2)</f>
        <v>29.28</v>
      </c>
      <c r="AM89" s="408">
        <f>ROUND(AD89*(1+'Adaos Distr'!$C$111),2)</f>
        <v>25.84</v>
      </c>
      <c r="AN89" s="408">
        <f>ROUND(AE89*(1+'Adaos RESELLER'!$C$111),2)</f>
        <v>15.61</v>
      </c>
      <c r="AO89" s="408">
        <f>ROUND(AF89*(1+'Adaos RESELLER'!$C$111),2)</f>
        <v>15.61</v>
      </c>
      <c r="AP89" s="408">
        <f>ROUND(AG89*(1+'Adaos RESELLER'!$C$111),2)</f>
        <v>18.21</v>
      </c>
      <c r="AQ89" s="408">
        <f>ROUND(AH89*(1+'Adaos RESELLER'!$C$111),2)</f>
        <v>19.47</v>
      </c>
      <c r="AR89" s="408">
        <f>ROUND(AI89*(1+'Adaos RESELLER'!$C$111),2)</f>
        <v>17.059999999999999</v>
      </c>
      <c r="AS89" s="408">
        <f>ROUND(AJ89*(1+'Adaos RESELLER'!$C$111),2)</f>
        <v>19.45</v>
      </c>
      <c r="AT89" s="408">
        <f>ROUND(AK89*(1+'Adaos RESELLER'!$C$111),2)</f>
        <v>20.32</v>
      </c>
      <c r="AU89" s="408">
        <f>ROUND(AL89*(1+'Adaos RESELLER'!$C$111),2)</f>
        <v>29.28</v>
      </c>
      <c r="AV89" s="408">
        <f>ROUND(AM89*(1+'Adaos RESELLER'!$C$111),2)</f>
        <v>25.84</v>
      </c>
    </row>
    <row r="90" spans="1:48" s="146" customFormat="1">
      <c r="A90" s="349" t="str">
        <f>Lang!A50</f>
        <v>Parazapada grilaj tigla metalica 2M</v>
      </c>
      <c r="C90" s="408">
        <f>IF(Select!$B$232=2,M90,IF(Select!$B$232=3,N90,IF(Select!$B$232=4,O90,IF(Select!$B$232=5,P90,IF(Select!$B$232=6,Q90,IF(Select!$B$232=7,R90,IF(Select!$B$232=8,S90,IF(Select!$B$232=9,T90,IF(Select!$B$232=10,U90,0)))))))))</f>
        <v>0</v>
      </c>
      <c r="D90" s="237">
        <v>18.670000000000002</v>
      </c>
      <c r="E90" s="237">
        <v>18.670000000000002</v>
      </c>
      <c r="F90" s="237">
        <v>18.670000000000002</v>
      </c>
      <c r="G90" s="237">
        <v>18.670000000000002</v>
      </c>
      <c r="H90" s="237">
        <v>18.670000000000002</v>
      </c>
      <c r="I90" s="237">
        <v>18.670000000000002</v>
      </c>
      <c r="J90" s="237">
        <v>18.670000000000002</v>
      </c>
      <c r="K90" s="237">
        <v>18.670000000000002</v>
      </c>
      <c r="L90" s="237">
        <f t="shared" ref="L90" si="0">K90</f>
        <v>18.670000000000002</v>
      </c>
      <c r="M90" s="148">
        <f>IF(Select!$E$23=1,V90,IF(Select!$E$23=2,AE90,IF(Select!$E$23=3,AN90)))</f>
        <v>13.82</v>
      </c>
      <c r="N90" s="148">
        <f>IF(Select!$E$23=1,W90,IF(Select!$E$23=2,AF90,IF(Select!$E$23=3,AO90)))</f>
        <v>13.82</v>
      </c>
      <c r="O90" s="148">
        <f>IF(Select!$E$23=1,X90,IF(Select!$E$23=2,AG90,IF(Select!$E$23=3,AP90)))</f>
        <v>13.82</v>
      </c>
      <c r="P90" s="148">
        <f>IF(Select!$E$23=1,Y90,IF(Select!$E$23=2,AH90,IF(Select!$E$23=3,AQ90)))</f>
        <v>13.82</v>
      </c>
      <c r="Q90" s="148">
        <f>IF(Select!$E$23=1,Z90,IF(Select!$E$23=2,AI90,IF(Select!$E$23=3,AR90)))</f>
        <v>13.82</v>
      </c>
      <c r="R90" s="148">
        <f>IF(Select!$E$23=1,AA90,IF(Select!$E$23=2,AJ90,IF(Select!$E$23=3,AS90)))</f>
        <v>13.82</v>
      </c>
      <c r="S90" s="148">
        <f>IF(Select!$E$23=1,AB90,IF(Select!$E$23=2,AK90,IF(Select!$E$23=3,AT90)))</f>
        <v>13.82</v>
      </c>
      <c r="T90" s="148">
        <f>IF(Select!$E$23=1,AC90,IF(Select!$E$23=2,AL90,IF(Select!$E$23=3,AU90)))</f>
        <v>13.82</v>
      </c>
      <c r="U90" s="148">
        <f>IF(Select!$E$23=1,AD90,IF(Select!$E$23=2,AM90,IF(Select!$E$23=3,AV90)))</f>
        <v>13.82</v>
      </c>
      <c r="V90" s="408">
        <f>ROUND(D90*(1-'Disc Dep'!$C$111),2)</f>
        <v>13.82</v>
      </c>
      <c r="W90" s="408">
        <f>ROUND(E90*(1-'Disc Dep'!$C$111),2)</f>
        <v>13.82</v>
      </c>
      <c r="X90" s="408">
        <f>ROUND(F90*(1-'Disc Dep'!$C$111),2)</f>
        <v>13.82</v>
      </c>
      <c r="Y90" s="408">
        <f>ROUND(G90*(1-'Disc Dep'!$C$111),2)</f>
        <v>13.82</v>
      </c>
      <c r="Z90" s="408">
        <f>ROUND(H90*(1-'Disc Dep'!$C$111),2)</f>
        <v>13.82</v>
      </c>
      <c r="AA90" s="408">
        <f>ROUND(I90*(1-'Disc Dep'!$C$111),2)</f>
        <v>13.82</v>
      </c>
      <c r="AB90" s="408">
        <f>ROUND(J90*(1-'Disc Dep'!$C$111),2)</f>
        <v>13.82</v>
      </c>
      <c r="AC90" s="408">
        <f>ROUND(K90*(1-'Disc Dep'!$C$111),2)</f>
        <v>13.82</v>
      </c>
      <c r="AD90" s="408">
        <f>ROUND(L90*(1-'Disc Dep'!$C$111),2)</f>
        <v>13.82</v>
      </c>
      <c r="AE90" s="408">
        <f>ROUND(V90*(1+'Adaos Distr'!$C$111),2)</f>
        <v>13.82</v>
      </c>
      <c r="AF90" s="408">
        <f>ROUND(W90*(1+'Adaos Distr'!$C$111),2)</f>
        <v>13.82</v>
      </c>
      <c r="AG90" s="408">
        <f>ROUND(X90*(1+'Adaos Distr'!$C$111),2)</f>
        <v>13.82</v>
      </c>
      <c r="AH90" s="408">
        <f>ROUND(Y90*(1+'Adaos Distr'!$C$111),2)</f>
        <v>13.82</v>
      </c>
      <c r="AI90" s="408">
        <f>ROUND(Z90*(1+'Adaos Distr'!$C$111),2)</f>
        <v>13.82</v>
      </c>
      <c r="AJ90" s="408">
        <f>ROUND(AA90*(1+'Adaos Distr'!$C$111),2)</f>
        <v>13.82</v>
      </c>
      <c r="AK90" s="408">
        <f>ROUND(AB90*(1+'Adaos Distr'!$C$111),2)</f>
        <v>13.82</v>
      </c>
      <c r="AL90" s="408">
        <f>ROUND(AC90*(1+'Adaos Distr'!$C$111),2)</f>
        <v>13.82</v>
      </c>
      <c r="AM90" s="408">
        <f>ROUND(AD90*(1+'Adaos Distr'!$C$111),2)</f>
        <v>13.82</v>
      </c>
      <c r="AN90" s="408">
        <f>ROUND(AE90*(1+'Adaos RESELLER'!$C$111),2)</f>
        <v>13.82</v>
      </c>
      <c r="AO90" s="408">
        <f>ROUND(AF90*(1+'Adaos RESELLER'!$C$111),2)</f>
        <v>13.82</v>
      </c>
      <c r="AP90" s="408">
        <f>ROUND(AG90*(1+'Adaos RESELLER'!$C$111),2)</f>
        <v>13.82</v>
      </c>
      <c r="AQ90" s="408">
        <f>ROUND(AH90*(1+'Adaos RESELLER'!$C$111),2)</f>
        <v>13.82</v>
      </c>
      <c r="AR90" s="408">
        <f>ROUND(AI90*(1+'Adaos RESELLER'!$C$111),2)</f>
        <v>13.82</v>
      </c>
      <c r="AS90" s="408">
        <f>ROUND(AJ90*(1+'Adaos RESELLER'!$C$111),2)</f>
        <v>13.82</v>
      </c>
      <c r="AT90" s="408">
        <f>ROUND(AK90*(1+'Adaos RESELLER'!$C$111),2)</f>
        <v>13.82</v>
      </c>
      <c r="AU90" s="408">
        <f>ROUND(AL90*(1+'Adaos RESELLER'!$C$111),2)</f>
        <v>13.82</v>
      </c>
      <c r="AV90" s="408">
        <f>ROUND(AM90*(1+'Adaos RESELLER'!$C$111),2)</f>
        <v>13.82</v>
      </c>
    </row>
    <row r="91" spans="1:48" s="146" customFormat="1">
      <c r="A91" s="349" t="str">
        <f>Lang!A51</f>
        <v>Piesa conectare grilaj</v>
      </c>
      <c r="C91" s="408">
        <f>IF(Select!$B$232=2,M91,IF(Select!$B$232=3,N91,IF(Select!$B$232=4,O91,IF(Select!$B$232=5,P91,IF(Select!$B$232=6,Q91,IF(Select!$B$232=7,R91,IF(Select!$B$232=8,S91,IF(Select!$B$232=9,T91,IF(Select!$B$232=10,U91,0)))))))))</f>
        <v>0</v>
      </c>
      <c r="D91" s="237">
        <v>0.7</v>
      </c>
      <c r="E91" s="237">
        <v>0.7</v>
      </c>
      <c r="F91" s="237">
        <v>0.7</v>
      </c>
      <c r="G91" s="237">
        <v>0.7</v>
      </c>
      <c r="H91" s="237">
        <v>0.7</v>
      </c>
      <c r="I91" s="237">
        <v>0.7</v>
      </c>
      <c r="J91" s="237">
        <v>0.7</v>
      </c>
      <c r="K91" s="237">
        <v>0.7</v>
      </c>
      <c r="L91" s="237">
        <f t="shared" ref="L91" si="1">K91</f>
        <v>0.7</v>
      </c>
      <c r="M91" s="148">
        <f>IF(Select!$E$23=1,V91,IF(Select!$E$23=2,AE91,IF(Select!$E$23=3,AN91)))</f>
        <v>0.52</v>
      </c>
      <c r="N91" s="148">
        <f>IF(Select!$E$23=1,W91,IF(Select!$E$23=2,AF91,IF(Select!$E$23=3,AO91)))</f>
        <v>0.52</v>
      </c>
      <c r="O91" s="148">
        <f>IF(Select!$E$23=1,X91,IF(Select!$E$23=2,AG91,IF(Select!$E$23=3,AP91)))</f>
        <v>0.52</v>
      </c>
      <c r="P91" s="148">
        <f>IF(Select!$E$23=1,Y91,IF(Select!$E$23=2,AH91,IF(Select!$E$23=3,AQ91)))</f>
        <v>0.52</v>
      </c>
      <c r="Q91" s="148">
        <f>IF(Select!$E$23=1,Z91,IF(Select!$E$23=2,AI91,IF(Select!$E$23=3,AR91)))</f>
        <v>0.52</v>
      </c>
      <c r="R91" s="148">
        <f>IF(Select!$E$23=1,AA91,IF(Select!$E$23=2,AJ91,IF(Select!$E$23=3,AS91)))</f>
        <v>0.52</v>
      </c>
      <c r="S91" s="148">
        <f>IF(Select!$E$23=1,AB91,IF(Select!$E$23=2,AK91,IF(Select!$E$23=3,AT91)))</f>
        <v>0.52</v>
      </c>
      <c r="T91" s="148">
        <f>IF(Select!$E$23=1,AC91,IF(Select!$E$23=2,AL91,IF(Select!$E$23=3,AU91)))</f>
        <v>0.52</v>
      </c>
      <c r="U91" s="148">
        <f>IF(Select!$E$23=1,AD91,IF(Select!$E$23=2,AM91,IF(Select!$E$23=3,AV91)))</f>
        <v>0.52</v>
      </c>
      <c r="V91" s="408">
        <f>ROUND(D91*(1-'Disc Dep'!$C$111),2)</f>
        <v>0.52</v>
      </c>
      <c r="W91" s="408">
        <f>ROUND(E91*(1-'Disc Dep'!$C$111),2)</f>
        <v>0.52</v>
      </c>
      <c r="X91" s="408">
        <f>ROUND(F91*(1-'Disc Dep'!$C$111),2)</f>
        <v>0.52</v>
      </c>
      <c r="Y91" s="408">
        <f>ROUND(G91*(1-'Disc Dep'!$C$111),2)</f>
        <v>0.52</v>
      </c>
      <c r="Z91" s="408">
        <f>ROUND(H91*(1-'Disc Dep'!$C$111),2)</f>
        <v>0.52</v>
      </c>
      <c r="AA91" s="408">
        <f>ROUND(I91*(1-'Disc Dep'!$C$111),2)</f>
        <v>0.52</v>
      </c>
      <c r="AB91" s="408">
        <f>ROUND(J91*(1-'Disc Dep'!$C$111),2)</f>
        <v>0.52</v>
      </c>
      <c r="AC91" s="408">
        <f>ROUND(K91*(1-'Disc Dep'!$C$111),2)</f>
        <v>0.52</v>
      </c>
      <c r="AD91" s="408">
        <f>ROUND(L91*(1-'Disc Dep'!$C$111),2)</f>
        <v>0.52</v>
      </c>
      <c r="AE91" s="408">
        <f>ROUND(V91*(1+'Adaos Distr'!$C$111),2)</f>
        <v>0.52</v>
      </c>
      <c r="AF91" s="408">
        <f>ROUND(W91*(1+'Adaos Distr'!$C$111),2)</f>
        <v>0.52</v>
      </c>
      <c r="AG91" s="408">
        <f>ROUND(X91*(1+'Adaos Distr'!$C$111),2)</f>
        <v>0.52</v>
      </c>
      <c r="AH91" s="408">
        <f>ROUND(Y91*(1+'Adaos Distr'!$C$111),2)</f>
        <v>0.52</v>
      </c>
      <c r="AI91" s="408">
        <f>ROUND(Z91*(1+'Adaos Distr'!$C$111),2)</f>
        <v>0.52</v>
      </c>
      <c r="AJ91" s="408">
        <f>ROUND(AA91*(1+'Adaos Distr'!$C$111),2)</f>
        <v>0.52</v>
      </c>
      <c r="AK91" s="408">
        <f>ROUND(AB91*(1+'Adaos Distr'!$C$111),2)</f>
        <v>0.52</v>
      </c>
      <c r="AL91" s="408">
        <f>ROUND(AC91*(1+'Adaos Distr'!$C$111),2)</f>
        <v>0.52</v>
      </c>
      <c r="AM91" s="408">
        <f>ROUND(AD91*(1+'Adaos Distr'!$C$111),2)</f>
        <v>0.52</v>
      </c>
      <c r="AN91" s="408">
        <f>ROUND(AE91*(1+'Adaos RESELLER'!$C$111),2)</f>
        <v>0.52</v>
      </c>
      <c r="AO91" s="408">
        <f>ROUND(AF91*(1+'Adaos RESELLER'!$C$111),2)</f>
        <v>0.52</v>
      </c>
      <c r="AP91" s="408">
        <f>ROUND(AG91*(1+'Adaos RESELLER'!$C$111),2)</f>
        <v>0.52</v>
      </c>
      <c r="AQ91" s="408">
        <f>ROUND(AH91*(1+'Adaos RESELLER'!$C$111),2)</f>
        <v>0.52</v>
      </c>
      <c r="AR91" s="408">
        <f>ROUND(AI91*(1+'Adaos RESELLER'!$C$111),2)</f>
        <v>0.52</v>
      </c>
      <c r="AS91" s="408">
        <f>ROUND(AJ91*(1+'Adaos RESELLER'!$C$111),2)</f>
        <v>0.52</v>
      </c>
      <c r="AT91" s="408">
        <f>ROUND(AK91*(1+'Adaos RESELLER'!$C$111),2)</f>
        <v>0.52</v>
      </c>
      <c r="AU91" s="408">
        <f>ROUND(AL91*(1+'Adaos RESELLER'!$C$111),2)</f>
        <v>0.52</v>
      </c>
      <c r="AV91" s="408">
        <f>ROUND(AM91*(1+'Adaos RESELLER'!$C$111),2)</f>
        <v>0.52</v>
      </c>
    </row>
    <row r="92" spans="1:48" s="146" customFormat="1" ht="15.6">
      <c r="A92" s="349" t="str">
        <f>Lang!A52</f>
        <v>Suport parazapada tigla metalica</v>
      </c>
      <c r="C92" s="408">
        <f>IF(Select!$B$232=2,M92,IF(Select!$B$232=3,N92,IF(Select!$B$232=4,O92,IF(Select!$B$232=5,P92,IF(Select!$B$232=6,Q92,IF(Select!$B$232=7,R92,IF(Select!$B$232=8,S92,IF(Select!$B$232=9,T92,IF(Select!$B$232=10,U92,0)))))))))</f>
        <v>0</v>
      </c>
      <c r="D92" s="238">
        <v>5.61</v>
      </c>
      <c r="E92" s="238">
        <v>5.61</v>
      </c>
      <c r="F92" s="238">
        <v>5.61</v>
      </c>
      <c r="G92" s="238">
        <v>5.61</v>
      </c>
      <c r="H92" s="238">
        <v>5.61</v>
      </c>
      <c r="I92" s="238">
        <v>5.61</v>
      </c>
      <c r="J92" s="238">
        <v>5.61</v>
      </c>
      <c r="K92" s="238">
        <v>5.61</v>
      </c>
      <c r="L92" s="238">
        <f t="shared" ref="L92" si="2">K92</f>
        <v>5.61</v>
      </c>
      <c r="M92" s="148">
        <f>IF(Select!$E$23=1,V92,IF(Select!$E$23=2,AE92,IF(Select!$E$23=3,AN92)))</f>
        <v>4.1500000000000004</v>
      </c>
      <c r="N92" s="148">
        <f>IF(Select!$E$23=1,W92,IF(Select!$E$23=2,AF92,IF(Select!$E$23=3,AO92)))</f>
        <v>4.1500000000000004</v>
      </c>
      <c r="O92" s="148">
        <f>IF(Select!$E$23=1,X92,IF(Select!$E$23=2,AG92,IF(Select!$E$23=3,AP92)))</f>
        <v>4.1500000000000004</v>
      </c>
      <c r="P92" s="148">
        <f>IF(Select!$E$23=1,Y92,IF(Select!$E$23=2,AH92,IF(Select!$E$23=3,AQ92)))</f>
        <v>4.1500000000000004</v>
      </c>
      <c r="Q92" s="148">
        <f>IF(Select!$E$23=1,Z92,IF(Select!$E$23=2,AI92,IF(Select!$E$23=3,AR92)))</f>
        <v>4.1500000000000004</v>
      </c>
      <c r="R92" s="148">
        <f>IF(Select!$E$23=1,AA92,IF(Select!$E$23=2,AJ92,IF(Select!$E$23=3,AS92)))</f>
        <v>4.1500000000000004</v>
      </c>
      <c r="S92" s="148">
        <f>IF(Select!$E$23=1,AB92,IF(Select!$E$23=2,AK92,IF(Select!$E$23=3,AT92)))</f>
        <v>4.1500000000000004</v>
      </c>
      <c r="T92" s="148">
        <f>IF(Select!$E$23=1,AC92,IF(Select!$E$23=2,AL92,IF(Select!$E$23=3,AU92)))</f>
        <v>4.1500000000000004</v>
      </c>
      <c r="U92" s="148">
        <f>IF(Select!$E$23=1,AD92,IF(Select!$E$23=2,AM92,IF(Select!$E$23=3,AV92)))</f>
        <v>4.1500000000000004</v>
      </c>
      <c r="V92" s="408">
        <f>ROUND(D92*(1-'Disc Dep'!$C$111),2)</f>
        <v>4.1500000000000004</v>
      </c>
      <c r="W92" s="408">
        <f>ROUND(E92*(1-'Disc Dep'!$C$111),2)</f>
        <v>4.1500000000000004</v>
      </c>
      <c r="X92" s="408">
        <f>ROUND(F92*(1-'Disc Dep'!$C$111),2)</f>
        <v>4.1500000000000004</v>
      </c>
      <c r="Y92" s="408">
        <f>ROUND(G92*(1-'Disc Dep'!$C$111),2)</f>
        <v>4.1500000000000004</v>
      </c>
      <c r="Z92" s="408">
        <f>ROUND(H92*(1-'Disc Dep'!$C$111),2)</f>
        <v>4.1500000000000004</v>
      </c>
      <c r="AA92" s="408">
        <f>ROUND(I92*(1-'Disc Dep'!$C$111),2)</f>
        <v>4.1500000000000004</v>
      </c>
      <c r="AB92" s="408">
        <f>ROUND(J92*(1-'Disc Dep'!$C$111),2)</f>
        <v>4.1500000000000004</v>
      </c>
      <c r="AC92" s="408">
        <f>ROUND(K92*(1-'Disc Dep'!$C$111),2)</f>
        <v>4.1500000000000004</v>
      </c>
      <c r="AD92" s="408">
        <f>ROUND(L92*(1-'Disc Dep'!$C$111),2)</f>
        <v>4.1500000000000004</v>
      </c>
      <c r="AE92" s="408">
        <f>ROUND(V92*(1+'Adaos Distr'!$C$111),2)</f>
        <v>4.1500000000000004</v>
      </c>
      <c r="AF92" s="408">
        <f>ROUND(W92*(1+'Adaos Distr'!$C$111),2)</f>
        <v>4.1500000000000004</v>
      </c>
      <c r="AG92" s="408">
        <f>ROUND(X92*(1+'Adaos Distr'!$C$111),2)</f>
        <v>4.1500000000000004</v>
      </c>
      <c r="AH92" s="408">
        <f>ROUND(Y92*(1+'Adaos Distr'!$C$111),2)</f>
        <v>4.1500000000000004</v>
      </c>
      <c r="AI92" s="408">
        <f>ROUND(Z92*(1+'Adaos Distr'!$C$111),2)</f>
        <v>4.1500000000000004</v>
      </c>
      <c r="AJ92" s="408">
        <f>ROUND(AA92*(1+'Adaos Distr'!$C$111),2)</f>
        <v>4.1500000000000004</v>
      </c>
      <c r="AK92" s="408">
        <f>ROUND(AB92*(1+'Adaos Distr'!$C$111),2)</f>
        <v>4.1500000000000004</v>
      </c>
      <c r="AL92" s="408">
        <f>ROUND(AC92*(1+'Adaos Distr'!$C$111),2)</f>
        <v>4.1500000000000004</v>
      </c>
      <c r="AM92" s="408">
        <f>ROUND(AD92*(1+'Adaos Distr'!$C$111),2)</f>
        <v>4.1500000000000004</v>
      </c>
      <c r="AN92" s="408">
        <f>ROUND(AE92*(1+'Adaos RESELLER'!$C$111),2)</f>
        <v>4.1500000000000004</v>
      </c>
      <c r="AO92" s="408">
        <f>ROUND(AF92*(1+'Adaos RESELLER'!$C$111),2)</f>
        <v>4.1500000000000004</v>
      </c>
      <c r="AP92" s="408">
        <f>ROUND(AG92*(1+'Adaos RESELLER'!$C$111),2)</f>
        <v>4.1500000000000004</v>
      </c>
      <c r="AQ92" s="408">
        <f>ROUND(AH92*(1+'Adaos RESELLER'!$C$111),2)</f>
        <v>4.1500000000000004</v>
      </c>
      <c r="AR92" s="408">
        <f>ROUND(AI92*(1+'Adaos RESELLER'!$C$111),2)</f>
        <v>4.1500000000000004</v>
      </c>
      <c r="AS92" s="408">
        <f>ROUND(AJ92*(1+'Adaos RESELLER'!$C$111),2)</f>
        <v>4.1500000000000004</v>
      </c>
      <c r="AT92" s="408">
        <f>ROUND(AK92*(1+'Adaos RESELLER'!$C$111),2)</f>
        <v>4.1500000000000004</v>
      </c>
      <c r="AU92" s="408">
        <f>ROUND(AL92*(1+'Adaos RESELLER'!$C$111),2)</f>
        <v>4.1500000000000004</v>
      </c>
      <c r="AV92" s="408">
        <f>ROUND(AM92*(1+'Adaos RESELLER'!$C$111),2)</f>
        <v>4.1500000000000004</v>
      </c>
    </row>
    <row r="93" spans="1:48" s="408" customFormat="1" ht="15.6">
      <c r="D93" s="238"/>
      <c r="E93" s="238"/>
      <c r="F93" s="238"/>
      <c r="G93" s="238"/>
      <c r="H93" s="238"/>
      <c r="I93" s="238"/>
      <c r="J93" s="238"/>
      <c r="K93" s="238"/>
      <c r="L93" s="238"/>
      <c r="M93" s="148"/>
      <c r="N93" s="148"/>
      <c r="O93" s="148"/>
      <c r="P93" s="148"/>
      <c r="Q93" s="148"/>
      <c r="R93" s="148"/>
      <c r="S93" s="148"/>
      <c r="T93" s="148"/>
      <c r="U93" s="148"/>
    </row>
    <row r="94" spans="1:48" s="508" customFormat="1" ht="15.6">
      <c r="D94" s="238">
        <f>ROUND(D72*1.03,2)</f>
        <v>5.12</v>
      </c>
      <c r="E94" s="238">
        <f t="shared" ref="E94:K94" si="3">ROUND(E72*1.03,2)</f>
        <v>5.12</v>
      </c>
      <c r="F94" s="238">
        <f t="shared" si="3"/>
        <v>6.21</v>
      </c>
      <c r="G94" s="238">
        <f t="shared" si="3"/>
        <v>6.6</v>
      </c>
      <c r="H94" s="238">
        <f t="shared" si="3"/>
        <v>6.21</v>
      </c>
      <c r="I94" s="238">
        <f t="shared" si="3"/>
        <v>6.42</v>
      </c>
      <c r="J94" s="238">
        <f t="shared" si="3"/>
        <v>6.67</v>
      </c>
      <c r="K94" s="238">
        <f t="shared" si="3"/>
        <v>9.26</v>
      </c>
      <c r="L94" s="238"/>
      <c r="M94" s="148"/>
      <c r="N94" s="148"/>
      <c r="O94" s="148"/>
      <c r="P94" s="148"/>
      <c r="Q94" s="148"/>
      <c r="R94" s="148"/>
      <c r="S94" s="148"/>
      <c r="T94" s="148"/>
      <c r="U94" s="148"/>
    </row>
    <row r="95" spans="1:48" s="508" customFormat="1" ht="15.6">
      <c r="D95" s="238">
        <f t="shared" ref="D95:K95" si="4">ROUND(D73*1.03,2)</f>
        <v>7</v>
      </c>
      <c r="E95" s="238">
        <f t="shared" si="4"/>
        <v>7</v>
      </c>
      <c r="F95" s="238">
        <f t="shared" si="4"/>
        <v>8.27</v>
      </c>
      <c r="G95" s="238">
        <f t="shared" si="4"/>
        <v>8.8000000000000007</v>
      </c>
      <c r="H95" s="238">
        <f t="shared" si="4"/>
        <v>8.27</v>
      </c>
      <c r="I95" s="238">
        <f t="shared" si="4"/>
        <v>8.56</v>
      </c>
      <c r="J95" s="238">
        <f t="shared" si="4"/>
        <v>8.9</v>
      </c>
      <c r="K95" s="238">
        <f t="shared" si="4"/>
        <v>12.35</v>
      </c>
      <c r="L95" s="238"/>
      <c r="M95" s="148"/>
      <c r="N95" s="148"/>
      <c r="O95" s="148"/>
      <c r="P95" s="148"/>
      <c r="Q95" s="148"/>
      <c r="R95" s="148"/>
      <c r="S95" s="148"/>
      <c r="T95" s="148"/>
      <c r="U95" s="148"/>
    </row>
    <row r="96" spans="1:48" s="508" customFormat="1" ht="15.6">
      <c r="D96" s="238">
        <f t="shared" ref="D96:K96" si="5">ROUND(D74*1.03,2)</f>
        <v>5.12</v>
      </c>
      <c r="E96" s="238">
        <f t="shared" si="5"/>
        <v>5.12</v>
      </c>
      <c r="F96" s="238">
        <f t="shared" si="5"/>
        <v>6.21</v>
      </c>
      <c r="G96" s="238">
        <f t="shared" si="5"/>
        <v>6.6</v>
      </c>
      <c r="H96" s="238">
        <f t="shared" si="5"/>
        <v>6.21</v>
      </c>
      <c r="I96" s="238">
        <f t="shared" si="5"/>
        <v>6.42</v>
      </c>
      <c r="J96" s="238">
        <f t="shared" si="5"/>
        <v>6.67</v>
      </c>
      <c r="K96" s="238">
        <f t="shared" si="5"/>
        <v>9.26</v>
      </c>
      <c r="L96" s="238"/>
      <c r="M96" s="148"/>
      <c r="N96" s="148"/>
      <c r="O96" s="148"/>
      <c r="P96" s="148"/>
      <c r="Q96" s="148"/>
      <c r="R96" s="148"/>
      <c r="S96" s="148"/>
      <c r="T96" s="148"/>
      <c r="U96" s="148"/>
    </row>
    <row r="97" spans="4:21" s="508" customFormat="1" ht="15.6">
      <c r="D97" s="238">
        <f t="shared" ref="D97:K97" si="6">ROUND(D75*1.03,2)</f>
        <v>5.12</v>
      </c>
      <c r="E97" s="238">
        <f t="shared" si="6"/>
        <v>5.12</v>
      </c>
      <c r="F97" s="238">
        <f t="shared" si="6"/>
        <v>6.21</v>
      </c>
      <c r="G97" s="238">
        <f t="shared" si="6"/>
        <v>6.6</v>
      </c>
      <c r="H97" s="238">
        <f t="shared" si="6"/>
        <v>6.21</v>
      </c>
      <c r="I97" s="238">
        <f t="shared" si="6"/>
        <v>6.42</v>
      </c>
      <c r="J97" s="238">
        <f t="shared" si="6"/>
        <v>6.67</v>
      </c>
      <c r="K97" s="238">
        <f t="shared" si="6"/>
        <v>9.26</v>
      </c>
      <c r="L97" s="238"/>
      <c r="M97" s="148"/>
      <c r="N97" s="148"/>
      <c r="O97" s="148"/>
      <c r="P97" s="148"/>
      <c r="Q97" s="148"/>
      <c r="R97" s="148"/>
      <c r="S97" s="148"/>
      <c r="T97" s="148"/>
      <c r="U97" s="148"/>
    </row>
    <row r="98" spans="4:21" s="508" customFormat="1" ht="15.6">
      <c r="D98" s="238">
        <f t="shared" ref="D98:K98" si="7">ROUND(D76*1.03,2)</f>
        <v>8.8000000000000007</v>
      </c>
      <c r="E98" s="238">
        <f t="shared" si="7"/>
        <v>8.8000000000000007</v>
      </c>
      <c r="F98" s="238">
        <f t="shared" si="7"/>
        <v>8.8000000000000007</v>
      </c>
      <c r="G98" s="238">
        <f t="shared" si="7"/>
        <v>8.8000000000000007</v>
      </c>
      <c r="H98" s="238">
        <f t="shared" si="7"/>
        <v>8.5500000000000007</v>
      </c>
      <c r="I98" s="238">
        <f t="shared" si="7"/>
        <v>8.56</v>
      </c>
      <c r="J98" s="238">
        <f t="shared" si="7"/>
        <v>8.9</v>
      </c>
      <c r="K98" s="238">
        <f t="shared" si="7"/>
        <v>12.35</v>
      </c>
      <c r="L98" s="238"/>
      <c r="M98" s="148"/>
      <c r="N98" s="148"/>
      <c r="O98" s="148"/>
      <c r="P98" s="148"/>
      <c r="Q98" s="148"/>
      <c r="R98" s="148"/>
      <c r="S98" s="148"/>
      <c r="T98" s="148"/>
      <c r="U98" s="148"/>
    </row>
    <row r="99" spans="4:21" s="508" customFormat="1" ht="15.6">
      <c r="D99" s="238">
        <f t="shared" ref="D99:K99" si="8">ROUND(D77*1.03,2)</f>
        <v>7</v>
      </c>
      <c r="E99" s="238">
        <f t="shared" si="8"/>
        <v>7</v>
      </c>
      <c r="F99" s="238">
        <f t="shared" si="8"/>
        <v>8.27</v>
      </c>
      <c r="G99" s="238">
        <f t="shared" si="8"/>
        <v>8.8000000000000007</v>
      </c>
      <c r="H99" s="238">
        <f t="shared" si="8"/>
        <v>8.27</v>
      </c>
      <c r="I99" s="238">
        <f t="shared" si="8"/>
        <v>8.56</v>
      </c>
      <c r="J99" s="238">
        <f t="shared" si="8"/>
        <v>8.9</v>
      </c>
      <c r="K99" s="238">
        <f t="shared" si="8"/>
        <v>12.35</v>
      </c>
      <c r="L99" s="238"/>
      <c r="M99" s="148"/>
      <c r="N99" s="148"/>
      <c r="O99" s="148"/>
      <c r="P99" s="148"/>
      <c r="Q99" s="148"/>
      <c r="R99" s="148"/>
      <c r="S99" s="148"/>
      <c r="T99" s="148"/>
      <c r="U99" s="148"/>
    </row>
    <row r="100" spans="4:21" s="508" customFormat="1" ht="15.6">
      <c r="D100" s="238">
        <f t="shared" ref="D100:K100" si="9">ROUND(D78*1.03,2)</f>
        <v>2.31</v>
      </c>
      <c r="E100" s="238">
        <f t="shared" si="9"/>
        <v>2.31</v>
      </c>
      <c r="F100" s="238">
        <f t="shared" si="9"/>
        <v>2.31</v>
      </c>
      <c r="G100" s="238">
        <f t="shared" si="9"/>
        <v>2.31</v>
      </c>
      <c r="H100" s="238">
        <f t="shared" si="9"/>
        <v>2.31</v>
      </c>
      <c r="I100" s="238">
        <f t="shared" si="9"/>
        <v>2.31</v>
      </c>
      <c r="J100" s="238">
        <f t="shared" si="9"/>
        <v>2.31</v>
      </c>
      <c r="K100" s="238">
        <f t="shared" si="9"/>
        <v>3.07</v>
      </c>
      <c r="L100" s="238"/>
      <c r="M100" s="148"/>
      <c r="N100" s="148"/>
      <c r="O100" s="148"/>
      <c r="P100" s="148"/>
      <c r="Q100" s="148"/>
      <c r="R100" s="148"/>
      <c r="S100" s="148"/>
      <c r="T100" s="148"/>
      <c r="U100" s="148"/>
    </row>
    <row r="101" spans="4:21" s="508" customFormat="1" ht="15.6">
      <c r="D101" s="238">
        <f t="shared" ref="D101:K101" si="10">ROUND(D79*1.03,2)</f>
        <v>3.34</v>
      </c>
      <c r="E101" s="238">
        <f t="shared" si="10"/>
        <v>3.34</v>
      </c>
      <c r="F101" s="238">
        <f t="shared" si="10"/>
        <v>3.34</v>
      </c>
      <c r="G101" s="238">
        <f t="shared" si="10"/>
        <v>3.34</v>
      </c>
      <c r="H101" s="238">
        <f t="shared" si="10"/>
        <v>3.34</v>
      </c>
      <c r="I101" s="238">
        <f t="shared" si="10"/>
        <v>3.34</v>
      </c>
      <c r="J101" s="238">
        <f t="shared" si="10"/>
        <v>3.34</v>
      </c>
      <c r="K101" s="238">
        <f t="shared" si="10"/>
        <v>3.34</v>
      </c>
      <c r="L101" s="238"/>
      <c r="M101" s="148"/>
      <c r="N101" s="148"/>
      <c r="O101" s="148"/>
      <c r="P101" s="148"/>
      <c r="Q101" s="148"/>
      <c r="R101" s="148"/>
      <c r="S101" s="148"/>
      <c r="T101" s="148"/>
      <c r="U101" s="148"/>
    </row>
    <row r="102" spans="4:21" s="508" customFormat="1" ht="15.6">
      <c r="D102" s="238">
        <f t="shared" ref="D102:K102" si="11">ROUND(D80*1.03,2)</f>
        <v>4.1399999999999997</v>
      </c>
      <c r="E102" s="238">
        <f t="shared" si="11"/>
        <v>4.1399999999999997</v>
      </c>
      <c r="F102" s="238">
        <f t="shared" si="11"/>
        <v>4.1399999999999997</v>
      </c>
      <c r="G102" s="238">
        <f t="shared" si="11"/>
        <v>4.1399999999999997</v>
      </c>
      <c r="H102" s="238">
        <f t="shared" si="11"/>
        <v>4.45</v>
      </c>
      <c r="I102" s="238">
        <f t="shared" si="11"/>
        <v>4.45</v>
      </c>
      <c r="J102" s="238">
        <f t="shared" si="11"/>
        <v>4.45</v>
      </c>
      <c r="K102" s="238">
        <f t="shared" si="11"/>
        <v>6.17</v>
      </c>
      <c r="L102" s="238"/>
      <c r="M102" s="148"/>
      <c r="N102" s="148"/>
      <c r="O102" s="148"/>
      <c r="P102" s="148"/>
      <c r="Q102" s="148"/>
      <c r="R102" s="148"/>
      <c r="S102" s="148"/>
      <c r="T102" s="148"/>
      <c r="U102" s="148"/>
    </row>
    <row r="103" spans="4:21" s="508" customFormat="1" ht="15.6">
      <c r="D103" s="238">
        <f t="shared" ref="D103:K103" si="12">ROUND(D81*1.03,2)</f>
        <v>8.27</v>
      </c>
      <c r="E103" s="238">
        <f t="shared" si="12"/>
        <v>8.27</v>
      </c>
      <c r="F103" s="238">
        <f t="shared" si="12"/>
        <v>8.27</v>
      </c>
      <c r="G103" s="238">
        <f t="shared" si="12"/>
        <v>8.27</v>
      </c>
      <c r="H103" s="238">
        <f t="shared" si="12"/>
        <v>8.9</v>
      </c>
      <c r="I103" s="238">
        <f t="shared" si="12"/>
        <v>8.9</v>
      </c>
      <c r="J103" s="238">
        <f t="shared" si="12"/>
        <v>8.9</v>
      </c>
      <c r="K103" s="238">
        <f t="shared" si="12"/>
        <v>12.35</v>
      </c>
      <c r="L103" s="238"/>
      <c r="M103" s="148"/>
      <c r="N103" s="148"/>
      <c r="O103" s="148"/>
      <c r="P103" s="148"/>
      <c r="Q103" s="148"/>
      <c r="R103" s="148"/>
      <c r="S103" s="148"/>
      <c r="T103" s="148"/>
      <c r="U103" s="148"/>
    </row>
    <row r="104" spans="4:21" s="508" customFormat="1" ht="15.6">
      <c r="D104" s="238">
        <f t="shared" ref="D104:K104" si="13">ROUND(D82*1.03,2)</f>
        <v>0.7</v>
      </c>
      <c r="E104" s="238">
        <f t="shared" si="13"/>
        <v>0.7</v>
      </c>
      <c r="F104" s="238">
        <f t="shared" si="13"/>
        <v>0.7</v>
      </c>
      <c r="G104" s="238">
        <f t="shared" si="13"/>
        <v>0.7</v>
      </c>
      <c r="H104" s="238">
        <f t="shared" si="13"/>
        <v>0.83</v>
      </c>
      <c r="I104" s="238">
        <f t="shared" si="13"/>
        <v>0.83</v>
      </c>
      <c r="J104" s="238">
        <f t="shared" si="13"/>
        <v>0.83</v>
      </c>
      <c r="K104" s="238">
        <f t="shared" si="13"/>
        <v>1.63</v>
      </c>
      <c r="L104" s="238"/>
      <c r="M104" s="148"/>
      <c r="N104" s="148"/>
      <c r="O104" s="148"/>
      <c r="P104" s="148"/>
      <c r="Q104" s="148"/>
      <c r="R104" s="148"/>
      <c r="S104" s="148"/>
      <c r="T104" s="148"/>
      <c r="U104" s="148"/>
    </row>
    <row r="105" spans="4:21" s="508" customFormat="1" ht="15.6">
      <c r="D105" s="238">
        <f t="shared" ref="D105:K105" si="14">ROUND(D83*1.03,2)</f>
        <v>5.12</v>
      </c>
      <c r="E105" s="238">
        <f t="shared" si="14"/>
        <v>5.12</v>
      </c>
      <c r="F105" s="238">
        <f t="shared" si="14"/>
        <v>6.21</v>
      </c>
      <c r="G105" s="238">
        <f t="shared" si="14"/>
        <v>6.6</v>
      </c>
      <c r="H105" s="238">
        <f t="shared" si="14"/>
        <v>6.21</v>
      </c>
      <c r="I105" s="238">
        <f t="shared" si="14"/>
        <v>6.42</v>
      </c>
      <c r="J105" s="238">
        <f t="shared" si="14"/>
        <v>6.67</v>
      </c>
      <c r="K105" s="238">
        <f t="shared" si="14"/>
        <v>9.26</v>
      </c>
      <c r="L105" s="238"/>
      <c r="M105" s="148"/>
      <c r="N105" s="148"/>
      <c r="O105" s="148"/>
      <c r="P105" s="148"/>
      <c r="Q105" s="148"/>
      <c r="R105" s="148"/>
      <c r="S105" s="148"/>
      <c r="T105" s="148"/>
      <c r="U105" s="148"/>
    </row>
    <row r="106" spans="4:21" s="508" customFormat="1" ht="15.6">
      <c r="D106" s="238">
        <f t="shared" ref="D106:K106" si="15">ROUND(D84*1.03,2)</f>
        <v>2.62</v>
      </c>
      <c r="E106" s="238">
        <f t="shared" si="15"/>
        <v>2.62</v>
      </c>
      <c r="F106" s="238">
        <f t="shared" si="15"/>
        <v>3.11</v>
      </c>
      <c r="G106" s="238">
        <f t="shared" si="15"/>
        <v>3.3</v>
      </c>
      <c r="H106" s="238">
        <f t="shared" si="15"/>
        <v>3.1</v>
      </c>
      <c r="I106" s="238">
        <f t="shared" si="15"/>
        <v>3.2</v>
      </c>
      <c r="J106" s="238">
        <f t="shared" si="15"/>
        <v>3.34</v>
      </c>
      <c r="K106" s="238">
        <f t="shared" si="15"/>
        <v>4.62</v>
      </c>
      <c r="L106" s="238"/>
      <c r="M106" s="148"/>
      <c r="N106" s="148"/>
      <c r="O106" s="148"/>
      <c r="P106" s="148"/>
      <c r="Q106" s="148"/>
      <c r="R106" s="148"/>
      <c r="S106" s="148"/>
      <c r="T106" s="148"/>
      <c r="U106" s="148"/>
    </row>
    <row r="107" spans="4:21" s="508" customFormat="1" ht="15.6">
      <c r="D107" s="238">
        <f t="shared" ref="D107:K107" si="16">ROUND(D85*1.03,2)</f>
        <v>4.96</v>
      </c>
      <c r="E107" s="238">
        <f t="shared" si="16"/>
        <v>4.96</v>
      </c>
      <c r="F107" s="238">
        <f t="shared" si="16"/>
        <v>4.96</v>
      </c>
      <c r="G107" s="238">
        <f t="shared" si="16"/>
        <v>4.96</v>
      </c>
      <c r="H107" s="238">
        <f t="shared" si="16"/>
        <v>5.34</v>
      </c>
      <c r="I107" s="238">
        <f t="shared" si="16"/>
        <v>5.34</v>
      </c>
      <c r="J107" s="238">
        <f t="shared" si="16"/>
        <v>5.34</v>
      </c>
      <c r="K107" s="238">
        <f t="shared" si="16"/>
        <v>7.41</v>
      </c>
      <c r="L107" s="238"/>
      <c r="M107" s="148"/>
      <c r="N107" s="148"/>
      <c r="O107" s="148"/>
      <c r="P107" s="148"/>
      <c r="Q107" s="148"/>
      <c r="R107" s="148"/>
      <c r="S107" s="148"/>
      <c r="T107" s="148"/>
      <c r="U107" s="148"/>
    </row>
    <row r="108" spans="4:21" s="508" customFormat="1" ht="15.6">
      <c r="D108" s="238">
        <f t="shared" ref="D108:K108" si="17">ROUND(D86*1.03,2)</f>
        <v>5.12</v>
      </c>
      <c r="E108" s="238">
        <f t="shared" si="17"/>
        <v>5.12</v>
      </c>
      <c r="F108" s="238">
        <f t="shared" si="17"/>
        <v>6.21</v>
      </c>
      <c r="G108" s="238">
        <f t="shared" si="17"/>
        <v>6.6</v>
      </c>
      <c r="H108" s="238">
        <f t="shared" si="17"/>
        <v>6.21</v>
      </c>
      <c r="I108" s="238">
        <f t="shared" si="17"/>
        <v>6.42</v>
      </c>
      <c r="J108" s="238">
        <f t="shared" si="17"/>
        <v>6.67</v>
      </c>
      <c r="K108" s="238">
        <f t="shared" si="17"/>
        <v>9.26</v>
      </c>
      <c r="L108" s="238"/>
      <c r="M108" s="148"/>
      <c r="N108" s="148"/>
      <c r="O108" s="148"/>
      <c r="P108" s="148"/>
      <c r="Q108" s="148"/>
      <c r="R108" s="148"/>
      <c r="S108" s="148"/>
      <c r="T108" s="148"/>
      <c r="U108" s="148"/>
    </row>
    <row r="109" spans="4:21" s="508" customFormat="1" ht="15.6">
      <c r="D109" s="238">
        <f t="shared" ref="D109:K109" si="18">ROUND(D87*1.03,2)</f>
        <v>4.2</v>
      </c>
      <c r="E109" s="238">
        <f t="shared" si="18"/>
        <v>4.2</v>
      </c>
      <c r="F109" s="238">
        <f t="shared" si="18"/>
        <v>4.96</v>
      </c>
      <c r="G109" s="238">
        <f t="shared" si="18"/>
        <v>5.28</v>
      </c>
      <c r="H109" s="238">
        <f t="shared" si="18"/>
        <v>4.96</v>
      </c>
      <c r="I109" s="238">
        <f t="shared" si="18"/>
        <v>5.13</v>
      </c>
      <c r="J109" s="238">
        <f t="shared" si="18"/>
        <v>5.34</v>
      </c>
      <c r="K109" s="238">
        <f t="shared" si="18"/>
        <v>7.41</v>
      </c>
      <c r="L109" s="238"/>
      <c r="M109" s="148"/>
      <c r="N109" s="148"/>
      <c r="O109" s="148"/>
      <c r="P109" s="148"/>
      <c r="Q109" s="148"/>
      <c r="R109" s="148"/>
      <c r="S109" s="148"/>
      <c r="T109" s="148"/>
      <c r="U109" s="148"/>
    </row>
    <row r="110" spans="4:21" s="508" customFormat="1" ht="15.6">
      <c r="D110" s="238">
        <f t="shared" ref="D110:K110" si="19">ROUND(D88*1.03,2)</f>
        <v>3.54</v>
      </c>
      <c r="E110" s="238">
        <f t="shared" si="19"/>
        <v>3.54</v>
      </c>
      <c r="F110" s="238">
        <f t="shared" si="19"/>
        <v>3.54</v>
      </c>
      <c r="G110" s="238">
        <f t="shared" si="19"/>
        <v>3.54</v>
      </c>
      <c r="H110" s="238">
        <f t="shared" si="19"/>
        <v>3.81</v>
      </c>
      <c r="I110" s="238">
        <f t="shared" si="19"/>
        <v>3.81</v>
      </c>
      <c r="J110" s="238">
        <f t="shared" si="19"/>
        <v>3.81</v>
      </c>
      <c r="K110" s="238">
        <f t="shared" si="19"/>
        <v>5.29</v>
      </c>
      <c r="L110" s="238"/>
      <c r="M110" s="148"/>
      <c r="N110" s="148"/>
      <c r="O110" s="148"/>
      <c r="P110" s="148"/>
      <c r="Q110" s="148"/>
      <c r="R110" s="148"/>
      <c r="S110" s="148"/>
      <c r="T110" s="148"/>
      <c r="U110" s="148"/>
    </row>
    <row r="111" spans="4:21" s="508" customFormat="1" ht="15.6">
      <c r="D111" s="238">
        <f t="shared" ref="D111:K111" si="20">ROUND(D89*1.03,2)</f>
        <v>21.72</v>
      </c>
      <c r="E111" s="238">
        <f t="shared" si="20"/>
        <v>21.72</v>
      </c>
      <c r="F111" s="238">
        <f t="shared" si="20"/>
        <v>25.35</v>
      </c>
      <c r="G111" s="238">
        <f t="shared" si="20"/>
        <v>27.1</v>
      </c>
      <c r="H111" s="238">
        <f t="shared" si="20"/>
        <v>23.74</v>
      </c>
      <c r="I111" s="238">
        <f t="shared" si="20"/>
        <v>27.07</v>
      </c>
      <c r="J111" s="238">
        <f t="shared" si="20"/>
        <v>28.28</v>
      </c>
      <c r="K111" s="238">
        <f t="shared" si="20"/>
        <v>40.76</v>
      </c>
      <c r="L111" s="238"/>
      <c r="M111" s="148"/>
      <c r="N111" s="148"/>
      <c r="O111" s="148"/>
      <c r="P111" s="148"/>
      <c r="Q111" s="148"/>
      <c r="R111" s="148"/>
      <c r="S111" s="148"/>
      <c r="T111" s="148"/>
      <c r="U111" s="148"/>
    </row>
    <row r="112" spans="4:21" s="508" customFormat="1" ht="15.6">
      <c r="D112" s="238">
        <f t="shared" ref="D112:K112" si="21">ROUND(D90*1.03,2)</f>
        <v>19.23</v>
      </c>
      <c r="E112" s="238">
        <f t="shared" si="21"/>
        <v>19.23</v>
      </c>
      <c r="F112" s="238">
        <f t="shared" si="21"/>
        <v>19.23</v>
      </c>
      <c r="G112" s="238">
        <f t="shared" si="21"/>
        <v>19.23</v>
      </c>
      <c r="H112" s="238">
        <f t="shared" si="21"/>
        <v>19.23</v>
      </c>
      <c r="I112" s="238">
        <f t="shared" si="21"/>
        <v>19.23</v>
      </c>
      <c r="J112" s="238">
        <f t="shared" si="21"/>
        <v>19.23</v>
      </c>
      <c r="K112" s="238">
        <f t="shared" si="21"/>
        <v>19.23</v>
      </c>
      <c r="L112" s="238"/>
      <c r="M112" s="148"/>
      <c r="N112" s="148"/>
      <c r="O112" s="148"/>
      <c r="P112" s="148"/>
      <c r="Q112" s="148"/>
      <c r="R112" s="148"/>
      <c r="S112" s="148"/>
      <c r="T112" s="148"/>
      <c r="U112" s="148"/>
    </row>
    <row r="113" spans="1:48" s="508" customFormat="1" ht="15.6">
      <c r="D113" s="238">
        <f t="shared" ref="D113:K113" si="22">ROUND(D91*1.03,2)</f>
        <v>0.72</v>
      </c>
      <c r="E113" s="238">
        <f t="shared" si="22"/>
        <v>0.72</v>
      </c>
      <c r="F113" s="238">
        <f t="shared" si="22"/>
        <v>0.72</v>
      </c>
      <c r="G113" s="238">
        <f t="shared" si="22"/>
        <v>0.72</v>
      </c>
      <c r="H113" s="238">
        <f t="shared" si="22"/>
        <v>0.72</v>
      </c>
      <c r="I113" s="238">
        <f t="shared" si="22"/>
        <v>0.72</v>
      </c>
      <c r="J113" s="238">
        <f t="shared" si="22"/>
        <v>0.72</v>
      </c>
      <c r="K113" s="238">
        <f t="shared" si="22"/>
        <v>0.72</v>
      </c>
      <c r="L113" s="238"/>
      <c r="M113" s="148"/>
      <c r="N113" s="148"/>
      <c r="O113" s="148"/>
      <c r="P113" s="148"/>
      <c r="Q113" s="148"/>
      <c r="R113" s="148"/>
      <c r="S113" s="148"/>
      <c r="T113" s="148"/>
      <c r="U113" s="148"/>
    </row>
    <row r="114" spans="1:48" s="508" customFormat="1" ht="15.6">
      <c r="D114" s="238">
        <f t="shared" ref="D114:K114" si="23">ROUND(D92*1.03,2)</f>
        <v>5.78</v>
      </c>
      <c r="E114" s="238">
        <f t="shared" si="23"/>
        <v>5.78</v>
      </c>
      <c r="F114" s="238">
        <f t="shared" si="23"/>
        <v>5.78</v>
      </c>
      <c r="G114" s="238">
        <f t="shared" si="23"/>
        <v>5.78</v>
      </c>
      <c r="H114" s="238">
        <f t="shared" si="23"/>
        <v>5.78</v>
      </c>
      <c r="I114" s="238">
        <f t="shared" si="23"/>
        <v>5.78</v>
      </c>
      <c r="J114" s="238">
        <f t="shared" si="23"/>
        <v>5.78</v>
      </c>
      <c r="K114" s="238">
        <f t="shared" si="23"/>
        <v>5.78</v>
      </c>
      <c r="L114" s="238"/>
      <c r="M114" s="148"/>
      <c r="N114" s="148"/>
      <c r="O114" s="148"/>
      <c r="P114" s="148"/>
      <c r="Q114" s="148"/>
      <c r="R114" s="148"/>
      <c r="S114" s="148"/>
      <c r="T114" s="148"/>
      <c r="U114" s="148"/>
    </row>
    <row r="115" spans="1:48" s="508" customFormat="1" ht="15.6">
      <c r="D115" s="238">
        <f t="shared" ref="D115:K115" si="24">ROUND(D93*1.03,2)</f>
        <v>0</v>
      </c>
      <c r="E115" s="238">
        <f t="shared" si="24"/>
        <v>0</v>
      </c>
      <c r="F115" s="238">
        <f t="shared" si="24"/>
        <v>0</v>
      </c>
      <c r="G115" s="238">
        <f t="shared" si="24"/>
        <v>0</v>
      </c>
      <c r="H115" s="238">
        <f t="shared" si="24"/>
        <v>0</v>
      </c>
      <c r="I115" s="238">
        <f t="shared" si="24"/>
        <v>0</v>
      </c>
      <c r="J115" s="238">
        <f t="shared" si="24"/>
        <v>0</v>
      </c>
      <c r="K115" s="238">
        <f t="shared" si="24"/>
        <v>0</v>
      </c>
      <c r="L115" s="238"/>
      <c r="M115" s="148"/>
      <c r="N115" s="148"/>
      <c r="O115" s="148"/>
      <c r="P115" s="148"/>
      <c r="Q115" s="148"/>
      <c r="R115" s="148"/>
      <c r="S115" s="148"/>
      <c r="T115" s="148"/>
      <c r="U115" s="148"/>
    </row>
    <row r="116" spans="1:48" s="508" customFormat="1" ht="15.6">
      <c r="D116" s="238"/>
      <c r="E116" s="238"/>
      <c r="F116" s="238"/>
      <c r="G116" s="238"/>
      <c r="H116" s="238"/>
      <c r="I116" s="238"/>
      <c r="J116" s="238"/>
      <c r="K116" s="238"/>
      <c r="L116" s="238"/>
      <c r="M116" s="148"/>
      <c r="N116" s="148"/>
      <c r="O116" s="148"/>
      <c r="P116" s="148"/>
      <c r="Q116" s="148"/>
      <c r="R116" s="148"/>
      <c r="S116" s="148"/>
      <c r="T116" s="148"/>
      <c r="U116" s="148"/>
    </row>
    <row r="117" spans="1:48" s="146" customFormat="1">
      <c r="A117" s="146" t="str">
        <f>Lang!A57</f>
        <v xml:space="preserve">Bordura SPECIALA </v>
      </c>
      <c r="C117" s="146">
        <f>IF(Select!$B$232=2,M117,IF(Select!$B$232=3,N117,IF(Select!$B$232=4,O117,IF(Select!$B$232=5,P117,IF(Select!$B$232=6,Q117,IF(Select!$B$232=7,R117,IF(Select!$B$232=8,S117,IF(Select!$B$232=9,T117,IF(Select!$B$232=10,U117,0)))))))))</f>
        <v>0</v>
      </c>
      <c r="D117" s="174">
        <v>9.94</v>
      </c>
      <c r="E117" s="174">
        <v>9.94</v>
      </c>
      <c r="F117" s="174">
        <v>11.23</v>
      </c>
      <c r="G117" s="174">
        <v>12.05</v>
      </c>
      <c r="H117" s="174">
        <v>11.23</v>
      </c>
      <c r="I117" s="174">
        <v>12.05</v>
      </c>
      <c r="J117" s="174">
        <v>12.42</v>
      </c>
      <c r="K117" s="174">
        <v>15.93</v>
      </c>
      <c r="L117" s="174">
        <v>14.04</v>
      </c>
      <c r="M117" s="148">
        <f>IF(Select!$E$23=1,V117,IF(Select!$E$23=2,AE117,IF(Select!$E$23=3,AN117)))</f>
        <v>7.36</v>
      </c>
      <c r="N117" s="148">
        <f>IF(Select!$E$23=1,W117,IF(Select!$E$23=2,AF117,IF(Select!$E$23=3,AO117)))</f>
        <v>7.36</v>
      </c>
      <c r="O117" s="148">
        <f>IF(Select!$E$23=1,X117,IF(Select!$E$23=2,AG117,IF(Select!$E$23=3,AP117)))</f>
        <v>8.31</v>
      </c>
      <c r="P117" s="148">
        <f>IF(Select!$E$23=1,Y117,IF(Select!$E$23=2,AH117,IF(Select!$E$23=3,AQ117)))</f>
        <v>8.92</v>
      </c>
      <c r="Q117" s="148">
        <f>IF(Select!$E$23=1,Z117,IF(Select!$E$23=2,AI117,IF(Select!$E$23=3,AR117)))</f>
        <v>8.31</v>
      </c>
      <c r="R117" s="148">
        <f>IF(Select!$E$23=1,AA117,IF(Select!$E$23=2,AJ117,IF(Select!$E$23=3,AS117)))</f>
        <v>8.92</v>
      </c>
      <c r="S117" s="148">
        <f>IF(Select!$E$23=1,AB117,IF(Select!$E$23=2,AK117,IF(Select!$E$23=3,AT117)))</f>
        <v>9.19</v>
      </c>
      <c r="T117" s="148">
        <f>IF(Select!$E$23=1,AC117,IF(Select!$E$23=2,AL117,IF(Select!$E$23=3,AU117)))</f>
        <v>11.79</v>
      </c>
      <c r="U117" s="148">
        <f>IF(Select!$E$23=1,AD117,IF(Select!$E$23=2,AM117,IF(Select!$E$23=3,AV117)))</f>
        <v>10.39</v>
      </c>
      <c r="V117" s="146">
        <f>ROUND(D117*(1-'Disc Dep'!$C$124),2)</f>
        <v>7.36</v>
      </c>
      <c r="W117" s="146">
        <f>ROUND(E117*(1-'Disc Dep'!$C$124),2)</f>
        <v>7.36</v>
      </c>
      <c r="X117" s="146">
        <f>ROUND(F117*(1-'Disc Dep'!$C$124),2)</f>
        <v>8.31</v>
      </c>
      <c r="Y117" s="146">
        <f>ROUND(G117*(1-'Disc Dep'!$C$124),2)</f>
        <v>8.92</v>
      </c>
      <c r="Z117" s="146">
        <f>ROUND(H117*(1-'Disc Dep'!$C$124),2)</f>
        <v>8.31</v>
      </c>
      <c r="AA117" s="146">
        <f>ROUND(I117*(1-'Disc Dep'!$C$124),2)</f>
        <v>8.92</v>
      </c>
      <c r="AB117" s="146">
        <f>ROUND(J117*(1-'Disc Dep'!$C$124),2)</f>
        <v>9.19</v>
      </c>
      <c r="AC117" s="146">
        <f>ROUND(K117*(1-'Disc Dep'!$C$124),2)</f>
        <v>11.79</v>
      </c>
      <c r="AD117" s="146">
        <f>ROUND(L117*(1-'Disc Dep'!$C$124),2)</f>
        <v>10.39</v>
      </c>
      <c r="AE117" s="146">
        <f>ROUND(V117*(1+'Adaos Distr'!$C$124),2)</f>
        <v>7.36</v>
      </c>
      <c r="AF117" s="146">
        <f>ROUND(W117*(1+'Adaos Distr'!$C$124),2)</f>
        <v>7.36</v>
      </c>
      <c r="AG117" s="146">
        <f>ROUND(X117*(1+'Adaos Distr'!$C$124),2)</f>
        <v>8.31</v>
      </c>
      <c r="AH117" s="146">
        <f>ROUND(Y117*(1+'Adaos Distr'!$C$124),2)</f>
        <v>8.92</v>
      </c>
      <c r="AI117" s="146">
        <f>ROUND(Z117*(1+'Adaos Distr'!$C$124),2)</f>
        <v>8.31</v>
      </c>
      <c r="AJ117" s="146">
        <f>ROUND(AA117*(1+'Adaos Distr'!$C$124),2)</f>
        <v>8.92</v>
      </c>
      <c r="AK117" s="146">
        <f>ROUND(AB117*(1+'Adaos Distr'!$C$124),2)</f>
        <v>9.19</v>
      </c>
      <c r="AL117" s="146">
        <f>ROUND(AC117*(1+'Adaos Distr'!$C$124),2)</f>
        <v>11.79</v>
      </c>
      <c r="AM117" s="146">
        <f>ROUND(AD117*(1+'Adaos Distr'!$C$124),2)</f>
        <v>10.39</v>
      </c>
      <c r="AN117" s="146">
        <f>ROUND(AE117*(1+'Adaos RESELLER'!$C$124),2)</f>
        <v>7.36</v>
      </c>
      <c r="AO117" s="146">
        <f>ROUND(AF117*(1+'Adaos RESELLER'!$C$124),2)</f>
        <v>7.36</v>
      </c>
      <c r="AP117" s="146">
        <f>ROUND(AG117*(1+'Adaos RESELLER'!$C$124),2)</f>
        <v>8.31</v>
      </c>
      <c r="AQ117" s="146">
        <f>ROUND(AH117*(1+'Adaos RESELLER'!$C$124),2)</f>
        <v>8.92</v>
      </c>
      <c r="AR117" s="146">
        <f>ROUND(AI117*(1+'Adaos RESELLER'!$C$124),2)</f>
        <v>8.31</v>
      </c>
      <c r="AS117" s="146">
        <f>ROUND(AJ117*(1+'Adaos RESELLER'!$C$124),2)</f>
        <v>8.92</v>
      </c>
      <c r="AT117" s="146">
        <f>ROUND(AK117*(1+'Adaos RESELLER'!$C$124),2)</f>
        <v>9.19</v>
      </c>
      <c r="AU117" s="146">
        <f>ROUND(AL117*(1+'Adaos RESELLER'!$C$124),2)</f>
        <v>11.79</v>
      </c>
      <c r="AV117" s="146">
        <f>ROUND(AM117*(1+'Adaos RESELLER'!$C$124),2)</f>
        <v>10.39</v>
      </c>
    </row>
    <row r="118" spans="1:48" s="202" customFormat="1">
      <c r="D118" s="174">
        <v>13.69</v>
      </c>
      <c r="E118" s="174">
        <v>16.97</v>
      </c>
      <c r="F118" s="174"/>
      <c r="G118" s="174"/>
      <c r="H118" s="174"/>
      <c r="I118" s="174"/>
      <c r="J118" s="174"/>
      <c r="K118" s="174"/>
      <c r="L118" s="174"/>
      <c r="M118" s="148">
        <f>IF(Select!$E$23=1,V118,IF(Select!$E$23=2,AE118,IF(Select!$E$23=3,AN118)))</f>
        <v>10.130000000000001</v>
      </c>
      <c r="N118" s="148">
        <f>IF(Select!$E$23=1,W118,IF(Select!$E$23=2,AF118,IF(Select!$E$23=3,AO118)))</f>
        <v>12.56</v>
      </c>
      <c r="O118" s="148"/>
      <c r="P118" s="148"/>
      <c r="Q118" s="148"/>
      <c r="R118" s="148"/>
      <c r="S118" s="148"/>
      <c r="T118" s="148"/>
      <c r="U118" s="148"/>
      <c r="V118" s="202">
        <f>ROUND(D118*(1-'Disc Dep'!$C$124),2)</f>
        <v>10.130000000000001</v>
      </c>
      <c r="W118" s="202">
        <f>ROUND(E118*(1-'Disc Dep'!$C$124),2)</f>
        <v>12.56</v>
      </c>
      <c r="AE118" s="202">
        <f>ROUND(V118*(1+'Adaos Distr'!$C$124),2)</f>
        <v>10.130000000000001</v>
      </c>
      <c r="AF118" s="202">
        <f>ROUND(W118*(1+'Adaos Distr'!$C$124),2)</f>
        <v>12.56</v>
      </c>
      <c r="AN118" s="202">
        <f>ROUND(AE118*(1+'Adaos RESELLER'!$C$124),2)</f>
        <v>10.130000000000001</v>
      </c>
      <c r="AO118" s="202">
        <f>ROUND(AF118*(1+'Adaos RESELLER'!$C$124),2)</f>
        <v>12.56</v>
      </c>
    </row>
    <row r="119" spans="1:48" s="195" customFormat="1">
      <c r="A119" s="195" t="s">
        <v>1664</v>
      </c>
      <c r="C119" s="195">
        <f>IF(Select!$B$232=2,M119,IF(Select!$B$232=3,N119,IF(Select!$B$232=4,O119,IF(Select!$B$232=5,P119,IF(Select!$B$232=6,Q119,IF(Select!$B$232=7,R119,IF(Select!$B$232=8,S119,IF(Select!$B$232=9,T119,IF(Select!$B$232=10,U119,0)))))))))</f>
        <v>0</v>
      </c>
      <c r="D119" s="174">
        <v>5.91</v>
      </c>
      <c r="E119" s="174">
        <v>6.6</v>
      </c>
      <c r="F119" s="174">
        <v>7.64</v>
      </c>
      <c r="G119" s="174">
        <v>8.2100000000000009</v>
      </c>
      <c r="H119" s="174">
        <v>7.19</v>
      </c>
      <c r="I119" s="174">
        <v>8.2100000000000009</v>
      </c>
      <c r="J119" s="174">
        <v>8.56</v>
      </c>
      <c r="K119" s="174">
        <v>12.18</v>
      </c>
      <c r="L119" s="174">
        <v>10.76</v>
      </c>
      <c r="M119" s="148">
        <f>IF(Select!$E$23=1,V119,IF(Select!$E$23=2,AE119,IF(Select!$E$23=3,AN119)))</f>
        <v>4.37</v>
      </c>
      <c r="N119" s="148">
        <f>IF(Select!$E$23=1,W119,IF(Select!$E$23=2,AF119,IF(Select!$E$23=3,AO119)))</f>
        <v>4.88</v>
      </c>
      <c r="O119" s="148">
        <f>IF(Select!$E$23=1,X119,IF(Select!$E$23=2,AG119,IF(Select!$E$23=3,AP119)))</f>
        <v>5.65</v>
      </c>
      <c r="P119" s="148">
        <f>IF(Select!$E$23=1,Y119,IF(Select!$E$23=2,AH119,IF(Select!$E$23=3,AQ119)))</f>
        <v>6.08</v>
      </c>
      <c r="Q119" s="148">
        <f>IF(Select!$E$23=1,Z119,IF(Select!$E$23=2,AI119,IF(Select!$E$23=3,AR119)))</f>
        <v>5.32</v>
      </c>
      <c r="R119" s="148">
        <f>IF(Select!$E$23=1,AA119,IF(Select!$E$23=2,AJ119,IF(Select!$E$23=3,AS119)))</f>
        <v>6.08</v>
      </c>
      <c r="S119" s="148">
        <f>IF(Select!$E$23=1,AB119,IF(Select!$E$23=2,AK119,IF(Select!$E$23=3,AT119)))</f>
        <v>6.33</v>
      </c>
      <c r="T119" s="148">
        <f>IF(Select!$E$23=1,AC119,IF(Select!$E$23=2,AL119,IF(Select!$E$23=3,AU119)))</f>
        <v>9.01</v>
      </c>
      <c r="U119" s="148">
        <f>IF(Select!$E$23=1,AD119,IF(Select!$E$23=2,AM119,IF(Select!$E$23=3,AV119)))</f>
        <v>7.96</v>
      </c>
      <c r="V119" s="202">
        <f>ROUND(D119*(1-'Disc Dep'!$C$124),2)</f>
        <v>4.37</v>
      </c>
      <c r="W119" s="202">
        <f>ROUND(E119*(1-'Disc Dep'!$C$124),2)</f>
        <v>4.88</v>
      </c>
      <c r="X119" s="195">
        <f>ROUND(F119*(1-'Disc Dep'!$C$124),2)</f>
        <v>5.65</v>
      </c>
      <c r="Y119" s="195">
        <f>ROUND(G119*(1-'Disc Dep'!$C$124),2)</f>
        <v>6.08</v>
      </c>
      <c r="Z119" s="195">
        <f>ROUND(H119*(1-'Disc Dep'!$C$124),2)</f>
        <v>5.32</v>
      </c>
      <c r="AA119" s="195">
        <f>ROUND(I119*(1-'Disc Dep'!$C$124),2)</f>
        <v>6.08</v>
      </c>
      <c r="AB119" s="195">
        <f>ROUND(J119*(1-'Disc Dep'!$C$124),2)</f>
        <v>6.33</v>
      </c>
      <c r="AC119" s="195">
        <f>ROUND(K119*(1-'Disc Dep'!$C$124),2)</f>
        <v>9.01</v>
      </c>
      <c r="AD119" s="195">
        <f>ROUND(L119*(1-'Disc Dep'!$C$124),2)</f>
        <v>7.96</v>
      </c>
      <c r="AE119" s="202">
        <f>ROUND(V119*(1+'Adaos Distr'!$C$124),2)</f>
        <v>4.37</v>
      </c>
      <c r="AF119" s="202">
        <f>ROUND(W119*(1+'Adaos Distr'!$C$124),2)</f>
        <v>4.88</v>
      </c>
      <c r="AG119" s="195">
        <f>ROUND(X119*(1+'Adaos Distr'!$C$124),2)</f>
        <v>5.65</v>
      </c>
      <c r="AH119" s="195">
        <f>ROUND(Y119*(1+'Adaos Distr'!$C$124),2)</f>
        <v>6.08</v>
      </c>
      <c r="AI119" s="195">
        <f>ROUND(Z119*(1+'Adaos Distr'!$C$124),2)</f>
        <v>5.32</v>
      </c>
      <c r="AJ119" s="195">
        <f>ROUND(AA119*(1+'Adaos Distr'!$C$124),2)</f>
        <v>6.08</v>
      </c>
      <c r="AK119" s="195">
        <f>ROUND(AB119*(1+'Adaos Distr'!$C$124),2)</f>
        <v>6.33</v>
      </c>
      <c r="AL119" s="195">
        <f>ROUND(AC119*(1+'Adaos Distr'!$C$124),2)</f>
        <v>9.01</v>
      </c>
      <c r="AM119" s="195">
        <f>ROUND(AD119*(1+'Adaos Distr'!$C$124),2)</f>
        <v>7.96</v>
      </c>
      <c r="AN119" s="202">
        <f>ROUND(AE119*(1+'Adaos RESELLER'!$C$124),2)</f>
        <v>4.37</v>
      </c>
      <c r="AO119" s="202">
        <f>ROUND(AF119*(1+'Adaos RESELLER'!$C$124),2)</f>
        <v>4.88</v>
      </c>
      <c r="AP119" s="195">
        <f>ROUND(AG119*(1+'Adaos RESELLER'!$C$124),2)</f>
        <v>5.65</v>
      </c>
      <c r="AQ119" s="195">
        <f>ROUND(AH119*(1+'Adaos RESELLER'!$C$124),2)</f>
        <v>6.08</v>
      </c>
      <c r="AR119" s="195">
        <f>ROUND(AI119*(1+'Adaos RESELLER'!$C$124),2)</f>
        <v>5.32</v>
      </c>
      <c r="AS119" s="195">
        <f>ROUND(AJ119*(1+'Adaos RESELLER'!$C$124),2)</f>
        <v>6.08</v>
      </c>
      <c r="AT119" s="195">
        <f>ROUND(AK119*(1+'Adaos RESELLER'!$C$124),2)</f>
        <v>6.33</v>
      </c>
      <c r="AU119" s="195">
        <f>ROUND(AL119*(1+'Adaos RESELLER'!$C$124),2)</f>
        <v>9.01</v>
      </c>
      <c r="AV119" s="195">
        <f>ROUND(AM119*(1+'Adaos RESELLER'!$C$124),2)</f>
        <v>7.96</v>
      </c>
    </row>
    <row r="120" spans="1:48" s="202" customFormat="1">
      <c r="D120" s="174">
        <v>11.79</v>
      </c>
      <c r="E120" s="174">
        <v>12.96</v>
      </c>
      <c r="F120" s="174"/>
      <c r="G120" s="174"/>
      <c r="H120" s="174"/>
      <c r="I120" s="174"/>
      <c r="J120" s="174"/>
      <c r="K120" s="174"/>
      <c r="L120" s="174"/>
      <c r="M120" s="148">
        <f>IF(Select!$E$23=1,V120,IF(Select!$E$23=2,AE120,IF(Select!$E$23=3,AN120)))</f>
        <v>8.7200000000000006</v>
      </c>
      <c r="N120" s="148">
        <f>IF(Select!$E$23=1,W120,IF(Select!$E$23=2,AF120,IF(Select!$E$23=3,AO120)))</f>
        <v>9.59</v>
      </c>
      <c r="O120" s="148"/>
      <c r="P120" s="148"/>
      <c r="Q120" s="148"/>
      <c r="R120" s="148"/>
      <c r="S120" s="148"/>
      <c r="T120" s="148"/>
      <c r="U120" s="148"/>
      <c r="V120" s="202">
        <f>ROUND(D120*(1-'Disc Dep'!$C$124),2)</f>
        <v>8.7200000000000006</v>
      </c>
      <c r="W120" s="202">
        <f>ROUND(E120*(1-'Disc Dep'!$C$124),2)</f>
        <v>9.59</v>
      </c>
      <c r="AE120" s="202">
        <f>ROUND(V120*(1+'Adaos Distr'!$C$124),2)</f>
        <v>8.7200000000000006</v>
      </c>
      <c r="AF120" s="202">
        <f>ROUND(W120*(1+'Adaos Distr'!$C$124),2)</f>
        <v>9.59</v>
      </c>
      <c r="AN120" s="202">
        <f>ROUND(AE120*(1+'Adaos RESELLER'!$C$124),2)</f>
        <v>8.7200000000000006</v>
      </c>
      <c r="AO120" s="202">
        <f>ROUND(AF120*(1+'Adaos RESELLER'!$C$124),2)</f>
        <v>9.59</v>
      </c>
    </row>
    <row r="121" spans="1:48" s="146" customFormat="1">
      <c r="A121" s="146" t="str">
        <f>Lang!A56</f>
        <v>Bordura SPECIALA ZINCAT</v>
      </c>
      <c r="C121" s="146">
        <f>IF(Select!$B$279=2,M121,IF(Select!$B$279=3,N121,IF(Select!$B$279=4,O121,IF(Select!$B$279=5,P121,IF(Select!$B$279=6,Q121,IF(Select!$B$279=7,R121,0))))))</f>
        <v>0</v>
      </c>
      <c r="D121" s="174">
        <v>7.95</v>
      </c>
      <c r="E121" s="174">
        <v>0</v>
      </c>
      <c r="F121" s="174">
        <v>10.56</v>
      </c>
      <c r="G121" s="174">
        <v>0</v>
      </c>
      <c r="H121" s="174">
        <v>15.07</v>
      </c>
      <c r="I121" s="174">
        <v>18.78</v>
      </c>
      <c r="J121" s="174"/>
      <c r="K121" s="174"/>
      <c r="L121" s="174"/>
      <c r="M121" s="148">
        <f>IF(Select!$E$23=1,V121,IF(Select!$E$23=2,AE121,IF(Select!$E$23=3,AN121)))</f>
        <v>5.88</v>
      </c>
      <c r="N121" s="148">
        <f>IF(Select!$E$23=1,W121,IF(Select!$E$23=2,AF121,IF(Select!$E$23=3,AO121)))</f>
        <v>0</v>
      </c>
      <c r="O121" s="148">
        <f>IF(Select!$E$23=1,X121,IF(Select!$E$23=2,AG121,IF(Select!$E$23=3,AP121)))</f>
        <v>7.81</v>
      </c>
      <c r="P121" s="148">
        <f>IF(Select!$E$23=1,Y121,IF(Select!$E$23=2,AH121,IF(Select!$E$23=3,AQ121)))</f>
        <v>0</v>
      </c>
      <c r="Q121" s="148">
        <f>IF(Select!$E$23=1,Z121,IF(Select!$E$23=2,AI121,IF(Select!$E$23=3,AR121)))</f>
        <v>11.15</v>
      </c>
      <c r="R121" s="148">
        <f>IF(Select!$E$23=1,AA121,IF(Select!$E$23=2,AJ121,IF(Select!$E$23=3,AS121)))</f>
        <v>13.9</v>
      </c>
      <c r="S121" s="148">
        <f>IF(Select!$E$23=1,AB121,IF(Select!$E$23=2,AK121,IF(Select!$E$23=3,AT121)))</f>
        <v>0</v>
      </c>
      <c r="T121" s="148">
        <f>IF(Select!$E$23=1,AC121,IF(Select!$E$23=2,AL121,IF(Select!$E$23=3,AU121)))</f>
        <v>0</v>
      </c>
      <c r="U121" s="148">
        <f>IF(Select!$E$23=1,AD121,IF(Select!$E$23=2,AM121,IF(Select!$E$23=3,AV121)))</f>
        <v>0</v>
      </c>
      <c r="V121" s="146">
        <f>ROUND(D121*(1-'Disc Dep'!$C$125),2)</f>
        <v>5.88</v>
      </c>
      <c r="W121" s="146">
        <f>ROUND(E121*(1-'Disc Dep'!$C$125),2)</f>
        <v>0</v>
      </c>
      <c r="X121" s="146">
        <f>ROUND(F121*(1-'Disc Dep'!$C$125),2)</f>
        <v>7.81</v>
      </c>
      <c r="Y121" s="146">
        <f>ROUND(G121*(1-'Disc Dep'!$C$125),2)</f>
        <v>0</v>
      </c>
      <c r="Z121" s="146">
        <f>ROUND(H121*(1-'Disc Dep'!$C$125),2)</f>
        <v>11.15</v>
      </c>
      <c r="AA121" s="146">
        <f>ROUND(I121*(1-'Disc Dep'!$C$125),2)</f>
        <v>13.9</v>
      </c>
      <c r="AB121" s="146">
        <f>ROUND(J121*(1-'Disc Dep'!$C$125),2)</f>
        <v>0</v>
      </c>
      <c r="AC121" s="146">
        <f>ROUND(K121*(1-'Disc Dep'!$C$125),2)</f>
        <v>0</v>
      </c>
      <c r="AD121" s="146">
        <f>ROUND(L121*(1-'Disc Dep'!$C$125),2)</f>
        <v>0</v>
      </c>
      <c r="AE121" s="146">
        <f>ROUND(V121*(1+'Adaos Distr'!$C$125),2)</f>
        <v>5.88</v>
      </c>
      <c r="AF121" s="146">
        <f>ROUND(W121*(1+'Adaos Distr'!$C$125),2)</f>
        <v>0</v>
      </c>
      <c r="AG121" s="146">
        <f>ROUND(X121*(1+'Adaos Distr'!$C$125),2)</f>
        <v>7.81</v>
      </c>
      <c r="AH121" s="146">
        <f>ROUND(Y121*(1+'Adaos Distr'!$C$125),2)</f>
        <v>0</v>
      </c>
      <c r="AI121" s="146">
        <f>ROUND(Z121*(1+'Adaos Distr'!$C$125),2)</f>
        <v>11.15</v>
      </c>
      <c r="AJ121" s="146">
        <f>ROUND(AA121*(1+'Adaos Distr'!$C$125),2)</f>
        <v>13.9</v>
      </c>
      <c r="AK121" s="146">
        <f>ROUND(AB121*(1+'Adaos Distr'!$C$125),2)</f>
        <v>0</v>
      </c>
      <c r="AL121" s="146">
        <f>ROUND(AC121*(1+'Adaos Distr'!$C$125),2)</f>
        <v>0</v>
      </c>
      <c r="AM121" s="146">
        <f>ROUND(AD121*(1+'Adaos Distr'!$C$125),2)</f>
        <v>0</v>
      </c>
      <c r="AN121" s="146">
        <f>ROUND(AE121*(1+'Adaos RESELLER'!$C$125),2)</f>
        <v>5.88</v>
      </c>
      <c r="AO121" s="146">
        <f>ROUND(AF121*(1+'Adaos RESELLER'!$C$125),2)</f>
        <v>0</v>
      </c>
      <c r="AP121" s="146">
        <f>ROUND(AG121*(1+'Adaos RESELLER'!$C$125),2)</f>
        <v>7.81</v>
      </c>
      <c r="AQ121" s="146">
        <f>ROUND(AH121*(1+'Adaos RESELLER'!$C$125),2)</f>
        <v>0</v>
      </c>
      <c r="AR121" s="146">
        <f>ROUND(AI121*(1+'Adaos RESELLER'!$C$125),2)</f>
        <v>11.15</v>
      </c>
      <c r="AS121" s="146">
        <f>ROUND(AJ121*(1+'Adaos RESELLER'!$C$125),2)</f>
        <v>13.9</v>
      </c>
      <c r="AT121" s="146">
        <f>ROUND(AK121*(1+'Adaos RESELLER'!$C$125),2)</f>
        <v>0</v>
      </c>
      <c r="AU121" s="146">
        <f>ROUND(AL121*(1+'Adaos RESELLER'!$C$125),2)</f>
        <v>0</v>
      </c>
      <c r="AV121" s="146">
        <f>ROUND(AM121*(1+'Adaos RESELLER'!$C$125),2)</f>
        <v>0</v>
      </c>
    </row>
    <row r="122" spans="1:48">
      <c r="A122" s="147" t="s">
        <v>1659</v>
      </c>
      <c r="C122" s="146">
        <f>IF(Select!$B$232=2,M122,IF(Select!$B$232=3,N122,IF(Select!$B$232=4,O122,IF(Select!$B$232=5,P122,IF(Select!$B$232=6,Q122,IF(Select!$B$232=7,R122,IF(Select!$B$232=8,S122,IF(Select!$B$232=9,T122,IF(Select!$B$232=10,U122,0)))))))))</f>
        <v>0</v>
      </c>
      <c r="D122" s="175">
        <v>14.78</v>
      </c>
      <c r="E122" s="175">
        <v>16.510000000000002</v>
      </c>
      <c r="F122" s="175">
        <v>19.11</v>
      </c>
      <c r="G122" s="175">
        <v>20.52</v>
      </c>
      <c r="H122" s="175">
        <v>17.97</v>
      </c>
      <c r="I122" s="175">
        <v>20.53</v>
      </c>
      <c r="J122" s="175">
        <v>21.39</v>
      </c>
      <c r="K122" s="175">
        <v>30.47</v>
      </c>
      <c r="L122" s="175">
        <v>26.9</v>
      </c>
      <c r="M122" s="148">
        <f>IF(Select!$E$23=1,V122,IF(Select!$E$23=2,AE122,IF(Select!$E$23=3,AN122)))</f>
        <v>10.94</v>
      </c>
      <c r="N122" s="148">
        <f>IF(Select!$E$23=1,W122,IF(Select!$E$23=2,AF122,IF(Select!$E$23=3,AO122)))</f>
        <v>12.22</v>
      </c>
      <c r="O122" s="148">
        <f>IF(Select!$E$23=1,X122,IF(Select!$E$23=2,AG122,IF(Select!$E$23=3,AP122)))</f>
        <v>14.14</v>
      </c>
      <c r="P122" s="148">
        <f>IF(Select!$E$23=1,Y122,IF(Select!$E$23=2,AH122,IF(Select!$E$23=3,AQ122)))</f>
        <v>15.18</v>
      </c>
      <c r="Q122" s="148">
        <f>IF(Select!$E$23=1,Z122,IF(Select!$E$23=2,AI122,IF(Select!$E$23=3,AR122)))</f>
        <v>13.3</v>
      </c>
      <c r="R122" s="148">
        <f>IF(Select!$E$23=1,AA122,IF(Select!$E$23=2,AJ122,IF(Select!$E$23=3,AS122)))</f>
        <v>15.19</v>
      </c>
      <c r="S122" s="148">
        <f>IF(Select!$E$23=1,AB122,IF(Select!$E$23=2,AK122,IF(Select!$E$23=3,AT122)))</f>
        <v>15.83</v>
      </c>
      <c r="T122" s="148">
        <f>IF(Select!$E$23=1,AC122,IF(Select!$E$23=2,AL122,IF(Select!$E$23=3,AU122)))</f>
        <v>22.55</v>
      </c>
      <c r="U122" s="148">
        <f>IF(Select!$E$23=1,AD122,IF(Select!$E$23=2,AM122,IF(Select!$E$23=3,AV122)))</f>
        <v>19.91</v>
      </c>
      <c r="V122" s="146">
        <f>ROUND(D122*(1-'Disc Dep'!$C$115),2)</f>
        <v>10.94</v>
      </c>
      <c r="W122" s="146">
        <f>ROUND(E122*(1-'Disc Dep'!$C$115),2)</f>
        <v>12.22</v>
      </c>
      <c r="X122" s="146">
        <f>ROUND(F122*(1-'Disc Dep'!$C$115),2)</f>
        <v>14.14</v>
      </c>
      <c r="Y122" s="146">
        <f>ROUND(G122*(1-'Disc Dep'!$C$115),2)</f>
        <v>15.18</v>
      </c>
      <c r="Z122" s="146">
        <f>ROUND(H122*(1-'Disc Dep'!$C$115),2)</f>
        <v>13.3</v>
      </c>
      <c r="AA122" s="146">
        <f>ROUND(I122*(1-'Disc Dep'!$C$115),2)</f>
        <v>15.19</v>
      </c>
      <c r="AB122" s="146">
        <f>ROUND(J122*(1-'Disc Dep'!$C$115),2)</f>
        <v>15.83</v>
      </c>
      <c r="AC122" s="146">
        <f>ROUND(K122*(1-'Disc Dep'!$C$115),2)</f>
        <v>22.55</v>
      </c>
      <c r="AD122" s="146">
        <f>ROUND(L122*(1-'Disc Dep'!$C$115),2)</f>
        <v>19.91</v>
      </c>
      <c r="AE122" s="146">
        <f>ROUND(V122*(1+'Adaos Distr'!$C$115),2)</f>
        <v>10.94</v>
      </c>
      <c r="AF122" s="146">
        <f>ROUND(W122*(1+'Adaos Distr'!$C$115),2)</f>
        <v>12.22</v>
      </c>
      <c r="AG122" s="146">
        <f>ROUND(X122*(1+'Adaos Distr'!$C$115),2)</f>
        <v>14.14</v>
      </c>
      <c r="AH122" s="146">
        <f>ROUND(Y122*(1+'Adaos Distr'!$C$115),2)</f>
        <v>15.18</v>
      </c>
      <c r="AI122" s="146">
        <f>ROUND(Z122*(1+'Adaos Distr'!$C$115),2)</f>
        <v>13.3</v>
      </c>
      <c r="AJ122" s="146">
        <f>ROUND(AA122*(1+'Adaos Distr'!$C$115),2)</f>
        <v>15.19</v>
      </c>
      <c r="AK122" s="146">
        <f>ROUND(AB122*(1+'Adaos Distr'!$C$115),2)</f>
        <v>15.83</v>
      </c>
      <c r="AL122" s="146">
        <f>ROUND(AC122*(1+'Adaos Distr'!$C$115),2)</f>
        <v>22.55</v>
      </c>
      <c r="AM122" s="146">
        <f>ROUND(AD122*(1+'Adaos Distr'!$C$115),2)</f>
        <v>19.91</v>
      </c>
      <c r="AN122" s="146">
        <f>ROUND(AE122*(1+'Adaos RESELLER'!$C$115),2)</f>
        <v>10.94</v>
      </c>
      <c r="AO122" s="146">
        <f>ROUND(AF122*(1+'Adaos RESELLER'!$C$115),2)</f>
        <v>12.22</v>
      </c>
      <c r="AP122" s="146">
        <f>ROUND(AG122*(1+'Adaos RESELLER'!$C$115),2)</f>
        <v>14.14</v>
      </c>
      <c r="AQ122" s="146">
        <f>ROUND(AH122*(1+'Adaos RESELLER'!$C$115),2)</f>
        <v>15.18</v>
      </c>
      <c r="AR122" s="146">
        <f>ROUND(AI122*(1+'Adaos RESELLER'!$C$115),2)</f>
        <v>13.3</v>
      </c>
      <c r="AS122" s="146">
        <f>ROUND(AJ122*(1+'Adaos RESELLER'!$C$115),2)</f>
        <v>15.19</v>
      </c>
      <c r="AT122" s="146">
        <f>ROUND(AK122*(1+'Adaos RESELLER'!$C$115),2)</f>
        <v>15.83</v>
      </c>
      <c r="AU122" s="146">
        <f>ROUND(AL122*(1+'Adaos RESELLER'!$C$115),2)</f>
        <v>22.55</v>
      </c>
      <c r="AV122" s="146">
        <f>ROUND(AM122*(1+'Adaos RESELLER'!$C$115),2)</f>
        <v>19.91</v>
      </c>
    </row>
    <row r="123" spans="1:48">
      <c r="C123" s="202"/>
      <c r="D123" s="175">
        <v>29.47</v>
      </c>
      <c r="E123" s="175">
        <v>32.39</v>
      </c>
      <c r="F123" s="175"/>
      <c r="G123" s="175"/>
      <c r="H123" s="175"/>
      <c r="I123" s="175"/>
      <c r="J123" s="175"/>
      <c r="K123" s="175"/>
      <c r="L123" s="175"/>
      <c r="M123" s="148">
        <f>IF(Select!$E$23=1,V123,IF(Select!$E$23=2,AE123,IF(Select!$E$23=3,AN123)))</f>
        <v>21.81</v>
      </c>
      <c r="N123" s="148">
        <f>IF(Select!$E$23=1,W123,IF(Select!$E$23=2,AF123,IF(Select!$E$23=3,AO123)))</f>
        <v>23.97</v>
      </c>
      <c r="O123" s="148"/>
      <c r="P123" s="148"/>
      <c r="Q123" s="148"/>
      <c r="R123" s="148"/>
      <c r="S123" s="148"/>
      <c r="T123" s="148"/>
      <c r="U123" s="148"/>
      <c r="V123" s="202">
        <f>ROUND(D123*(1-'Disc Dep'!$C$115),2)</f>
        <v>21.81</v>
      </c>
      <c r="W123" s="202">
        <f>ROUND(E123*(1-'Disc Dep'!$C$115),2)</f>
        <v>23.97</v>
      </c>
      <c r="X123" s="202"/>
      <c r="Y123" s="202"/>
      <c r="Z123" s="202"/>
      <c r="AA123" s="202"/>
      <c r="AB123" s="202"/>
      <c r="AC123" s="202"/>
      <c r="AD123" s="202"/>
      <c r="AE123" s="202">
        <f>ROUND(V123*(1+'Adaos Distr'!$C$115),2)</f>
        <v>21.81</v>
      </c>
      <c r="AF123" s="202">
        <f>ROUND(W123*(1+'Adaos Distr'!$C$115),2)</f>
        <v>23.97</v>
      </c>
      <c r="AG123" s="202"/>
      <c r="AH123" s="202"/>
      <c r="AI123" s="202"/>
      <c r="AJ123" s="202"/>
      <c r="AK123" s="202"/>
      <c r="AL123" s="202"/>
      <c r="AM123" s="202"/>
      <c r="AN123" s="202">
        <f>ROUND(AE123*(1+'Adaos RESELLER'!$C$115),2)</f>
        <v>21.81</v>
      </c>
      <c r="AO123" s="202">
        <f>ROUND(AF123*(1+'Adaos RESELLER'!$C$115),2)</f>
        <v>23.97</v>
      </c>
      <c r="AP123" s="202"/>
      <c r="AQ123" s="202"/>
      <c r="AR123" s="202"/>
      <c r="AS123" s="202"/>
      <c r="AT123" s="202"/>
      <c r="AU123" s="202"/>
      <c r="AV123" s="202"/>
    </row>
    <row r="124" spans="1:48">
      <c r="C124" s="202"/>
      <c r="D124" s="175"/>
      <c r="E124" s="175"/>
      <c r="F124" s="175"/>
      <c r="G124" s="175"/>
      <c r="H124" s="175"/>
      <c r="I124" s="175"/>
      <c r="J124" s="175"/>
      <c r="K124" s="175"/>
      <c r="L124" s="175"/>
      <c r="M124" s="148"/>
      <c r="N124" s="148"/>
      <c r="O124" s="148"/>
      <c r="P124" s="148"/>
      <c r="Q124" s="148"/>
      <c r="R124" s="148"/>
      <c r="S124" s="148"/>
      <c r="T124" s="148"/>
      <c r="U124" s="148"/>
      <c r="V124" s="202"/>
      <c r="W124" s="202"/>
      <c r="X124" s="202"/>
      <c r="Y124" s="202"/>
      <c r="Z124" s="202"/>
      <c r="AA124" s="202"/>
      <c r="AB124" s="202"/>
      <c r="AC124" s="202"/>
      <c r="AD124" s="202"/>
      <c r="AE124" s="202"/>
      <c r="AF124" s="202"/>
      <c r="AG124" s="202"/>
      <c r="AH124" s="202"/>
      <c r="AI124" s="202"/>
      <c r="AJ124" s="202"/>
      <c r="AK124" s="202"/>
      <c r="AL124" s="202"/>
      <c r="AM124" s="202"/>
      <c r="AN124" s="202"/>
      <c r="AO124" s="202"/>
      <c r="AP124" s="202"/>
      <c r="AQ124" s="202"/>
      <c r="AR124" s="202"/>
      <c r="AS124" s="202"/>
      <c r="AT124" s="202"/>
      <c r="AU124" s="202"/>
      <c r="AV124" s="202"/>
    </row>
    <row r="125" spans="1:48">
      <c r="C125" s="202"/>
      <c r="D125" s="175"/>
      <c r="E125" s="175"/>
      <c r="F125" s="175"/>
      <c r="G125" s="175"/>
      <c r="H125" s="175"/>
      <c r="I125" s="175"/>
      <c r="J125" s="175"/>
      <c r="K125" s="175"/>
      <c r="L125" s="175"/>
      <c r="M125" s="148"/>
      <c r="N125" s="148"/>
      <c r="O125" s="148"/>
      <c r="P125" s="148"/>
      <c r="Q125" s="148"/>
      <c r="R125" s="148"/>
      <c r="S125" s="148"/>
      <c r="T125" s="148"/>
      <c r="U125" s="148"/>
      <c r="V125" s="202"/>
      <c r="W125" s="202"/>
      <c r="X125" s="202"/>
      <c r="Y125" s="202"/>
      <c r="Z125" s="202"/>
      <c r="AA125" s="202"/>
      <c r="AB125" s="202"/>
      <c r="AC125" s="202"/>
      <c r="AD125" s="202"/>
      <c r="AE125" s="202"/>
      <c r="AF125" s="202"/>
      <c r="AG125" s="202"/>
      <c r="AH125" s="202"/>
      <c r="AI125" s="202"/>
      <c r="AJ125" s="202"/>
      <c r="AK125" s="202"/>
      <c r="AL125" s="202"/>
      <c r="AM125" s="202"/>
      <c r="AN125" s="202"/>
      <c r="AO125" s="202"/>
      <c r="AP125" s="202"/>
      <c r="AQ125" s="202"/>
      <c r="AR125" s="202"/>
      <c r="AS125" s="202"/>
      <c r="AT125" s="202"/>
      <c r="AU125" s="202"/>
      <c r="AV125" s="202"/>
    </row>
    <row r="126" spans="1:48">
      <c r="C126" s="202"/>
      <c r="D126" s="175"/>
      <c r="E126" s="175"/>
      <c r="F126" s="175"/>
      <c r="G126" s="175"/>
      <c r="H126" s="175"/>
      <c r="I126" s="175"/>
      <c r="J126" s="175"/>
      <c r="K126" s="175"/>
      <c r="L126" s="175"/>
      <c r="M126" s="148"/>
      <c r="N126" s="148"/>
      <c r="O126" s="148"/>
      <c r="P126" s="148"/>
      <c r="Q126" s="148"/>
      <c r="R126" s="148"/>
      <c r="S126" s="148"/>
      <c r="T126" s="148"/>
      <c r="U126" s="148"/>
      <c r="V126" s="202"/>
      <c r="W126" s="202"/>
      <c r="X126" s="202"/>
      <c r="Y126" s="202"/>
      <c r="Z126" s="202"/>
      <c r="AA126" s="202"/>
      <c r="AB126" s="202"/>
      <c r="AC126" s="202"/>
      <c r="AD126" s="202"/>
      <c r="AE126" s="202"/>
      <c r="AF126" s="202"/>
      <c r="AG126" s="202"/>
      <c r="AH126" s="202"/>
      <c r="AI126" s="202"/>
      <c r="AJ126" s="202"/>
      <c r="AK126" s="202"/>
      <c r="AL126" s="202"/>
      <c r="AM126" s="202"/>
      <c r="AN126" s="202"/>
      <c r="AO126" s="202"/>
      <c r="AP126" s="202"/>
      <c r="AQ126" s="202"/>
      <c r="AR126" s="202"/>
      <c r="AS126" s="202"/>
      <c r="AT126" s="202"/>
      <c r="AU126" s="202"/>
      <c r="AV126" s="202"/>
    </row>
    <row r="127" spans="1:48" ht="15" thickBot="1">
      <c r="B127" s="147" t="s">
        <v>306</v>
      </c>
      <c r="C127" s="202" t="s">
        <v>244</v>
      </c>
      <c r="D127" s="175"/>
      <c r="E127" s="175"/>
      <c r="F127" s="175"/>
      <c r="M127" s="148"/>
      <c r="N127" s="148"/>
      <c r="O127" s="148"/>
      <c r="P127" s="148"/>
      <c r="Q127" s="148"/>
      <c r="R127" s="148"/>
      <c r="S127" s="148"/>
      <c r="T127" s="148"/>
      <c r="U127" s="148"/>
      <c r="V127" s="202"/>
      <c r="W127" s="202"/>
      <c r="X127" s="202"/>
      <c r="Y127" s="202"/>
      <c r="Z127" s="202"/>
      <c r="AA127" s="202"/>
      <c r="AB127" s="202"/>
      <c r="AC127" s="202"/>
      <c r="AD127" s="202"/>
      <c r="AE127" s="202"/>
      <c r="AF127" s="202"/>
      <c r="AG127" s="202"/>
      <c r="AH127" s="202"/>
      <c r="AI127" s="202"/>
      <c r="AJ127" s="202"/>
      <c r="AK127" s="202"/>
      <c r="AL127" s="202"/>
      <c r="AM127" s="202"/>
      <c r="AN127" s="202"/>
      <c r="AO127" s="202"/>
      <c r="AP127" s="202"/>
      <c r="AQ127" s="202"/>
      <c r="AR127" s="202"/>
      <c r="AS127" s="202"/>
      <c r="AT127" s="202"/>
      <c r="AU127" s="202"/>
      <c r="AV127" s="202"/>
    </row>
    <row r="128" spans="1:48" ht="15" thickBot="1">
      <c r="A128" s="207" t="s">
        <v>1703</v>
      </c>
      <c r="B128" s="212">
        <v>8.9</v>
      </c>
      <c r="C128" s="202">
        <f>IF(Select!$CE$1=5,Info!K128,IF(Select!$E$23=1,D128,IF(Select!$E$23=2,E128,IF(Select!$E$23=3,F128))))</f>
        <v>6.59</v>
      </c>
      <c r="D128" s="175">
        <f>ROUND(B128*(1-'Disc Dep'!J57),2)</f>
        <v>6.59</v>
      </c>
      <c r="E128" s="202">
        <f>ROUND(D128*(1+'Adaos Distr'!J57),2)</f>
        <v>6.59</v>
      </c>
      <c r="F128" s="202">
        <f>ROUND(E128*(1+'Adaos RESELLER'!J57),2)</f>
        <v>6.59</v>
      </c>
      <c r="J128" s="429"/>
      <c r="K128" s="426"/>
      <c r="M128" s="426"/>
      <c r="N128" s="426"/>
      <c r="O128" s="148"/>
      <c r="P128" s="148"/>
      <c r="Q128" s="148"/>
      <c r="R128" s="148"/>
      <c r="S128" s="148"/>
      <c r="T128" s="148"/>
      <c r="U128" s="148"/>
      <c r="V128" s="202"/>
      <c r="W128" s="202"/>
      <c r="X128" s="202"/>
      <c r="Y128" s="202"/>
      <c r="Z128" s="202"/>
      <c r="AA128" s="202"/>
      <c r="AB128" s="202"/>
      <c r="AC128" s="202"/>
      <c r="AD128" s="202"/>
      <c r="AE128" s="202"/>
      <c r="AF128" s="202"/>
      <c r="AG128" s="202"/>
      <c r="AH128" s="202"/>
      <c r="AI128" s="202"/>
      <c r="AJ128" s="202"/>
      <c r="AK128" s="202"/>
      <c r="AL128" s="202"/>
      <c r="AM128" s="202"/>
      <c r="AN128" s="202"/>
      <c r="AO128" s="202"/>
      <c r="AP128" s="202"/>
      <c r="AQ128" s="202"/>
      <c r="AR128" s="202"/>
      <c r="AS128" s="202"/>
      <c r="AT128" s="202"/>
      <c r="AU128" s="202"/>
      <c r="AV128" s="202"/>
    </row>
    <row r="129" spans="1:48">
      <c r="A129" s="208" t="s">
        <v>1675</v>
      </c>
      <c r="B129" s="213">
        <v>25.17</v>
      </c>
      <c r="C129" s="221">
        <f>IF(Select!$CE$1=5,Info!K129,IF(Select!$E$23=1,D129,IF(Select!$E$23=2,E129,IF(Select!$E$23=3,F129))))</f>
        <v>18.63</v>
      </c>
      <c r="D129" s="175">
        <f>ROUND(B129*(1-'Disc Dep'!$C$115),2)</f>
        <v>18.63</v>
      </c>
      <c r="E129" s="202">
        <f>ROUND(D129*(1+'Adaos Distr'!C115),2)</f>
        <v>18.63</v>
      </c>
      <c r="F129" s="202">
        <f>ROUND(E129*(1+'Adaos RESELLER'!C115),2)</f>
        <v>18.63</v>
      </c>
      <c r="J129" s="429"/>
      <c r="K129" s="426"/>
      <c r="M129" s="426"/>
      <c r="N129" s="426"/>
      <c r="O129" s="148"/>
      <c r="P129" s="148"/>
      <c r="Q129" s="148"/>
      <c r="R129" s="148"/>
      <c r="S129" s="148"/>
      <c r="T129" s="148"/>
      <c r="U129" s="148"/>
      <c r="V129" s="202"/>
      <c r="W129" s="202"/>
      <c r="X129" s="202"/>
      <c r="Y129" s="202"/>
      <c r="Z129" s="202"/>
      <c r="AA129" s="202"/>
      <c r="AB129" s="202"/>
      <c r="AC129" s="202"/>
      <c r="AD129" s="202"/>
      <c r="AE129" s="202"/>
      <c r="AF129" s="202"/>
      <c r="AG129" s="202"/>
      <c r="AH129" s="202"/>
      <c r="AI129" s="202"/>
      <c r="AJ129" s="202"/>
      <c r="AK129" s="202"/>
      <c r="AL129" s="202"/>
      <c r="AM129" s="202"/>
      <c r="AN129" s="202"/>
      <c r="AO129" s="202"/>
      <c r="AP129" s="202"/>
      <c r="AQ129" s="202"/>
      <c r="AR129" s="202"/>
      <c r="AS129" s="202"/>
      <c r="AT129" s="202"/>
      <c r="AU129" s="202"/>
      <c r="AV129" s="202"/>
    </row>
    <row r="130" spans="1:48">
      <c r="A130" s="209" t="s">
        <v>1676</v>
      </c>
      <c r="B130" s="214">
        <v>7.38</v>
      </c>
      <c r="C130" s="221">
        <f>IF(Select!$CE$1=5,Info!K130,IF(Select!$E$23=1,D130,IF(Select!$E$23=2,E130,IF(Select!$E$23=3,F130))))</f>
        <v>5.46</v>
      </c>
      <c r="D130" s="175">
        <f>ROUND(B130*(1-'Disc Dep'!$C$111),2)</f>
        <v>5.46</v>
      </c>
      <c r="E130" s="202">
        <f>ROUND(D130*(1+'Adaos Distr'!$C$111),2)</f>
        <v>5.46</v>
      </c>
      <c r="F130" s="202">
        <f>ROUND(E130*(1+'Adaos RESELLER'!$C$111),2)</f>
        <v>5.46</v>
      </c>
      <c r="J130" s="428"/>
      <c r="K130" s="426"/>
      <c r="M130" s="426"/>
      <c r="N130" s="426"/>
      <c r="O130" s="148"/>
      <c r="P130" s="148"/>
      <c r="Q130" s="148"/>
      <c r="R130" s="148"/>
      <c r="S130" s="148"/>
      <c r="T130" s="148"/>
      <c r="U130" s="148"/>
      <c r="V130" s="202"/>
      <c r="W130" s="202"/>
      <c r="X130" s="202"/>
      <c r="Y130" s="202"/>
      <c r="Z130" s="202"/>
      <c r="AA130" s="202"/>
      <c r="AB130" s="202"/>
      <c r="AC130" s="202"/>
      <c r="AD130" s="202"/>
      <c r="AE130" s="202"/>
      <c r="AF130" s="202"/>
      <c r="AG130" s="202"/>
      <c r="AH130" s="202"/>
      <c r="AI130" s="202"/>
      <c r="AJ130" s="202"/>
      <c r="AK130" s="202"/>
      <c r="AL130" s="202"/>
      <c r="AM130" s="202"/>
      <c r="AN130" s="202"/>
      <c r="AO130" s="202"/>
      <c r="AP130" s="202"/>
      <c r="AQ130" s="202"/>
      <c r="AR130" s="202"/>
      <c r="AS130" s="202"/>
      <c r="AT130" s="202"/>
      <c r="AU130" s="202"/>
      <c r="AV130" s="202"/>
    </row>
    <row r="131" spans="1:48">
      <c r="A131" s="210" t="s">
        <v>1677</v>
      </c>
      <c r="B131" s="215">
        <v>9.84</v>
      </c>
      <c r="C131" s="221">
        <f>IF(Select!$CE$1=5,Info!K131,IF(Select!$E$23=1,D131,IF(Select!$E$23=2,E131,IF(Select!$E$23=3,F131))))</f>
        <v>7.28</v>
      </c>
      <c r="D131" s="175">
        <f>ROUND(B131*(1-'Disc Dep'!$C$111),2)</f>
        <v>7.28</v>
      </c>
      <c r="E131" s="219">
        <f>ROUND(D131*(1+'Adaos Distr'!$C$111),2)</f>
        <v>7.28</v>
      </c>
      <c r="F131" s="219">
        <f>ROUND(E131*(1+'Adaos RESELLER'!$C$111),2)</f>
        <v>7.28</v>
      </c>
      <c r="J131" s="428"/>
      <c r="K131" s="426"/>
      <c r="M131" s="426"/>
      <c r="N131" s="426"/>
      <c r="O131" s="148"/>
      <c r="P131" s="148"/>
      <c r="Q131" s="148"/>
      <c r="R131" s="148"/>
      <c r="S131" s="148"/>
      <c r="T131" s="148"/>
      <c r="U131" s="148"/>
      <c r="V131" s="202"/>
      <c r="W131" s="202"/>
      <c r="X131" s="202"/>
      <c r="Y131" s="202"/>
      <c r="Z131" s="202"/>
      <c r="AA131" s="202"/>
      <c r="AB131" s="202"/>
      <c r="AC131" s="202"/>
      <c r="AD131" s="202"/>
      <c r="AE131" s="202"/>
      <c r="AF131" s="202"/>
      <c r="AG131" s="202"/>
      <c r="AH131" s="202"/>
      <c r="AI131" s="202"/>
      <c r="AJ131" s="202"/>
      <c r="AK131" s="202"/>
      <c r="AL131" s="202"/>
      <c r="AM131" s="202"/>
      <c r="AN131" s="202"/>
      <c r="AO131" s="202"/>
      <c r="AP131" s="202"/>
      <c r="AQ131" s="202"/>
      <c r="AR131" s="202"/>
      <c r="AS131" s="202"/>
      <c r="AT131" s="202"/>
      <c r="AU131" s="202"/>
      <c r="AV131" s="202"/>
    </row>
    <row r="132" spans="1:48">
      <c r="A132" s="210" t="s">
        <v>1678</v>
      </c>
      <c r="B132" s="215">
        <v>7.38</v>
      </c>
      <c r="C132" s="221">
        <f>IF(Select!$CE$1=5,Info!K132,IF(Select!$E$23=1,D132,IF(Select!$E$23=2,E132,IF(Select!$E$23=3,F132))))</f>
        <v>5.46</v>
      </c>
      <c r="D132" s="175">
        <f>ROUND(B132*(1-'Disc Dep'!$C$111),2)</f>
        <v>5.46</v>
      </c>
      <c r="E132" s="219">
        <f>ROUND(D132*(1+'Adaos Distr'!$C$111),2)</f>
        <v>5.46</v>
      </c>
      <c r="F132" s="219">
        <f>ROUND(E132*(1+'Adaos RESELLER'!$C$111),2)</f>
        <v>5.46</v>
      </c>
      <c r="J132" s="428"/>
      <c r="K132" s="426"/>
      <c r="M132" s="426"/>
      <c r="N132" s="426"/>
      <c r="O132" s="148"/>
      <c r="P132" s="148"/>
      <c r="Q132" s="148"/>
      <c r="R132" s="148"/>
      <c r="S132" s="148"/>
      <c r="T132" s="148"/>
      <c r="U132" s="148"/>
      <c r="V132" s="202"/>
      <c r="W132" s="202"/>
      <c r="X132" s="202"/>
      <c r="Y132" s="202"/>
      <c r="Z132" s="202"/>
      <c r="AA132" s="202"/>
      <c r="AB132" s="202"/>
      <c r="AC132" s="202"/>
      <c r="AD132" s="202"/>
      <c r="AE132" s="202"/>
      <c r="AF132" s="202"/>
      <c r="AG132" s="202"/>
      <c r="AH132" s="202"/>
      <c r="AI132" s="202"/>
      <c r="AJ132" s="202"/>
      <c r="AK132" s="202"/>
      <c r="AL132" s="202"/>
      <c r="AM132" s="202"/>
      <c r="AN132" s="202"/>
      <c r="AO132" s="202"/>
      <c r="AP132" s="202"/>
      <c r="AQ132" s="202"/>
      <c r="AR132" s="202"/>
      <c r="AS132" s="202"/>
      <c r="AT132" s="202"/>
      <c r="AU132" s="202"/>
      <c r="AV132" s="202"/>
    </row>
    <row r="133" spans="1:48">
      <c r="A133" s="210" t="s">
        <v>1679</v>
      </c>
      <c r="B133" s="215">
        <v>7.38</v>
      </c>
      <c r="C133" s="221">
        <f>IF(Select!$CE$1=5,Info!K133,IF(Select!$E$23=1,D133,IF(Select!$E$23=2,E133,IF(Select!$E$23=3,F133))))</f>
        <v>5.46</v>
      </c>
      <c r="D133" s="175">
        <f>ROUND(B133*(1-'Disc Dep'!$C$111),2)</f>
        <v>5.46</v>
      </c>
      <c r="E133" s="219">
        <f>ROUND(D133*(1+'Adaos Distr'!$C$111),2)</f>
        <v>5.46</v>
      </c>
      <c r="F133" s="219">
        <f>ROUND(E133*(1+'Adaos RESELLER'!$C$111),2)</f>
        <v>5.46</v>
      </c>
      <c r="J133" s="428"/>
      <c r="K133" s="426"/>
      <c r="M133" s="426"/>
      <c r="N133" s="426"/>
      <c r="O133" s="148"/>
      <c r="P133" s="148"/>
      <c r="Q133" s="148"/>
      <c r="R133" s="148"/>
      <c r="S133" s="148"/>
      <c r="T133" s="148"/>
      <c r="U133" s="148"/>
      <c r="V133" s="202"/>
      <c r="W133" s="202"/>
      <c r="X133" s="202"/>
      <c r="Y133" s="202"/>
      <c r="Z133" s="202"/>
      <c r="AA133" s="202"/>
      <c r="AB133" s="202"/>
      <c r="AC133" s="202"/>
      <c r="AD133" s="202"/>
      <c r="AE133" s="202"/>
      <c r="AF133" s="202"/>
      <c r="AG133" s="202"/>
      <c r="AH133" s="202"/>
      <c r="AI133" s="202"/>
      <c r="AJ133" s="202"/>
      <c r="AK133" s="202"/>
      <c r="AL133" s="202"/>
      <c r="AM133" s="202"/>
      <c r="AN133" s="202"/>
      <c r="AO133" s="202"/>
      <c r="AP133" s="202"/>
      <c r="AQ133" s="202"/>
      <c r="AR133" s="202"/>
      <c r="AS133" s="202"/>
      <c r="AT133" s="202"/>
      <c r="AU133" s="202"/>
      <c r="AV133" s="202"/>
    </row>
    <row r="134" spans="1:48">
      <c r="A134" s="210" t="s">
        <v>1680</v>
      </c>
      <c r="B134" s="215">
        <v>3.27</v>
      </c>
      <c r="C134" s="221">
        <f>IF(Select!$CE$1=5,Info!K134,IF(Select!$E$23=1,D134,IF(Select!$E$23=2,E134,IF(Select!$E$23=3,F134))))</f>
        <v>2.42</v>
      </c>
      <c r="D134" s="175">
        <f>ROUND(B134*(1-'Disc Dep'!$C$111),2)</f>
        <v>2.42</v>
      </c>
      <c r="E134" s="219">
        <f>ROUND(D134*(1+'Adaos Distr'!$C$111),2)</f>
        <v>2.42</v>
      </c>
      <c r="F134" s="219">
        <f>ROUND(E134*(1+'Adaos RESELLER'!$C$111),2)</f>
        <v>2.42</v>
      </c>
      <c r="J134" s="428"/>
      <c r="K134" s="426"/>
      <c r="M134" s="426"/>
      <c r="N134" s="426"/>
      <c r="O134" s="148"/>
      <c r="P134" s="148"/>
      <c r="Q134" s="148"/>
      <c r="R134" s="148"/>
      <c r="S134" s="148"/>
      <c r="T134" s="148"/>
      <c r="U134" s="148"/>
      <c r="V134" s="202"/>
      <c r="W134" s="202"/>
      <c r="X134" s="202"/>
      <c r="Y134" s="202"/>
      <c r="Z134" s="202"/>
      <c r="AA134" s="202"/>
      <c r="AB134" s="202"/>
      <c r="AC134" s="202"/>
      <c r="AD134" s="202"/>
      <c r="AE134" s="202"/>
      <c r="AF134" s="202"/>
      <c r="AG134" s="202"/>
      <c r="AH134" s="202"/>
      <c r="AI134" s="202"/>
      <c r="AJ134" s="202"/>
      <c r="AK134" s="202"/>
      <c r="AL134" s="202"/>
      <c r="AM134" s="202"/>
      <c r="AN134" s="202"/>
      <c r="AO134" s="202"/>
      <c r="AP134" s="202"/>
      <c r="AQ134" s="202"/>
      <c r="AR134" s="202"/>
      <c r="AS134" s="202"/>
      <c r="AT134" s="202"/>
      <c r="AU134" s="202"/>
      <c r="AV134" s="202"/>
    </row>
    <row r="135" spans="1:48">
      <c r="A135" s="210" t="s">
        <v>1681</v>
      </c>
      <c r="B135" s="215">
        <v>9.84</v>
      </c>
      <c r="C135" s="221">
        <f>IF(Select!$CE$1=5,Info!K135,IF(Select!$E$23=1,D135,IF(Select!$E$23=2,E135,IF(Select!$E$23=3,F135))))</f>
        <v>7.28</v>
      </c>
      <c r="D135" s="175">
        <f>ROUND(B135*(1-'Disc Dep'!$C$111),2)</f>
        <v>7.28</v>
      </c>
      <c r="E135" s="219">
        <f>ROUND(D135*(1+'Adaos Distr'!$C$111),2)</f>
        <v>7.28</v>
      </c>
      <c r="F135" s="219">
        <f>ROUND(E135*(1+'Adaos RESELLER'!$C$111),2)</f>
        <v>7.28</v>
      </c>
      <c r="J135" s="428"/>
      <c r="K135" s="426"/>
      <c r="M135" s="426"/>
      <c r="N135" s="426"/>
      <c r="O135" s="148"/>
      <c r="P135" s="148"/>
      <c r="Q135" s="148"/>
      <c r="R135" s="148"/>
      <c r="S135" s="148"/>
      <c r="T135" s="148"/>
      <c r="U135" s="148"/>
      <c r="V135" s="202"/>
      <c r="W135" s="202"/>
      <c r="X135" s="202"/>
      <c r="Y135" s="202"/>
      <c r="Z135" s="202"/>
      <c r="AA135" s="202"/>
      <c r="AB135" s="202"/>
      <c r="AC135" s="202"/>
      <c r="AD135" s="202"/>
      <c r="AE135" s="202"/>
      <c r="AF135" s="202"/>
      <c r="AG135" s="202"/>
      <c r="AH135" s="202"/>
      <c r="AI135" s="202"/>
      <c r="AJ135" s="202"/>
      <c r="AK135" s="202"/>
      <c r="AL135" s="202"/>
      <c r="AM135" s="202"/>
      <c r="AN135" s="202"/>
      <c r="AO135" s="202"/>
      <c r="AP135" s="202"/>
      <c r="AQ135" s="202"/>
      <c r="AR135" s="202"/>
      <c r="AS135" s="202"/>
      <c r="AT135" s="202"/>
      <c r="AU135" s="202"/>
      <c r="AV135" s="202"/>
    </row>
    <row r="136" spans="1:48">
      <c r="A136" s="210" t="s">
        <v>1682</v>
      </c>
      <c r="B136" s="215">
        <v>2.5499999999999998</v>
      </c>
      <c r="C136" s="221">
        <f>IF(Select!$CE$1=5,Info!K136,IF(Select!$E$23=1,D136,IF(Select!$E$23=2,E136,IF(Select!$E$23=3,F136))))</f>
        <v>1.89</v>
      </c>
      <c r="D136" s="175">
        <f>ROUND(B136*(1-'Disc Dep'!$C$111),2)</f>
        <v>1.89</v>
      </c>
      <c r="E136" s="219">
        <f>ROUND(D136*(1+'Adaos Distr'!$C$111),2)</f>
        <v>1.89</v>
      </c>
      <c r="F136" s="219">
        <f>ROUND(E136*(1+'Adaos RESELLER'!$C$111),2)</f>
        <v>1.89</v>
      </c>
      <c r="J136" s="428"/>
      <c r="K136" s="426"/>
      <c r="M136" s="426"/>
      <c r="N136" s="426"/>
      <c r="O136" s="148"/>
      <c r="P136" s="148"/>
      <c r="Q136" s="148"/>
      <c r="R136" s="148"/>
      <c r="S136" s="148"/>
      <c r="T136" s="148"/>
      <c r="U136" s="148"/>
      <c r="V136" s="202"/>
      <c r="W136" s="202"/>
      <c r="X136" s="202"/>
      <c r="Y136" s="202"/>
      <c r="Z136" s="202"/>
      <c r="AA136" s="202"/>
      <c r="AB136" s="202"/>
      <c r="AC136" s="202"/>
      <c r="AD136" s="202"/>
      <c r="AE136" s="202"/>
      <c r="AF136" s="202"/>
      <c r="AG136" s="202"/>
      <c r="AH136" s="202"/>
      <c r="AI136" s="202"/>
      <c r="AJ136" s="202"/>
      <c r="AK136" s="202"/>
      <c r="AL136" s="202"/>
      <c r="AM136" s="202"/>
      <c r="AN136" s="202"/>
      <c r="AO136" s="202"/>
      <c r="AP136" s="202"/>
      <c r="AQ136" s="202"/>
      <c r="AR136" s="202"/>
      <c r="AS136" s="202"/>
      <c r="AT136" s="202"/>
      <c r="AU136" s="202"/>
      <c r="AV136" s="202"/>
    </row>
    <row r="137" spans="1:48">
      <c r="A137" s="210" t="s">
        <v>1683</v>
      </c>
      <c r="B137" s="215">
        <v>3.69</v>
      </c>
      <c r="C137" s="221">
        <f>IF(Select!$CE$1=5,Info!K137,IF(Select!$E$23=1,D137,IF(Select!$E$23=2,E137,IF(Select!$E$23=3,F137))))</f>
        <v>2.73</v>
      </c>
      <c r="D137" s="175">
        <f>ROUND(B137*(1-'Disc Dep'!$C$111),2)</f>
        <v>2.73</v>
      </c>
      <c r="E137" s="219">
        <f>ROUND(D137*(1+'Adaos Distr'!$C$111),2)</f>
        <v>2.73</v>
      </c>
      <c r="F137" s="219">
        <f>ROUND(E137*(1+'Adaos RESELLER'!$C$111),2)</f>
        <v>2.73</v>
      </c>
      <c r="J137" s="428"/>
      <c r="K137" s="426"/>
      <c r="M137" s="426"/>
      <c r="N137" s="426"/>
      <c r="O137" s="148"/>
      <c r="P137" s="148"/>
      <c r="Q137" s="148"/>
      <c r="R137" s="148"/>
      <c r="S137" s="148"/>
      <c r="T137" s="148"/>
      <c r="U137" s="148"/>
      <c r="V137" s="202"/>
      <c r="W137" s="202"/>
      <c r="X137" s="202"/>
      <c r="Y137" s="202"/>
      <c r="Z137" s="202"/>
      <c r="AA137" s="202"/>
      <c r="AB137" s="202"/>
      <c r="AC137" s="202"/>
      <c r="AD137" s="202"/>
      <c r="AE137" s="202"/>
      <c r="AF137" s="202"/>
      <c r="AG137" s="202"/>
      <c r="AH137" s="202"/>
      <c r="AI137" s="202"/>
      <c r="AJ137" s="202"/>
      <c r="AK137" s="202"/>
      <c r="AL137" s="202"/>
      <c r="AM137" s="202"/>
      <c r="AN137" s="202"/>
      <c r="AO137" s="202"/>
      <c r="AP137" s="202"/>
      <c r="AQ137" s="202"/>
      <c r="AR137" s="202"/>
      <c r="AS137" s="202"/>
      <c r="AT137" s="202"/>
      <c r="AU137" s="202"/>
      <c r="AV137" s="202"/>
    </row>
    <row r="138" spans="1:48">
      <c r="A138" s="210" t="s">
        <v>1684</v>
      </c>
      <c r="B138" s="215">
        <v>4.92</v>
      </c>
      <c r="C138" s="221">
        <f>IF(Select!$CE$1=5,Info!K138,IF(Select!$E$23=1,D138,IF(Select!$E$23=2,E138,IF(Select!$E$23=3,F138))))</f>
        <v>3.64</v>
      </c>
      <c r="D138" s="175">
        <f>ROUND(B138*(1-'Disc Dep'!$C$111),2)</f>
        <v>3.64</v>
      </c>
      <c r="E138" s="219">
        <f>ROUND(D138*(1+'Adaos Distr'!$C$111),2)</f>
        <v>3.64</v>
      </c>
      <c r="F138" s="219">
        <f>ROUND(E138*(1+'Adaos RESELLER'!$C$111),2)</f>
        <v>3.64</v>
      </c>
      <c r="J138" s="428"/>
      <c r="K138" s="426"/>
      <c r="M138" s="426"/>
      <c r="N138" s="426"/>
      <c r="O138" s="148"/>
      <c r="P138" s="148"/>
      <c r="Q138" s="148"/>
      <c r="R138" s="148"/>
      <c r="S138" s="148"/>
      <c r="T138" s="148"/>
      <c r="U138" s="148"/>
      <c r="V138" s="202"/>
      <c r="W138" s="202"/>
      <c r="X138" s="202"/>
      <c r="Y138" s="202"/>
      <c r="Z138" s="202"/>
      <c r="AA138" s="202"/>
      <c r="AB138" s="202"/>
      <c r="AC138" s="202"/>
      <c r="AD138" s="202"/>
      <c r="AE138" s="202"/>
      <c r="AF138" s="202"/>
      <c r="AG138" s="202"/>
      <c r="AH138" s="202"/>
      <c r="AI138" s="202"/>
      <c r="AJ138" s="202"/>
      <c r="AK138" s="202"/>
      <c r="AL138" s="202"/>
      <c r="AM138" s="202"/>
      <c r="AN138" s="202"/>
      <c r="AO138" s="202"/>
      <c r="AP138" s="202"/>
      <c r="AQ138" s="202"/>
      <c r="AR138" s="202"/>
      <c r="AS138" s="202"/>
      <c r="AT138" s="202"/>
      <c r="AU138" s="202"/>
      <c r="AV138" s="202"/>
    </row>
    <row r="139" spans="1:48">
      <c r="A139" s="210" t="s">
        <v>1685</v>
      </c>
      <c r="B139" s="215">
        <v>9.84</v>
      </c>
      <c r="C139" s="221">
        <f>IF(Select!$CE$1=5,Info!K139,IF(Select!$E$23=1,D139,IF(Select!$E$23=2,E139,IF(Select!$E$23=3,F139))))</f>
        <v>7.28</v>
      </c>
      <c r="D139" s="175">
        <f>ROUND(B139*(1-'Disc Dep'!$C$111),2)</f>
        <v>7.28</v>
      </c>
      <c r="E139" s="219">
        <f>ROUND(D139*(1+'Adaos Distr'!$C$111),2)</f>
        <v>7.28</v>
      </c>
      <c r="F139" s="219">
        <f>ROUND(E139*(1+'Adaos RESELLER'!$C$111),2)</f>
        <v>7.28</v>
      </c>
      <c r="J139" s="428"/>
      <c r="K139" s="426"/>
      <c r="M139" s="426"/>
      <c r="N139" s="426"/>
      <c r="O139" s="148"/>
      <c r="P139" s="148"/>
      <c r="Q139" s="148"/>
      <c r="R139" s="148"/>
      <c r="S139" s="148"/>
      <c r="T139" s="148"/>
      <c r="U139" s="148"/>
      <c r="V139" s="202"/>
      <c r="W139" s="202"/>
      <c r="X139" s="202"/>
      <c r="Y139" s="202"/>
      <c r="Z139" s="202"/>
      <c r="AA139" s="202"/>
      <c r="AB139" s="202"/>
      <c r="AC139" s="202"/>
      <c r="AD139" s="202"/>
      <c r="AE139" s="202"/>
      <c r="AF139" s="202"/>
      <c r="AG139" s="202"/>
      <c r="AH139" s="202"/>
      <c r="AI139" s="202"/>
      <c r="AJ139" s="202"/>
      <c r="AK139" s="202"/>
      <c r="AL139" s="202"/>
      <c r="AM139" s="202"/>
      <c r="AN139" s="202"/>
      <c r="AO139" s="202"/>
      <c r="AP139" s="202"/>
      <c r="AQ139" s="202"/>
      <c r="AR139" s="202"/>
      <c r="AS139" s="202"/>
      <c r="AT139" s="202"/>
      <c r="AU139" s="202"/>
      <c r="AV139" s="202"/>
    </row>
    <row r="140" spans="1:48">
      <c r="A140" s="210" t="s">
        <v>1686</v>
      </c>
      <c r="B140" s="215">
        <v>0.88</v>
      </c>
      <c r="C140" s="221">
        <f>IF(Select!$CE$1=5,Info!K140,IF(Select!$E$23=1,D140,IF(Select!$E$23=2,E140,IF(Select!$E$23=3,F140))))</f>
        <v>0.65</v>
      </c>
      <c r="D140" s="175">
        <f>ROUND(B140*(1-'Disc Dep'!$C$111),2)</f>
        <v>0.65</v>
      </c>
      <c r="E140" s="219">
        <f>ROUND(D140*(1+'Adaos Distr'!$C$111),2)</f>
        <v>0.65</v>
      </c>
      <c r="F140" s="219">
        <f>ROUND(E140*(1+'Adaos RESELLER'!$C$111),2)</f>
        <v>0.65</v>
      </c>
      <c r="J140" s="428"/>
      <c r="K140" s="426"/>
      <c r="M140" s="426"/>
      <c r="N140" s="426"/>
      <c r="O140" s="148"/>
      <c r="P140" s="148"/>
      <c r="Q140" s="148"/>
      <c r="R140" s="148"/>
      <c r="S140" s="148"/>
      <c r="T140" s="148"/>
      <c r="U140" s="148"/>
      <c r="V140" s="202"/>
      <c r="W140" s="202"/>
      <c r="X140" s="202"/>
      <c r="Y140" s="202"/>
      <c r="Z140" s="202"/>
      <c r="AA140" s="202"/>
      <c r="AB140" s="202"/>
      <c r="AC140" s="202"/>
      <c r="AD140" s="202"/>
      <c r="AE140" s="202"/>
      <c r="AF140" s="202"/>
      <c r="AG140" s="202"/>
      <c r="AH140" s="202"/>
      <c r="AI140" s="202"/>
      <c r="AJ140" s="202"/>
      <c r="AK140" s="202"/>
      <c r="AL140" s="202"/>
      <c r="AM140" s="202"/>
      <c r="AN140" s="202"/>
      <c r="AO140" s="202"/>
      <c r="AP140" s="202"/>
      <c r="AQ140" s="202"/>
      <c r="AR140" s="202"/>
      <c r="AS140" s="202"/>
      <c r="AT140" s="202"/>
      <c r="AU140" s="202"/>
      <c r="AV140" s="202"/>
    </row>
    <row r="141" spans="1:48">
      <c r="A141" s="210" t="s">
        <v>1687</v>
      </c>
      <c r="B141" s="215">
        <v>7.38</v>
      </c>
      <c r="C141" s="221">
        <f>IF(Select!$CE$1=5,Info!K141,IF(Select!$E$23=1,D141,IF(Select!$E$23=2,E141,IF(Select!$E$23=3,F141))))</f>
        <v>5.46</v>
      </c>
      <c r="D141" s="175">
        <f>ROUND(B141*(1-'Disc Dep'!$C$111),2)</f>
        <v>5.46</v>
      </c>
      <c r="E141" s="219">
        <f>ROUND(D141*(1+'Adaos Distr'!$C$111),2)</f>
        <v>5.46</v>
      </c>
      <c r="F141" s="219">
        <f>ROUND(E141*(1+'Adaos RESELLER'!$C$111),2)</f>
        <v>5.46</v>
      </c>
      <c r="J141" s="428"/>
      <c r="K141" s="426"/>
      <c r="M141" s="426"/>
      <c r="N141" s="426"/>
      <c r="O141" s="148"/>
      <c r="P141" s="148"/>
      <c r="Q141" s="148"/>
      <c r="R141" s="148"/>
      <c r="S141" s="148"/>
      <c r="T141" s="148"/>
      <c r="U141" s="148"/>
      <c r="V141" s="202"/>
      <c r="W141" s="202"/>
      <c r="X141" s="202"/>
      <c r="Y141" s="202"/>
      <c r="Z141" s="202"/>
      <c r="AA141" s="202"/>
      <c r="AB141" s="202"/>
      <c r="AC141" s="202"/>
      <c r="AD141" s="202"/>
      <c r="AE141" s="202"/>
      <c r="AF141" s="202"/>
      <c r="AG141" s="202"/>
      <c r="AH141" s="202"/>
      <c r="AI141" s="202"/>
      <c r="AJ141" s="202"/>
      <c r="AK141" s="202"/>
      <c r="AL141" s="202"/>
      <c r="AM141" s="202"/>
      <c r="AN141" s="202"/>
      <c r="AO141" s="202"/>
      <c r="AP141" s="202"/>
      <c r="AQ141" s="202"/>
      <c r="AR141" s="202"/>
      <c r="AS141" s="202"/>
      <c r="AT141" s="202"/>
      <c r="AU141" s="202"/>
      <c r="AV141" s="202"/>
    </row>
    <row r="142" spans="1:48">
      <c r="A142" s="210" t="s">
        <v>1705</v>
      </c>
      <c r="B142" s="215">
        <v>2.67</v>
      </c>
      <c r="C142" s="221">
        <f>IF(Select!$CE$1=5,Info!K142,IF(Select!$E$23=1,D142,IF(Select!$E$23=2,E142,IF(Select!$E$23=3,F142))))</f>
        <v>1.98</v>
      </c>
      <c r="D142" s="175">
        <f>ROUND(B142*(1-'Disc Dep'!$C$111),2)</f>
        <v>1.98</v>
      </c>
      <c r="E142" s="219">
        <f>ROUND(D142*(1+'Adaos Distr'!$C$111),2)</f>
        <v>1.98</v>
      </c>
      <c r="F142" s="219">
        <f>ROUND(E142*(1+'Adaos RESELLER'!$C$111),2)</f>
        <v>1.98</v>
      </c>
      <c r="J142" s="428"/>
      <c r="K142" s="426"/>
      <c r="M142" s="426"/>
      <c r="N142" s="426"/>
      <c r="O142" s="148"/>
      <c r="P142" s="148"/>
      <c r="Q142" s="148"/>
      <c r="R142" s="148"/>
      <c r="S142" s="148"/>
      <c r="T142" s="148"/>
      <c r="U142" s="148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  <c r="AH142" s="219"/>
      <c r="AI142" s="219"/>
      <c r="AJ142" s="219"/>
      <c r="AK142" s="219"/>
      <c r="AL142" s="219"/>
      <c r="AM142" s="219"/>
      <c r="AN142" s="219"/>
      <c r="AO142" s="219"/>
      <c r="AP142" s="219"/>
      <c r="AQ142" s="219"/>
      <c r="AR142" s="219"/>
      <c r="AS142" s="219"/>
      <c r="AT142" s="219"/>
      <c r="AU142" s="219"/>
      <c r="AV142" s="219"/>
    </row>
    <row r="143" spans="1:48">
      <c r="A143" s="210" t="s">
        <v>1706</v>
      </c>
      <c r="B143" s="215">
        <v>2.67</v>
      </c>
      <c r="C143" s="221">
        <f>IF(Select!$CE$1=5,Info!K143,IF(Select!$E$23=1,D143,IF(Select!$E$23=2,E143,IF(Select!$E$23=3,F143))))</f>
        <v>1.98</v>
      </c>
      <c r="D143" s="175">
        <f>ROUND(B143*(1-'Disc Dep'!$C$111),2)</f>
        <v>1.98</v>
      </c>
      <c r="E143" s="219">
        <f>ROUND(D143*(1+'Adaos Distr'!$C$111),2)</f>
        <v>1.98</v>
      </c>
      <c r="F143" s="219">
        <f>ROUND(E143*(1+'Adaos RESELLER'!$C$111),2)</f>
        <v>1.98</v>
      </c>
      <c r="J143" s="428"/>
      <c r="K143" s="426"/>
      <c r="M143" s="426"/>
      <c r="N143" s="426"/>
      <c r="O143" s="148"/>
      <c r="P143" s="148"/>
      <c r="Q143" s="148"/>
      <c r="R143" s="148"/>
      <c r="S143" s="148"/>
      <c r="T143" s="148"/>
      <c r="U143" s="148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  <c r="AH143" s="219"/>
      <c r="AI143" s="219"/>
      <c r="AJ143" s="219"/>
      <c r="AK143" s="219"/>
      <c r="AL143" s="219"/>
      <c r="AM143" s="219"/>
      <c r="AN143" s="219"/>
      <c r="AO143" s="219"/>
      <c r="AP143" s="219"/>
      <c r="AQ143" s="219"/>
      <c r="AR143" s="219"/>
      <c r="AS143" s="219"/>
      <c r="AT143" s="219"/>
      <c r="AU143" s="219"/>
      <c r="AV143" s="219"/>
    </row>
    <row r="144" spans="1:48">
      <c r="A144" s="210" t="s">
        <v>1688</v>
      </c>
      <c r="B144" s="215">
        <v>3.69</v>
      </c>
      <c r="C144" s="221">
        <f>IF(Select!$CE$1=5,Info!K144,IF(Select!$E$23=1,D144,IF(Select!$E$23=2,E144,IF(Select!$E$23=3,F144))))</f>
        <v>2.73</v>
      </c>
      <c r="D144" s="175">
        <f>ROUND(B144*(1-'Disc Dep'!$C$111),2)</f>
        <v>2.73</v>
      </c>
      <c r="E144" s="219">
        <f>ROUND(D144*(1+'Adaos Distr'!$C$111),2)</f>
        <v>2.73</v>
      </c>
      <c r="F144" s="219">
        <f>ROUND(E144*(1+'Adaos RESELLER'!$C$111),2)</f>
        <v>2.73</v>
      </c>
      <c r="J144" s="428"/>
      <c r="K144" s="426"/>
      <c r="M144" s="426"/>
      <c r="N144" s="426"/>
      <c r="O144" s="148"/>
      <c r="P144" s="148"/>
      <c r="Q144" s="148"/>
      <c r="R144" s="148"/>
      <c r="S144" s="148"/>
      <c r="T144" s="148"/>
      <c r="U144" s="148"/>
      <c r="V144" s="202"/>
      <c r="W144" s="202"/>
      <c r="X144" s="202"/>
      <c r="Y144" s="202"/>
      <c r="Z144" s="202"/>
      <c r="AA144" s="202"/>
      <c r="AB144" s="202"/>
      <c r="AC144" s="202"/>
      <c r="AD144" s="202"/>
      <c r="AE144" s="202"/>
      <c r="AF144" s="202"/>
      <c r="AG144" s="202"/>
      <c r="AH144" s="202"/>
      <c r="AI144" s="202"/>
      <c r="AJ144" s="202"/>
      <c r="AK144" s="202"/>
      <c r="AL144" s="202"/>
      <c r="AM144" s="202"/>
      <c r="AN144" s="202"/>
      <c r="AO144" s="202"/>
      <c r="AP144" s="202"/>
      <c r="AQ144" s="202"/>
      <c r="AR144" s="202"/>
      <c r="AS144" s="202"/>
      <c r="AT144" s="202"/>
      <c r="AU144" s="202"/>
      <c r="AV144" s="202"/>
    </row>
    <row r="145" spans="1:48">
      <c r="A145" s="210" t="s">
        <v>1689</v>
      </c>
      <c r="B145" s="215">
        <v>5.91</v>
      </c>
      <c r="C145" s="221">
        <f>IF(Select!$CE$1=5,Info!K145,IF(Select!$E$23=1,D145,IF(Select!$E$23=2,E145,IF(Select!$E$23=3,F145))))</f>
        <v>4.37</v>
      </c>
      <c r="D145" s="175">
        <f>ROUND(B145*(1-'Disc Dep'!$C$111),2)</f>
        <v>4.37</v>
      </c>
      <c r="E145" s="219">
        <f>ROUND(D145*(1+'Adaos Distr'!$C$111),2)</f>
        <v>4.37</v>
      </c>
      <c r="F145" s="219">
        <f>ROUND(E145*(1+'Adaos RESELLER'!$C$111),2)</f>
        <v>4.37</v>
      </c>
      <c r="J145" s="428"/>
      <c r="K145" s="426"/>
      <c r="M145" s="426"/>
      <c r="N145" s="426"/>
      <c r="O145" s="148"/>
      <c r="P145" s="148"/>
      <c r="Q145" s="148"/>
      <c r="R145" s="148"/>
      <c r="S145" s="148"/>
      <c r="T145" s="148"/>
      <c r="U145" s="148"/>
      <c r="V145" s="202"/>
      <c r="W145" s="202"/>
      <c r="X145" s="202"/>
      <c r="Y145" s="202"/>
      <c r="Z145" s="202"/>
      <c r="AA145" s="202"/>
      <c r="AB145" s="202"/>
      <c r="AC145" s="202"/>
      <c r="AD145" s="202"/>
      <c r="AE145" s="202"/>
      <c r="AF145" s="202"/>
      <c r="AG145" s="202"/>
      <c r="AH145" s="202"/>
      <c r="AI145" s="202"/>
      <c r="AJ145" s="202"/>
      <c r="AK145" s="202"/>
      <c r="AL145" s="202"/>
      <c r="AM145" s="202"/>
      <c r="AN145" s="202"/>
      <c r="AO145" s="202"/>
      <c r="AP145" s="202"/>
      <c r="AQ145" s="202"/>
      <c r="AR145" s="202"/>
      <c r="AS145" s="202"/>
      <c r="AT145" s="202"/>
      <c r="AU145" s="202"/>
      <c r="AV145" s="202"/>
    </row>
    <row r="146" spans="1:48">
      <c r="A146" s="210" t="s">
        <v>1690</v>
      </c>
      <c r="B146" s="215">
        <v>5.91</v>
      </c>
      <c r="C146" s="221">
        <f>IF(Select!$CE$1=5,Info!K146,IF(Select!$E$23=1,D146,IF(Select!$E$23=2,E146,IF(Select!$E$23=3,F146))))</f>
        <v>4.37</v>
      </c>
      <c r="D146" s="175">
        <f>ROUND(B146*(1-'Disc Dep'!$C$111),2)</f>
        <v>4.37</v>
      </c>
      <c r="E146" s="219">
        <f>ROUND(D146*(1+'Adaos Distr'!$C$111),2)</f>
        <v>4.37</v>
      </c>
      <c r="F146" s="219">
        <f>ROUND(E146*(1+'Adaos RESELLER'!$C$111),2)</f>
        <v>4.37</v>
      </c>
      <c r="J146" s="428"/>
      <c r="K146" s="426"/>
      <c r="M146" s="426"/>
      <c r="N146" s="426"/>
      <c r="O146" s="148"/>
      <c r="P146" s="148"/>
      <c r="Q146" s="148"/>
      <c r="R146" s="148"/>
      <c r="S146" s="148"/>
      <c r="T146" s="148"/>
      <c r="U146" s="148"/>
      <c r="V146" s="202"/>
      <c r="W146" s="202"/>
      <c r="X146" s="202"/>
      <c r="Y146" s="202"/>
      <c r="Z146" s="202"/>
      <c r="AA146" s="202"/>
      <c r="AB146" s="202"/>
      <c r="AC146" s="202"/>
      <c r="AD146" s="202"/>
      <c r="AE146" s="202"/>
      <c r="AF146" s="202"/>
      <c r="AG146" s="202"/>
      <c r="AH146" s="202"/>
      <c r="AI146" s="202"/>
      <c r="AJ146" s="202"/>
      <c r="AK146" s="202"/>
      <c r="AL146" s="202"/>
      <c r="AM146" s="202"/>
      <c r="AN146" s="202"/>
      <c r="AO146" s="202"/>
      <c r="AP146" s="202"/>
      <c r="AQ146" s="202"/>
      <c r="AR146" s="202"/>
      <c r="AS146" s="202"/>
      <c r="AT146" s="202"/>
      <c r="AU146" s="202"/>
      <c r="AV146" s="202"/>
    </row>
    <row r="147" spans="1:48">
      <c r="A147" s="210" t="s">
        <v>1691</v>
      </c>
      <c r="B147" s="215">
        <v>5.91</v>
      </c>
      <c r="C147" s="221">
        <f>IF(Select!$CE$1=5,Info!K147,IF(Select!$E$23=1,D147,IF(Select!$E$23=2,E147,IF(Select!$E$23=3,F147))))</f>
        <v>4.37</v>
      </c>
      <c r="D147" s="175">
        <f>ROUND(B147*(1-'Disc Dep'!$C$111),2)</f>
        <v>4.37</v>
      </c>
      <c r="E147" s="219">
        <f>ROUND(D147*(1+'Adaos Distr'!$C$111),2)</f>
        <v>4.37</v>
      </c>
      <c r="F147" s="219">
        <f>ROUND(E147*(1+'Adaos RESELLER'!$C$111),2)</f>
        <v>4.37</v>
      </c>
      <c r="J147" s="428"/>
      <c r="K147" s="426"/>
      <c r="M147" s="426"/>
      <c r="N147" s="426"/>
      <c r="O147" s="148"/>
      <c r="P147" s="148"/>
      <c r="Q147" s="148"/>
      <c r="R147" s="148"/>
      <c r="S147" s="148"/>
      <c r="T147" s="148"/>
      <c r="U147" s="148"/>
      <c r="V147" s="202"/>
      <c r="W147" s="202"/>
      <c r="X147" s="202"/>
      <c r="Y147" s="202"/>
      <c r="Z147" s="202"/>
      <c r="AA147" s="202"/>
      <c r="AB147" s="202"/>
      <c r="AC147" s="202"/>
      <c r="AD147" s="202"/>
      <c r="AE147" s="202"/>
      <c r="AF147" s="202"/>
      <c r="AG147" s="202"/>
      <c r="AH147" s="202"/>
      <c r="AI147" s="202"/>
      <c r="AJ147" s="202"/>
      <c r="AK147" s="202"/>
      <c r="AL147" s="202"/>
      <c r="AM147" s="202"/>
      <c r="AN147" s="202"/>
      <c r="AO147" s="202"/>
      <c r="AP147" s="202"/>
      <c r="AQ147" s="202"/>
      <c r="AR147" s="202"/>
      <c r="AS147" s="202"/>
      <c r="AT147" s="202"/>
      <c r="AU147" s="202"/>
      <c r="AV147" s="202"/>
    </row>
    <row r="148" spans="1:48" ht="15" thickBot="1">
      <c r="A148" s="211" t="s">
        <v>1692</v>
      </c>
      <c r="B148" s="216">
        <v>4.22</v>
      </c>
      <c r="C148" s="221">
        <f>IF(Select!$CE$1=5,Info!K148,IF(Select!$E$23=1,D148,IF(Select!$E$23=2,E148,IF(Select!$E$23=3,F148))))</f>
        <v>3.12</v>
      </c>
      <c r="D148" s="175">
        <f>ROUND(B148*(1-'Disc Dep'!$C$111),2)</f>
        <v>3.12</v>
      </c>
      <c r="E148" s="219">
        <f>ROUND(D148*(1+'Adaos Distr'!$C$111),2)</f>
        <v>3.12</v>
      </c>
      <c r="F148" s="219">
        <f>ROUND(E148*(1+'Adaos RESELLER'!$C$111),2)</f>
        <v>3.12</v>
      </c>
      <c r="J148" s="428"/>
      <c r="K148" s="426"/>
      <c r="M148" s="426"/>
      <c r="N148" s="426"/>
      <c r="O148" s="148"/>
      <c r="P148" s="148"/>
      <c r="Q148" s="148"/>
      <c r="R148" s="148"/>
      <c r="S148" s="148"/>
      <c r="T148" s="148"/>
      <c r="U148" s="148"/>
      <c r="V148" s="202"/>
      <c r="W148" s="202"/>
      <c r="X148" s="202"/>
      <c r="Y148" s="202"/>
      <c r="Z148" s="202"/>
      <c r="AA148" s="202"/>
      <c r="AB148" s="202"/>
      <c r="AC148" s="202"/>
      <c r="AD148" s="202"/>
      <c r="AE148" s="202"/>
      <c r="AF148" s="202"/>
      <c r="AG148" s="202"/>
      <c r="AH148" s="202"/>
      <c r="AI148" s="202"/>
      <c r="AJ148" s="202"/>
      <c r="AK148" s="202"/>
      <c r="AL148" s="202"/>
      <c r="AM148" s="202"/>
      <c r="AN148" s="202"/>
      <c r="AO148" s="202"/>
      <c r="AP148" s="202"/>
      <c r="AQ148" s="202"/>
      <c r="AR148" s="202"/>
      <c r="AS148" s="202"/>
      <c r="AT148" s="202"/>
      <c r="AU148" s="202"/>
      <c r="AV148" s="202"/>
    </row>
    <row r="149" spans="1:48" ht="15" thickBot="1">
      <c r="A149" s="225" t="s">
        <v>1707</v>
      </c>
      <c r="B149" s="226">
        <v>29.63</v>
      </c>
      <c r="C149" s="221">
        <f>IF(Select!$CE$1=5,Info!K149,IF(Select!$E$23=1,D149,IF(Select!$E$23=2,E149,IF(Select!$E$23=3,F149))))</f>
        <v>21.93</v>
      </c>
      <c r="D149" s="175">
        <f>ROUND(B149*(1-'Disc Dep'!$C$111),2)</f>
        <v>21.93</v>
      </c>
      <c r="E149" s="219">
        <f>ROUND(D149*(1+'Adaos Distr'!$C$111),2)</f>
        <v>21.93</v>
      </c>
      <c r="F149" s="219">
        <f>ROUND(E149*(1+'Adaos RESELLER'!$C$111),2)</f>
        <v>21.93</v>
      </c>
      <c r="J149" s="428"/>
      <c r="K149" s="426"/>
      <c r="M149" s="426"/>
      <c r="N149" s="426"/>
      <c r="O149" s="148"/>
      <c r="P149" s="148"/>
      <c r="Q149" s="148"/>
      <c r="R149" s="148"/>
      <c r="S149" s="148"/>
      <c r="T149" s="148"/>
      <c r="U149" s="148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  <c r="AH149" s="219"/>
      <c r="AI149" s="219"/>
      <c r="AJ149" s="219"/>
      <c r="AK149" s="219"/>
      <c r="AL149" s="219"/>
      <c r="AM149" s="219"/>
      <c r="AN149" s="219"/>
      <c r="AO149" s="219"/>
      <c r="AP149" s="219"/>
      <c r="AQ149" s="219"/>
      <c r="AR149" s="219"/>
      <c r="AS149" s="219"/>
      <c r="AT149" s="219"/>
      <c r="AU149" s="219"/>
      <c r="AV149" s="219"/>
    </row>
    <row r="150" spans="1:48" ht="15" thickBot="1">
      <c r="A150" s="218" t="s">
        <v>1701</v>
      </c>
      <c r="B150" s="147">
        <v>18.07</v>
      </c>
      <c r="C150" s="221">
        <f>IF(Select!$CE$1=5,Info!K150,IF(Select!$E$23=1,D150,IF(Select!$E$23=2,E150,IF(Select!$E$23=3,F150))))</f>
        <v>14.46</v>
      </c>
      <c r="D150" s="175">
        <f>ROUND(B150*(1-'Disc Dep'!$C$114),2)</f>
        <v>14.46</v>
      </c>
      <c r="E150" s="204">
        <f>ROUND(D150*(1+'Adaos Distr'!$C$114),2)</f>
        <v>14.46</v>
      </c>
      <c r="F150" s="204">
        <f>ROUND(E150*(1+'Adaos RESELLER'!$C$114),2)</f>
        <v>14.46</v>
      </c>
      <c r="K150" s="426"/>
      <c r="M150" s="426"/>
      <c r="N150" s="426"/>
      <c r="O150" s="148"/>
      <c r="P150" s="148"/>
      <c r="Q150" s="148"/>
      <c r="R150" s="148"/>
      <c r="S150" s="148"/>
      <c r="T150" s="148"/>
      <c r="U150" s="148"/>
      <c r="V150" s="202"/>
      <c r="W150" s="202"/>
      <c r="X150" s="202"/>
      <c r="Y150" s="202"/>
      <c r="Z150" s="202"/>
      <c r="AA150" s="202"/>
      <c r="AB150" s="202"/>
      <c r="AC150" s="202"/>
      <c r="AD150" s="202"/>
      <c r="AE150" s="202"/>
      <c r="AF150" s="202"/>
      <c r="AG150" s="202"/>
      <c r="AH150" s="202"/>
      <c r="AI150" s="202"/>
      <c r="AJ150" s="202"/>
      <c r="AK150" s="202"/>
      <c r="AL150" s="202"/>
      <c r="AM150" s="202"/>
      <c r="AN150" s="202"/>
      <c r="AO150" s="202"/>
      <c r="AP150" s="202"/>
      <c r="AQ150" s="202"/>
      <c r="AR150" s="202"/>
      <c r="AS150" s="202"/>
      <c r="AT150" s="202"/>
      <c r="AU150" s="202"/>
      <c r="AV150" s="202"/>
    </row>
    <row r="151" spans="1:48" ht="15" thickBot="1">
      <c r="A151" s="218" t="s">
        <v>1702</v>
      </c>
      <c r="B151" s="147">
        <v>19.34</v>
      </c>
      <c r="C151" s="221">
        <f>IF(Select!$CE$1=5,Info!K151,IF(Select!$E$23=1,D151,IF(Select!$E$23=2,E151,IF(Select!$E$23=3,F151))))</f>
        <v>15.47</v>
      </c>
      <c r="D151" s="175">
        <f>ROUND(B151*(1-'Disc Dep'!$C$114),2)</f>
        <v>15.47</v>
      </c>
      <c r="E151" s="204">
        <f>ROUND(D151*(1+'Adaos Distr'!$C$114),2)</f>
        <v>15.47</v>
      </c>
      <c r="F151" s="204">
        <f>ROUND(E151*(1+'Adaos RESELLER'!$C$114),2)</f>
        <v>15.47</v>
      </c>
      <c r="K151" s="426"/>
      <c r="M151" s="426"/>
      <c r="N151" s="426"/>
      <c r="O151" s="148"/>
      <c r="P151" s="148"/>
      <c r="Q151" s="148"/>
      <c r="R151" s="148"/>
      <c r="S151" s="148"/>
      <c r="T151" s="148"/>
      <c r="U151" s="148"/>
      <c r="V151" s="202"/>
      <c r="W151" s="202"/>
      <c r="X151" s="202"/>
      <c r="Y151" s="202"/>
      <c r="Z151" s="202"/>
      <c r="AA151" s="202"/>
      <c r="AB151" s="202"/>
      <c r="AC151" s="202"/>
      <c r="AD151" s="202"/>
      <c r="AE151" s="202"/>
      <c r="AF151" s="202"/>
      <c r="AG151" s="202"/>
      <c r="AH151" s="202"/>
      <c r="AI151" s="202"/>
      <c r="AJ151" s="202"/>
      <c r="AK151" s="202"/>
      <c r="AL151" s="202"/>
      <c r="AM151" s="202"/>
      <c r="AN151" s="202"/>
      <c r="AO151" s="202"/>
      <c r="AP151" s="202"/>
      <c r="AQ151" s="202"/>
      <c r="AR151" s="202"/>
      <c r="AS151" s="202"/>
      <c r="AT151" s="202"/>
      <c r="AU151" s="202"/>
      <c r="AV151" s="202"/>
    </row>
    <row r="152" spans="1:48" ht="15" thickBot="1">
      <c r="A152" s="217" t="s">
        <v>1700</v>
      </c>
      <c r="B152" s="147">
        <v>15.42</v>
      </c>
      <c r="C152" s="221">
        <f>IF(Select!$CE$1=5,Info!K152,IF(Select!$E$23=1,D152,IF(Select!$E$23=2,E152,IF(Select!$E$23=3,F152))))</f>
        <v>11.41</v>
      </c>
      <c r="D152" s="175">
        <f>ROUND(B152*(1-'Disc Dep'!$C$124),2)</f>
        <v>11.41</v>
      </c>
      <c r="E152" s="204">
        <f>ROUND(D152*(1+'Adaos Distr'!$C$124),2)</f>
        <v>11.41</v>
      </c>
      <c r="F152" s="204">
        <f>ROUND(E152*(1+'Adaos RESELLER'!$C$124),2)</f>
        <v>11.41</v>
      </c>
      <c r="K152" s="426"/>
      <c r="M152" s="426"/>
      <c r="N152" s="426"/>
      <c r="O152" s="148"/>
      <c r="P152" s="148"/>
      <c r="Q152" s="148"/>
      <c r="R152" s="148"/>
      <c r="S152" s="148"/>
      <c r="T152" s="148"/>
      <c r="U152" s="148"/>
      <c r="V152" s="202"/>
      <c r="W152" s="202"/>
      <c r="X152" s="202"/>
      <c r="Y152" s="202"/>
      <c r="Z152" s="202"/>
      <c r="AA152" s="202"/>
      <c r="AB152" s="202"/>
      <c r="AC152" s="202"/>
      <c r="AD152" s="202"/>
      <c r="AE152" s="202"/>
      <c r="AF152" s="202"/>
      <c r="AG152" s="202"/>
      <c r="AH152" s="202"/>
      <c r="AI152" s="202"/>
      <c r="AJ152" s="202"/>
      <c r="AK152" s="202"/>
      <c r="AL152" s="202"/>
      <c r="AM152" s="202"/>
      <c r="AN152" s="202"/>
      <c r="AO152" s="202"/>
      <c r="AP152" s="202"/>
      <c r="AQ152" s="202"/>
      <c r="AR152" s="202"/>
      <c r="AS152" s="202"/>
      <c r="AT152" s="202"/>
      <c r="AU152" s="202"/>
      <c r="AV152" s="202"/>
    </row>
    <row r="153" spans="1:48">
      <c r="C153" s="202"/>
      <c r="D153" s="175"/>
      <c r="E153" s="175"/>
      <c r="F153" s="175"/>
      <c r="G153" s="175"/>
      <c r="H153" s="175"/>
      <c r="I153" s="175"/>
      <c r="J153" s="175"/>
      <c r="K153" s="175"/>
      <c r="L153" s="175"/>
      <c r="M153" s="148"/>
      <c r="N153" s="148"/>
      <c r="O153" s="148"/>
      <c r="P153" s="148"/>
      <c r="Q153" s="148"/>
      <c r="R153" s="148"/>
      <c r="S153" s="148"/>
      <c r="T153" s="148"/>
      <c r="U153" s="148"/>
      <c r="V153" s="202"/>
      <c r="W153" s="202"/>
      <c r="X153" s="202"/>
      <c r="Y153" s="202"/>
      <c r="Z153" s="202"/>
      <c r="AA153" s="202"/>
      <c r="AB153" s="202"/>
      <c r="AC153" s="202"/>
      <c r="AD153" s="202"/>
      <c r="AE153" s="202"/>
      <c r="AF153" s="202"/>
      <c r="AG153" s="202"/>
      <c r="AH153" s="202"/>
      <c r="AI153" s="202"/>
      <c r="AJ153" s="202"/>
      <c r="AK153" s="202"/>
      <c r="AL153" s="202"/>
      <c r="AM153" s="202"/>
      <c r="AN153" s="202"/>
      <c r="AO153" s="202"/>
      <c r="AP153" s="202"/>
      <c r="AQ153" s="202"/>
      <c r="AR153" s="202"/>
      <c r="AS153" s="202"/>
      <c r="AT153" s="202"/>
      <c r="AU153" s="202"/>
      <c r="AV153" s="202"/>
    </row>
    <row r="154" spans="1:48">
      <c r="C154" s="202"/>
      <c r="D154" s="175"/>
      <c r="E154" s="175"/>
      <c r="F154" s="175"/>
      <c r="G154" s="175"/>
      <c r="H154" s="175"/>
      <c r="I154" s="175"/>
      <c r="J154" s="175"/>
      <c r="K154" s="175"/>
      <c r="L154" s="175"/>
      <c r="M154" s="148"/>
      <c r="N154" s="148"/>
      <c r="O154" s="148"/>
      <c r="P154" s="148"/>
      <c r="Q154" s="148"/>
      <c r="R154" s="148"/>
      <c r="S154" s="148"/>
      <c r="T154" s="148"/>
      <c r="U154" s="148"/>
      <c r="V154" s="202"/>
      <c r="W154" s="202"/>
      <c r="X154" s="202"/>
      <c r="Y154" s="202"/>
      <c r="Z154" s="202"/>
      <c r="AA154" s="202"/>
      <c r="AB154" s="202"/>
      <c r="AC154" s="202"/>
      <c r="AD154" s="202"/>
      <c r="AE154" s="202"/>
      <c r="AF154" s="202"/>
      <c r="AG154" s="202"/>
      <c r="AH154" s="202"/>
      <c r="AI154" s="202"/>
      <c r="AJ154" s="202"/>
      <c r="AK154" s="202"/>
      <c r="AL154" s="202"/>
      <c r="AM154" s="202"/>
      <c r="AN154" s="202"/>
      <c r="AO154" s="202"/>
      <c r="AP154" s="202"/>
      <c r="AQ154" s="202"/>
      <c r="AR154" s="202"/>
      <c r="AS154" s="202"/>
      <c r="AT154" s="202"/>
      <c r="AU154" s="202"/>
      <c r="AV154" s="202"/>
    </row>
    <row r="155" spans="1:48">
      <c r="C155" s="202"/>
      <c r="D155" s="175"/>
      <c r="E155" s="175"/>
      <c r="F155" s="175"/>
      <c r="G155" s="175"/>
      <c r="H155" s="175"/>
      <c r="I155" s="175"/>
      <c r="J155" s="175"/>
      <c r="K155" s="175"/>
      <c r="L155" s="175"/>
      <c r="M155" s="148"/>
      <c r="N155" s="148"/>
      <c r="O155" s="148"/>
      <c r="P155" s="148"/>
      <c r="Q155" s="148"/>
      <c r="R155" s="148"/>
      <c r="S155" s="148"/>
      <c r="T155" s="148"/>
      <c r="U155" s="148"/>
      <c r="V155" s="202"/>
      <c r="W155" s="202"/>
      <c r="X155" s="202"/>
      <c r="Y155" s="202"/>
      <c r="Z155" s="202"/>
      <c r="AA155" s="202"/>
      <c r="AB155" s="202"/>
      <c r="AC155" s="202"/>
      <c r="AD155" s="202"/>
      <c r="AE155" s="202"/>
      <c r="AF155" s="202"/>
      <c r="AG155" s="202"/>
      <c r="AH155" s="202"/>
      <c r="AI155" s="202"/>
      <c r="AJ155" s="202"/>
      <c r="AK155" s="202"/>
      <c r="AL155" s="202"/>
      <c r="AM155" s="202"/>
      <c r="AN155" s="202"/>
      <c r="AO155" s="202"/>
      <c r="AP155" s="202"/>
      <c r="AQ155" s="202"/>
      <c r="AR155" s="202"/>
      <c r="AS155" s="202"/>
      <c r="AT155" s="202"/>
      <c r="AU155" s="202"/>
      <c r="AV155" s="202"/>
    </row>
    <row r="156" spans="1:48">
      <c r="C156" s="202"/>
      <c r="D156" s="175"/>
      <c r="E156" s="175"/>
      <c r="F156" s="175"/>
      <c r="G156" s="175"/>
      <c r="H156" s="175"/>
      <c r="I156" s="175"/>
      <c r="J156" s="175"/>
      <c r="K156" s="175"/>
      <c r="L156" s="175"/>
      <c r="M156" s="148"/>
      <c r="N156" s="148"/>
      <c r="O156" s="148"/>
      <c r="P156" s="148"/>
      <c r="Q156" s="148"/>
      <c r="R156" s="148"/>
      <c r="S156" s="148"/>
      <c r="T156" s="148"/>
      <c r="U156" s="148"/>
      <c r="V156" s="202"/>
      <c r="W156" s="202"/>
      <c r="X156" s="202"/>
      <c r="Y156" s="202"/>
      <c r="Z156" s="202"/>
      <c r="AA156" s="202"/>
      <c r="AB156" s="202"/>
      <c r="AC156" s="202"/>
      <c r="AD156" s="202"/>
      <c r="AE156" s="202"/>
      <c r="AF156" s="202"/>
      <c r="AG156" s="202"/>
      <c r="AH156" s="202"/>
      <c r="AI156" s="202"/>
      <c r="AJ156" s="202"/>
      <c r="AK156" s="202"/>
      <c r="AL156" s="202"/>
      <c r="AM156" s="202"/>
      <c r="AN156" s="202"/>
      <c r="AO156" s="202"/>
      <c r="AP156" s="202"/>
      <c r="AQ156" s="202"/>
      <c r="AR156" s="202"/>
      <c r="AS156" s="202"/>
      <c r="AT156" s="202"/>
      <c r="AU156" s="202"/>
      <c r="AV156" s="202"/>
    </row>
    <row r="157" spans="1:48">
      <c r="B157" s="160" t="s">
        <v>562</v>
      </c>
      <c r="C157" s="160" t="s">
        <v>563</v>
      </c>
      <c r="D157" s="160" t="s">
        <v>564</v>
      </c>
      <c r="E157" s="160" t="s">
        <v>565</v>
      </c>
      <c r="G157" s="160" t="s">
        <v>566</v>
      </c>
      <c r="H157" s="160" t="s">
        <v>567</v>
      </c>
      <c r="P157" s="160" t="s">
        <v>562</v>
      </c>
      <c r="Q157" s="160" t="s">
        <v>563</v>
      </c>
      <c r="R157" s="160" t="s">
        <v>564</v>
      </c>
      <c r="S157" s="160" t="s">
        <v>565</v>
      </c>
      <c r="T157" s="160"/>
      <c r="U157" s="160" t="s">
        <v>566</v>
      </c>
      <c r="V157" s="160" t="s">
        <v>567</v>
      </c>
      <c r="W157" s="160" t="s">
        <v>562</v>
      </c>
      <c r="X157" s="160" t="s">
        <v>563</v>
      </c>
      <c r="Y157" s="160" t="s">
        <v>564</v>
      </c>
      <c r="Z157" s="160" t="s">
        <v>565</v>
      </c>
      <c r="AA157" s="160"/>
      <c r="AB157" s="160" t="s">
        <v>566</v>
      </c>
      <c r="AC157" s="160" t="s">
        <v>567</v>
      </c>
      <c r="AD157" s="160" t="s">
        <v>562</v>
      </c>
      <c r="AE157" s="160" t="s">
        <v>563</v>
      </c>
      <c r="AF157" s="160" t="s">
        <v>564</v>
      </c>
      <c r="AG157" s="160" t="s">
        <v>565</v>
      </c>
      <c r="AH157" s="160"/>
      <c r="AI157" s="160" t="s">
        <v>566</v>
      </c>
      <c r="AJ157" s="160" t="s">
        <v>567</v>
      </c>
      <c r="AK157" s="160" t="s">
        <v>562</v>
      </c>
      <c r="AL157" s="160" t="s">
        <v>563</v>
      </c>
      <c r="AM157" s="160" t="s">
        <v>564</v>
      </c>
      <c r="AN157" s="160" t="s">
        <v>565</v>
      </c>
      <c r="AO157" s="160"/>
      <c r="AP157" s="160" t="s">
        <v>566</v>
      </c>
      <c r="AQ157" s="160" t="s">
        <v>567</v>
      </c>
    </row>
    <row r="158" spans="1:48">
      <c r="B158" s="892" t="s">
        <v>50</v>
      </c>
      <c r="C158" s="892"/>
      <c r="D158" s="892"/>
      <c r="E158" s="892"/>
      <c r="F158" s="892"/>
      <c r="G158" s="892"/>
      <c r="H158" s="892"/>
      <c r="I158" s="161"/>
      <c r="J158" s="161"/>
      <c r="K158" s="161"/>
      <c r="L158" s="161"/>
      <c r="M158" s="161"/>
      <c r="N158" s="161"/>
      <c r="O158" s="161"/>
      <c r="P158" s="896" t="s">
        <v>51</v>
      </c>
      <c r="Q158" s="896"/>
      <c r="R158" s="896"/>
      <c r="S158" s="896"/>
      <c r="T158" s="896"/>
      <c r="U158" s="896"/>
      <c r="V158" s="896"/>
      <c r="W158" s="892">
        <v>1</v>
      </c>
      <c r="X158" s="892"/>
      <c r="Y158" s="892"/>
      <c r="Z158" s="892"/>
      <c r="AA158" s="892"/>
      <c r="AB158" s="892"/>
      <c r="AC158" s="892"/>
      <c r="AD158" s="892">
        <v>2</v>
      </c>
      <c r="AE158" s="892"/>
      <c r="AF158" s="892"/>
      <c r="AG158" s="892"/>
      <c r="AH158" s="892"/>
      <c r="AI158" s="892"/>
      <c r="AJ158" s="892"/>
      <c r="AK158" s="892">
        <v>3</v>
      </c>
      <c r="AL158" s="892"/>
      <c r="AM158" s="892"/>
      <c r="AN158" s="892"/>
      <c r="AO158" s="892"/>
      <c r="AP158" s="892"/>
      <c r="AQ158" s="892"/>
    </row>
    <row r="159" spans="1:48">
      <c r="A159" s="162" t="str">
        <f>IF(Select!$K$2=3," ",K159)</f>
        <v>Carlig,  210 mm</v>
      </c>
      <c r="B159" s="163">
        <f>IF(Select!$E$23=1,W159,IF(Select!$E$23=2,AD159,IF(Select!$E$23=3,AK159)))</f>
        <v>1.43</v>
      </c>
      <c r="C159" s="163">
        <f>IF(Select!$E$23=1,X159,IF(Select!$E$23=2,AE159,IF(Select!$E$23=3,AL159)))</f>
        <v>1.52</v>
      </c>
      <c r="D159" s="163">
        <f>IF(Select!$E$23=1,Y159,IF(Select!$E$23=2,AF159,IF(Select!$E$23=3,AM159)))</f>
        <v>0</v>
      </c>
      <c r="E159" s="163">
        <f>IF(Select!$E$23=1,Z159,IF(Select!$E$23=2,AG159,IF(Select!$E$23=3,AN159)))</f>
        <v>0</v>
      </c>
      <c r="F159" s="163"/>
      <c r="G159" s="163">
        <f>IF(Select!$E$23=1,AB159,IF(Select!$E$23=2,AI159,IF(Select!$E$23=3,AP159)))</f>
        <v>1.57</v>
      </c>
      <c r="H159" s="163">
        <f>IF(Select!$E$23=1,AC159,IF(Select!$E$23=2,AJ159,IF(Select!$E$23=3,AQ159)))</f>
        <v>1.69</v>
      </c>
      <c r="K159" s="147" t="str">
        <f>Lang!A75</f>
        <v>Carlig,  210 mm</v>
      </c>
      <c r="P159" s="176">
        <v>1.93</v>
      </c>
      <c r="Q159" s="176">
        <v>2.06</v>
      </c>
      <c r="R159" s="176">
        <v>0</v>
      </c>
      <c r="S159" s="176">
        <v>0</v>
      </c>
      <c r="T159" s="176">
        <v>0</v>
      </c>
      <c r="U159" s="176">
        <v>2.12</v>
      </c>
      <c r="V159" s="176">
        <v>2.29</v>
      </c>
      <c r="W159" s="163">
        <f>ROUND(P159*(1-'Disc Dep'!$M$5),2)</f>
        <v>1.43</v>
      </c>
      <c r="X159" s="163">
        <f>ROUND(Q159*(1-'Disc Dep'!$N$5),2)</f>
        <v>1.52</v>
      </c>
      <c r="Y159" s="163">
        <f>ROUND(R159*(1-'Disc Dep'!$M$5),2)</f>
        <v>0</v>
      </c>
      <c r="Z159" s="163">
        <f>ROUND(S159*(1-'Disc Dep'!$N$5),2)</f>
        <v>0</v>
      </c>
      <c r="AA159" s="163"/>
      <c r="AB159" s="163">
        <f>ROUND(U159*(1-'Disc Dep'!$M$5),2)</f>
        <v>1.57</v>
      </c>
      <c r="AC159" s="163">
        <f>ROUND(V159*(1-'Disc Dep'!$N$5),2)</f>
        <v>1.69</v>
      </c>
      <c r="AD159" s="147">
        <f>ROUND(W159*(1+'Adaos Distr'!$C$112),2)</f>
        <v>1.43</v>
      </c>
      <c r="AE159" s="147">
        <f>ROUND(X159*(1+'Adaos Distr'!$C$112),2)</f>
        <v>1.52</v>
      </c>
      <c r="AF159" s="147">
        <f>ROUND(Y159*(1+'Adaos Distr'!$C$112),2)</f>
        <v>0</v>
      </c>
      <c r="AG159" s="147">
        <f>ROUND(Z159*(1+'Adaos Distr'!$C$112),2)</f>
        <v>0</v>
      </c>
      <c r="AI159" s="147">
        <f>ROUND(AB159*(1+'Adaos Distr'!$C$112),2)</f>
        <v>1.57</v>
      </c>
      <c r="AJ159" s="147">
        <f>ROUND(AC159*(1+'Adaos Distr'!$C$112),2)</f>
        <v>1.69</v>
      </c>
      <c r="AK159" s="147">
        <f>ROUND(AD159*(1+'Adaos RESELLER'!$C$112),2)</f>
        <v>1.43</v>
      </c>
      <c r="AL159" s="147">
        <f>ROUND(AE159*(1+'Adaos RESELLER'!$C$112),2)</f>
        <v>1.52</v>
      </c>
      <c r="AM159" s="147">
        <f>ROUND(AF159*(1+'Adaos RESELLER'!$C$112),2)</f>
        <v>0</v>
      </c>
      <c r="AN159" s="147">
        <f>ROUND(AG159*(1+'Adaos RESELLER'!$C$112),2)</f>
        <v>0</v>
      </c>
      <c r="AP159" s="147">
        <f>ROUND(AI159*(1+'Adaos RESELLER'!$C$112),2)</f>
        <v>1.57</v>
      </c>
      <c r="AQ159" s="147">
        <f>ROUND(AJ159*(1+'Adaos RESELLER'!$C$112),2)</f>
        <v>1.69</v>
      </c>
    </row>
    <row r="160" spans="1:48">
      <c r="A160" s="162" t="str">
        <f>IF(Select!$K$2=3," ",K160)</f>
        <v>Carlig,  RASUCIT 210 mm</v>
      </c>
      <c r="B160" s="163">
        <f>IF(Select!$E$23=1,W160,IF(Select!$E$23=2,AD160,IF(Select!$E$23=3,AK160)))</f>
        <v>1.56</v>
      </c>
      <c r="C160" s="163">
        <f>IF(Select!$E$23=1,X160,IF(Select!$E$23=2,AE160,IF(Select!$E$23=3,AL160)))</f>
        <v>1.69</v>
      </c>
      <c r="D160" s="163">
        <f>IF(Select!$E$23=1,Y160,IF(Select!$E$23=2,AF160,IF(Select!$E$23=3,AM160)))</f>
        <v>0</v>
      </c>
      <c r="E160" s="163">
        <f>IF(Select!$E$23=1,Z160,IF(Select!$E$23=2,AG160,IF(Select!$E$23=3,AN160)))</f>
        <v>0</v>
      </c>
      <c r="F160" s="163"/>
      <c r="G160" s="163">
        <f>IF(Select!$E$23=1,AB160,IF(Select!$E$23=2,AI160,IF(Select!$E$23=3,AP160)))</f>
        <v>1.72</v>
      </c>
      <c r="H160" s="163">
        <f>IF(Select!$E$23=1,AC160,IF(Select!$E$23=2,AJ160,IF(Select!$E$23=3,AQ160)))</f>
        <v>1.86</v>
      </c>
      <c r="K160" s="147" t="str">
        <f>Lang!A76</f>
        <v>Carlig,  RASUCIT 210 mm</v>
      </c>
      <c r="P160" s="176">
        <v>2.11</v>
      </c>
      <c r="Q160" s="176">
        <v>2.29</v>
      </c>
      <c r="R160" s="176">
        <v>0</v>
      </c>
      <c r="S160" s="176">
        <v>0</v>
      </c>
      <c r="T160" s="176">
        <v>0</v>
      </c>
      <c r="U160" s="176">
        <v>2.3199999999999998</v>
      </c>
      <c r="V160" s="176">
        <v>2.5099999999999998</v>
      </c>
      <c r="W160" s="163">
        <f>ROUND(P160*(1-'Disc Dep'!$M$5),2)</f>
        <v>1.56</v>
      </c>
      <c r="X160" s="163">
        <f>ROUND(Q160*(1-'Disc Dep'!$N$5),2)</f>
        <v>1.69</v>
      </c>
      <c r="Y160" s="163">
        <f>ROUND(R160*(1-'Disc Dep'!$M$5),2)</f>
        <v>0</v>
      </c>
      <c r="Z160" s="163">
        <f>ROUND(S160*(1-'Disc Dep'!$N$5),2)</f>
        <v>0</v>
      </c>
      <c r="AA160" s="163"/>
      <c r="AB160" s="163">
        <f>ROUND(U160*(1-'Disc Dep'!$M$5),2)</f>
        <v>1.72</v>
      </c>
      <c r="AC160" s="163">
        <f>ROUND(V160*(1-'Disc Dep'!$N$5),2)</f>
        <v>1.86</v>
      </c>
      <c r="AD160" s="147">
        <f>ROUND(W160*(1+'Adaos Distr'!$C$112),2)</f>
        <v>1.56</v>
      </c>
      <c r="AE160" s="147">
        <f>ROUND(X160*(1+'Adaos Distr'!$C$112),2)</f>
        <v>1.69</v>
      </c>
      <c r="AF160" s="147">
        <f>ROUND(Y160*(1+'Adaos Distr'!$C$112),2)</f>
        <v>0</v>
      </c>
      <c r="AG160" s="147">
        <f>ROUND(Z160*(1+'Adaos Distr'!$C$112),2)</f>
        <v>0</v>
      </c>
      <c r="AI160" s="147">
        <f>ROUND(AB160*(1+'Adaos Distr'!$C$112),2)</f>
        <v>1.72</v>
      </c>
      <c r="AJ160" s="147">
        <f>ROUND(AC160*(1+'Adaos Distr'!$C$112),2)</f>
        <v>1.86</v>
      </c>
      <c r="AK160" s="147">
        <f>ROUND(AD160*(1+'Adaos RESELLER'!$C$112),2)</f>
        <v>1.56</v>
      </c>
      <c r="AL160" s="147">
        <f>ROUND(AE160*(1+'Adaos RESELLER'!$C$112),2)</f>
        <v>1.69</v>
      </c>
      <c r="AM160" s="147">
        <f>ROUND(AF160*(1+'Adaos RESELLER'!$C$112),2)</f>
        <v>0</v>
      </c>
      <c r="AN160" s="147">
        <f>ROUND(AG160*(1+'Adaos RESELLER'!$C$112),2)</f>
        <v>0</v>
      </c>
      <c r="AP160" s="147">
        <f>ROUND(AI160*(1+'Adaos RESELLER'!$C$112),2)</f>
        <v>1.72</v>
      </c>
      <c r="AQ160" s="147">
        <f>ROUND(AJ160*(1+'Adaos RESELLER'!$C$112),2)</f>
        <v>1.86</v>
      </c>
    </row>
    <row r="161" spans="1:43">
      <c r="A161" s="162" t="str">
        <f>IF(Select!$K$2=3,K161," ")</f>
        <v xml:space="preserve"> </v>
      </c>
      <c r="B161" s="163">
        <f>IF(Select!$E$23=1,W161,IF(Select!$E$23=2,AD161,IF(Select!$E$23=3,AK161)))</f>
        <v>0</v>
      </c>
      <c r="C161" s="163">
        <f>IF(Select!$E$23=1,X161,IF(Select!$E$23=2,AE161,IF(Select!$E$23=3,AL161)))</f>
        <v>0</v>
      </c>
      <c r="D161" s="163">
        <f>IF(Select!$E$23=1,Y161,IF(Select!$E$23=2,AF161,IF(Select!$E$23=3,AM161)))</f>
        <v>1.32</v>
      </c>
      <c r="E161" s="163">
        <f>IF(Select!$E$23=1,Z161,IF(Select!$E$23=2,AG161,IF(Select!$E$23=3,AN161)))</f>
        <v>1.41</v>
      </c>
      <c r="F161" s="163"/>
      <c r="G161" s="163">
        <f>IF(Select!$E$23=1,AB161,IF(Select!$E$23=2,AI161,IF(Select!$E$23=3,AP161)))</f>
        <v>0</v>
      </c>
      <c r="H161" s="163">
        <f>IF(Select!$E$23=1,AC161,IF(Select!$E$23=2,AJ161,IF(Select!$E$23=3,AQ161)))</f>
        <v>0</v>
      </c>
      <c r="K161" s="147" t="str">
        <f>Lang!A77</f>
        <v>Carlig zincat 210mm</v>
      </c>
      <c r="P161" s="176">
        <v>0</v>
      </c>
      <c r="Q161" s="176">
        <v>0</v>
      </c>
      <c r="R161" s="176">
        <v>1.78</v>
      </c>
      <c r="S161" s="176">
        <v>1.9</v>
      </c>
      <c r="T161" s="176">
        <v>0</v>
      </c>
      <c r="U161" s="176">
        <v>0</v>
      </c>
      <c r="V161" s="176">
        <v>0</v>
      </c>
      <c r="W161" s="163">
        <f>ROUND(P161*(1-'Disc Dep'!$M$5),2)</f>
        <v>0</v>
      </c>
      <c r="X161" s="163">
        <f>ROUND(Q161*(1-'Disc Dep'!$N$5),2)</f>
        <v>0</v>
      </c>
      <c r="Y161" s="163">
        <f>ROUND(R161*(1-'Disc Dep'!$M$5),2)</f>
        <v>1.32</v>
      </c>
      <c r="Z161" s="163">
        <f>ROUND(S161*(1-'Disc Dep'!$N$5),2)</f>
        <v>1.41</v>
      </c>
      <c r="AA161" s="163"/>
      <c r="AB161" s="163">
        <f>ROUND(U161*(1-'Disc Dep'!$M$5),2)</f>
        <v>0</v>
      </c>
      <c r="AC161" s="163">
        <f>ROUND(V161*(1-'Disc Dep'!$N$5),2)</f>
        <v>0</v>
      </c>
      <c r="AD161" s="147">
        <f>ROUND(W161*(1+'Adaos Distr'!$C$112),2)</f>
        <v>0</v>
      </c>
      <c r="AE161" s="147">
        <f>ROUND(X161*(1+'Adaos Distr'!$C$112),2)</f>
        <v>0</v>
      </c>
      <c r="AF161" s="147">
        <f>ROUND(Y161*(1+'Adaos Distr'!$C$112),2)</f>
        <v>1.32</v>
      </c>
      <c r="AG161" s="147">
        <f>ROUND(Z161*(1+'Adaos Distr'!$C$112),2)</f>
        <v>1.41</v>
      </c>
      <c r="AI161" s="147">
        <f>ROUND(AB161*(1+'Adaos Distr'!$C$112),2)</f>
        <v>0</v>
      </c>
      <c r="AJ161" s="147">
        <f>ROUND(AC161*(1+'Adaos Distr'!$C$112),2)</f>
        <v>0</v>
      </c>
      <c r="AK161" s="147">
        <f>ROUND(AD161*(1+'Adaos RESELLER'!$C$112),2)</f>
        <v>0</v>
      </c>
      <c r="AL161" s="147">
        <f>ROUND(AE161*(1+'Adaos RESELLER'!$C$112),2)</f>
        <v>0</v>
      </c>
      <c r="AM161" s="147">
        <f>ROUND(AF161*(1+'Adaos RESELLER'!$C$112),2)</f>
        <v>1.32</v>
      </c>
      <c r="AN161" s="147">
        <f>ROUND(AG161*(1+'Adaos RESELLER'!$C$112),2)</f>
        <v>1.41</v>
      </c>
      <c r="AP161" s="147">
        <f>ROUND(AI161*(1+'Adaos RESELLER'!$C$112),2)</f>
        <v>0</v>
      </c>
      <c r="AQ161" s="147">
        <f>ROUND(AJ161*(1+'Adaos RESELLER'!$C$112),2)</f>
        <v>0</v>
      </c>
    </row>
    <row r="162" spans="1:43">
      <c r="A162" s="162" t="str">
        <f>IF(Select!$K$2=3,K162," ")</f>
        <v xml:space="preserve"> </v>
      </c>
      <c r="B162" s="163">
        <f>IF(Select!$E$23=1,W162,IF(Select!$E$23=2,AD162,IF(Select!$E$23=3,AK162)))</f>
        <v>0</v>
      </c>
      <c r="C162" s="163">
        <f>IF(Select!$E$23=1,X162,IF(Select!$E$23=2,AE162,IF(Select!$E$23=3,AL162)))</f>
        <v>0</v>
      </c>
      <c r="D162" s="163">
        <f>IF(Select!$E$23=1,Y162,IF(Select!$E$23=2,AF162,IF(Select!$E$23=3,AM162)))</f>
        <v>1.38</v>
      </c>
      <c r="E162" s="163">
        <f>IF(Select!$E$23=1,Z162,IF(Select!$E$23=2,AG162,IF(Select!$E$23=3,AN162)))</f>
        <v>1.47</v>
      </c>
      <c r="F162" s="163"/>
      <c r="G162" s="163">
        <f>IF(Select!$E$23=1,AB162,IF(Select!$E$23=2,AI162,IF(Select!$E$23=3,AP162)))</f>
        <v>0</v>
      </c>
      <c r="H162" s="163">
        <f>IF(Select!$E$23=1,AC162,IF(Select!$E$23=2,AJ162,IF(Select!$E$23=3,AQ162)))</f>
        <v>0</v>
      </c>
      <c r="K162" s="147" t="str">
        <f>Lang!A78</f>
        <v>Carlig,  RASUCIT ZINCAT 210 mm</v>
      </c>
      <c r="P162" s="176">
        <v>0</v>
      </c>
      <c r="Q162" s="176">
        <v>0</v>
      </c>
      <c r="R162" s="176">
        <v>1.87</v>
      </c>
      <c r="S162" s="176">
        <v>1.99</v>
      </c>
      <c r="T162" s="176">
        <v>0</v>
      </c>
      <c r="U162" s="176">
        <v>0</v>
      </c>
      <c r="V162" s="176">
        <v>0</v>
      </c>
      <c r="W162" s="163">
        <f>ROUND(P162*(1-'Disc Dep'!$M$5),2)</f>
        <v>0</v>
      </c>
      <c r="X162" s="163">
        <f>ROUND(Q162*(1-'Disc Dep'!$N$5),2)</f>
        <v>0</v>
      </c>
      <c r="Y162" s="163">
        <f>ROUND(R162*(1-'Disc Dep'!$M$5),2)</f>
        <v>1.38</v>
      </c>
      <c r="Z162" s="163">
        <f>ROUND(S162*(1-'Disc Dep'!$N$5),2)</f>
        <v>1.47</v>
      </c>
      <c r="AA162" s="163"/>
      <c r="AB162" s="163">
        <f>ROUND(U162*(1-'Disc Dep'!$M$5),2)</f>
        <v>0</v>
      </c>
      <c r="AC162" s="163">
        <f>ROUND(V162*(1-'Disc Dep'!$N$5),2)</f>
        <v>0</v>
      </c>
      <c r="AD162" s="147">
        <f>ROUND(W162*(1+'Adaos Distr'!$C$112),2)</f>
        <v>0</v>
      </c>
      <c r="AE162" s="147">
        <f>ROUND(X162*(1+'Adaos Distr'!$C$112),2)</f>
        <v>0</v>
      </c>
      <c r="AF162" s="147">
        <f>ROUND(Y162*(1+'Adaos Distr'!$C$112),2)</f>
        <v>1.38</v>
      </c>
      <c r="AG162" s="147">
        <f>ROUND(Z162*(1+'Adaos Distr'!$C$112),2)</f>
        <v>1.47</v>
      </c>
      <c r="AI162" s="147">
        <f>ROUND(AB162*(1+'Adaos Distr'!$C$112),2)</f>
        <v>0</v>
      </c>
      <c r="AJ162" s="147">
        <f>ROUND(AC162*(1+'Adaos Distr'!$C$112),2)</f>
        <v>0</v>
      </c>
      <c r="AK162" s="147">
        <f>ROUND(AD162*(1+'Adaos RESELLER'!$C$112),2)</f>
        <v>0</v>
      </c>
      <c r="AL162" s="147">
        <f>ROUND(AE162*(1+'Adaos RESELLER'!$C$112),2)</f>
        <v>0</v>
      </c>
      <c r="AM162" s="147">
        <f>ROUND(AF162*(1+'Adaos RESELLER'!$C$112),2)</f>
        <v>1.38</v>
      </c>
      <c r="AN162" s="147">
        <f>ROUND(AG162*(1+'Adaos RESELLER'!$C$112),2)</f>
        <v>1.47</v>
      </c>
      <c r="AP162" s="147">
        <f>ROUND(AI162*(1+'Adaos RESELLER'!$C$112),2)</f>
        <v>0</v>
      </c>
      <c r="AQ162" s="147">
        <f>ROUND(AJ162*(1+'Adaos RESELLER'!$C$112),2)</f>
        <v>0</v>
      </c>
    </row>
    <row r="163" spans="1:43">
      <c r="A163" s="162" t="str">
        <f>IF(AND(Select!$L$2=2,Select!$K$2=2),K163,IF(AND(Select!$L$2=2,Select!$K$2=5),K163," "))</f>
        <v xml:space="preserve"> </v>
      </c>
      <c r="B163" s="163">
        <f>IF(Select!$E$23=1,W163,IF(Select!$E$23=2,AD163,IF(Select!$E$23=3,AK163)))</f>
        <v>1.24</v>
      </c>
      <c r="C163" s="163">
        <f>IF(Select!$E$23=1,X163,IF(Select!$E$23=2,AE163,IF(Select!$E$23=3,AL163)))</f>
        <v>0</v>
      </c>
      <c r="D163" s="163">
        <f>IF(Select!$E$23=1,Y163,IF(Select!$E$23=2,AF163,IF(Select!$E$23=3,AM163)))</f>
        <v>0</v>
      </c>
      <c r="E163" s="163">
        <f>IF(Select!$E$23=1,Z163,IF(Select!$E$23=2,AG163,IF(Select!$E$23=3,AN163)))</f>
        <v>0</v>
      </c>
      <c r="F163" s="163"/>
      <c r="G163" s="163">
        <f>IF(Select!$E$23=1,AB163,IF(Select!$E$23=2,AI163,IF(Select!$E$23=3,AP163)))</f>
        <v>1.35</v>
      </c>
      <c r="H163" s="163">
        <f>IF(Select!$E$23=1,AC163,IF(Select!$E$23=2,AJ163,IF(Select!$E$23=3,AQ163)))</f>
        <v>0</v>
      </c>
      <c r="K163" s="147" t="str">
        <f>Lang!A79</f>
        <v>Carlig,  160 mm</v>
      </c>
      <c r="P163" s="176">
        <v>1.67</v>
      </c>
      <c r="Q163" s="176">
        <v>0</v>
      </c>
      <c r="R163" s="176">
        <v>0</v>
      </c>
      <c r="S163" s="176">
        <v>0</v>
      </c>
      <c r="T163" s="176">
        <v>0</v>
      </c>
      <c r="U163" s="176">
        <v>1.83</v>
      </c>
      <c r="V163" s="176">
        <v>0</v>
      </c>
      <c r="W163" s="163">
        <f>ROUND(P163*(1-'Disc Dep'!$M$5),2)</f>
        <v>1.24</v>
      </c>
      <c r="X163" s="163">
        <f>ROUND(Q163*(1-'Disc Dep'!$N$5),2)</f>
        <v>0</v>
      </c>
      <c r="Y163" s="163">
        <f>ROUND(R163*(1-'Disc Dep'!$M$5),2)</f>
        <v>0</v>
      </c>
      <c r="Z163" s="163">
        <f>ROUND(S163*(1-'Disc Dep'!$N$5),2)</f>
        <v>0</v>
      </c>
      <c r="AA163" s="163"/>
      <c r="AB163" s="163">
        <f>ROUND(U163*(1-'Disc Dep'!$M$5),2)</f>
        <v>1.35</v>
      </c>
      <c r="AC163" s="163">
        <f>ROUND(V163*(1-'Disc Dep'!$N$5),2)</f>
        <v>0</v>
      </c>
      <c r="AD163" s="147">
        <f>ROUND(W163*(1+'Adaos Distr'!$C$112),2)</f>
        <v>1.24</v>
      </c>
      <c r="AE163" s="147">
        <f>ROUND(X163*(1+'Adaos Distr'!$C$112),2)</f>
        <v>0</v>
      </c>
      <c r="AF163" s="147">
        <f>ROUND(Y163*(1+'Adaos Distr'!$C$112),2)</f>
        <v>0</v>
      </c>
      <c r="AG163" s="147">
        <f>ROUND(Z163*(1+'Adaos Distr'!$C$112),2)</f>
        <v>0</v>
      </c>
      <c r="AI163" s="147">
        <f>ROUND(AB163*(1+'Adaos Distr'!$C$112),2)</f>
        <v>1.35</v>
      </c>
      <c r="AJ163" s="147">
        <f>ROUND(AC163*(1+'Adaos Distr'!$C$112),2)</f>
        <v>0</v>
      </c>
      <c r="AK163" s="147">
        <f>ROUND(AD163*(1+'Adaos RESELLER'!$C$112),2)</f>
        <v>1.24</v>
      </c>
      <c r="AL163" s="147">
        <f>ROUND(AE163*(1+'Adaos RESELLER'!$C$112),2)</f>
        <v>0</v>
      </c>
      <c r="AM163" s="147">
        <f>ROUND(AF163*(1+'Adaos RESELLER'!$C$112),2)</f>
        <v>0</v>
      </c>
      <c r="AN163" s="147">
        <f>ROUND(AG163*(1+'Adaos RESELLER'!$C$112),2)</f>
        <v>0</v>
      </c>
      <c r="AP163" s="147">
        <f>ROUND(AI163*(1+'Adaos RESELLER'!$C$112),2)</f>
        <v>1.35</v>
      </c>
      <c r="AQ163" s="147">
        <f>ROUND(AJ163*(1+'Adaos RESELLER'!$C$112),2)</f>
        <v>0</v>
      </c>
    </row>
    <row r="164" spans="1:43">
      <c r="A164" s="162" t="str">
        <f>IF(AND(Select!$L$2=2,Select!$K$2=3),K164," ")</f>
        <v xml:space="preserve"> </v>
      </c>
      <c r="B164" s="163">
        <f>IF(Select!$E$23=1,W164,IF(Select!$E$23=2,AD164,IF(Select!$E$23=3,AK164)))</f>
        <v>0</v>
      </c>
      <c r="C164" s="163">
        <f>IF(Select!$E$23=1,X164,IF(Select!$E$23=2,AE164,IF(Select!$E$23=3,AL164)))</f>
        <v>0</v>
      </c>
      <c r="D164" s="163">
        <f>IF(Select!$E$23=1,Y164,IF(Select!$E$23=2,AF164,IF(Select!$E$23=3,AM164)))</f>
        <v>1.1599999999999999</v>
      </c>
      <c r="E164" s="163">
        <f>IF(Select!$E$23=1,Z164,IF(Select!$E$23=2,AG164,IF(Select!$E$23=3,AN164)))</f>
        <v>0</v>
      </c>
      <c r="F164" s="163"/>
      <c r="G164" s="163">
        <f>IF(Select!$E$23=1,AB164,IF(Select!$E$23=2,AI164,IF(Select!$E$23=3,AP164)))</f>
        <v>0</v>
      </c>
      <c r="H164" s="163">
        <f>IF(Select!$E$23=1,AC164,IF(Select!$E$23=2,AJ164,IF(Select!$E$23=3,AQ164)))</f>
        <v>0</v>
      </c>
      <c r="K164" s="147" t="str">
        <f>Lang!A80</f>
        <v>Carlig zincat 160mm</v>
      </c>
      <c r="P164" s="176">
        <v>0</v>
      </c>
      <c r="Q164" s="176">
        <v>0</v>
      </c>
      <c r="R164" s="176">
        <v>1.57</v>
      </c>
      <c r="S164" s="176">
        <v>0</v>
      </c>
      <c r="T164" s="176">
        <v>0</v>
      </c>
      <c r="U164" s="176">
        <v>0</v>
      </c>
      <c r="V164" s="176">
        <v>0</v>
      </c>
      <c r="W164" s="163">
        <f>ROUND(P164*(1-'Disc Dep'!$M$5),2)</f>
        <v>0</v>
      </c>
      <c r="X164" s="163">
        <f>ROUND(Q164*(1-'Disc Dep'!$N$5),2)</f>
        <v>0</v>
      </c>
      <c r="Y164" s="163">
        <f>ROUND(R164*(1-'Disc Dep'!$M$5),2)</f>
        <v>1.1599999999999999</v>
      </c>
      <c r="Z164" s="163">
        <f>ROUND(S164*(1-'Disc Dep'!$N$5),2)</f>
        <v>0</v>
      </c>
      <c r="AA164" s="163"/>
      <c r="AB164" s="163">
        <f>ROUND(U164*(1-'Disc Dep'!$M$5),2)</f>
        <v>0</v>
      </c>
      <c r="AC164" s="163">
        <f>ROUND(V164*(1-'Disc Dep'!$N$5),2)</f>
        <v>0</v>
      </c>
      <c r="AD164" s="147">
        <f>ROUND(W164*(1+'Adaos Distr'!$C$112),2)</f>
        <v>0</v>
      </c>
      <c r="AE164" s="147">
        <f>ROUND(X164*(1+'Adaos Distr'!$C$112),2)</f>
        <v>0</v>
      </c>
      <c r="AF164" s="147">
        <f>ROUND(Y164*(1+'Adaos Distr'!$C$112),2)</f>
        <v>1.1599999999999999</v>
      </c>
      <c r="AG164" s="147">
        <f>ROUND(Z164*(1+'Adaos Distr'!$C$112),2)</f>
        <v>0</v>
      </c>
      <c r="AI164" s="147">
        <f>ROUND(AB164*(1+'Adaos Distr'!$C$112),2)</f>
        <v>0</v>
      </c>
      <c r="AJ164" s="147">
        <f>ROUND(AC164*(1+'Adaos Distr'!$C$112),2)</f>
        <v>0</v>
      </c>
      <c r="AK164" s="147">
        <f>ROUND(AD164*(1+'Adaos RESELLER'!$C$112),2)</f>
        <v>0</v>
      </c>
      <c r="AL164" s="147">
        <f>ROUND(AE164*(1+'Adaos RESELLER'!$C$112),2)</f>
        <v>0</v>
      </c>
      <c r="AM164" s="147">
        <f>ROUND(AF164*(1+'Adaos RESELLER'!$C$112),2)</f>
        <v>1.1599999999999999</v>
      </c>
      <c r="AN164" s="147">
        <f>ROUND(AG164*(1+'Adaos RESELLER'!$C$112),2)</f>
        <v>0</v>
      </c>
      <c r="AP164" s="147">
        <f>ROUND(AI164*(1+'Adaos RESELLER'!$C$112),2)</f>
        <v>0</v>
      </c>
      <c r="AQ164" s="147">
        <f>ROUND(AJ164*(1+'Adaos RESELLER'!$C$112),2)</f>
        <v>0</v>
      </c>
    </row>
    <row r="165" spans="1:43">
      <c r="A165" s="162" t="str">
        <f>IF(Select!$K$2=3," ",K165)</f>
        <v>Carlig aplicat</v>
      </c>
      <c r="B165" s="163">
        <f>IF(Select!$E$23=1,W165,IF(Select!$E$23=2,AD165,IF(Select!$E$23=3,AK165)))</f>
        <v>1.1499999999999999</v>
      </c>
      <c r="C165" s="163">
        <f>IF(Select!$E$23=1,X165,IF(Select!$E$23=2,AE165,IF(Select!$E$23=3,AL165)))</f>
        <v>1.88</v>
      </c>
      <c r="D165" s="163">
        <f>IF(Select!$E$23=1,Y165,IF(Select!$E$23=2,AF165,IF(Select!$E$23=3,AM165)))</f>
        <v>0</v>
      </c>
      <c r="E165" s="163">
        <f>IF(Select!$E$23=1,Z165,IF(Select!$E$23=2,AG165,IF(Select!$E$23=3,AN165)))</f>
        <v>0</v>
      </c>
      <c r="F165" s="163"/>
      <c r="G165" s="163">
        <f>IF(Select!$E$23=1,AB165,IF(Select!$E$23=2,AI165,IF(Select!$E$23=3,AP165)))</f>
        <v>1.27</v>
      </c>
      <c r="H165" s="163">
        <f>IF(Select!$E$23=1,AC165,IF(Select!$E$23=2,AJ165,IF(Select!$E$23=3,AQ165)))</f>
        <v>2.0699999999999998</v>
      </c>
      <c r="K165" s="147" t="str">
        <f>Lang!A81</f>
        <v>Carlig aplicat</v>
      </c>
      <c r="P165" s="176">
        <v>1.56</v>
      </c>
      <c r="Q165" s="176">
        <v>2.54</v>
      </c>
      <c r="R165" s="176">
        <v>0</v>
      </c>
      <c r="S165" s="176">
        <v>0</v>
      </c>
      <c r="T165" s="176">
        <v>0</v>
      </c>
      <c r="U165" s="176">
        <v>1.72</v>
      </c>
      <c r="V165" s="176">
        <v>2.8</v>
      </c>
      <c r="W165" s="163">
        <f>ROUND(P165*(1-'Disc Dep'!$M$5),2)</f>
        <v>1.1499999999999999</v>
      </c>
      <c r="X165" s="163">
        <f>ROUND(Q165*(1-'Disc Dep'!$N$5),2)</f>
        <v>1.88</v>
      </c>
      <c r="Y165" s="163">
        <f>ROUND(R165*(1-'Disc Dep'!$M$5),2)</f>
        <v>0</v>
      </c>
      <c r="Z165" s="163">
        <f>ROUND(S165*(1-'Disc Dep'!$N$5),2)</f>
        <v>0</v>
      </c>
      <c r="AA165" s="163"/>
      <c r="AB165" s="163">
        <f>ROUND(U165*(1-'Disc Dep'!$M$5),2)</f>
        <v>1.27</v>
      </c>
      <c r="AC165" s="163">
        <f>ROUND(V165*(1-'Disc Dep'!$N$5),2)</f>
        <v>2.0699999999999998</v>
      </c>
      <c r="AD165" s="147">
        <f>ROUND(W165*(1+'Adaos Distr'!$C$112),2)</f>
        <v>1.1499999999999999</v>
      </c>
      <c r="AE165" s="147">
        <f>ROUND(X165*(1+'Adaos Distr'!$C$112),2)</f>
        <v>1.88</v>
      </c>
      <c r="AF165" s="147">
        <f>ROUND(Y165*(1+'Adaos Distr'!$C$112),2)</f>
        <v>0</v>
      </c>
      <c r="AG165" s="147">
        <f>ROUND(Z165*(1+'Adaos Distr'!$C$112),2)</f>
        <v>0</v>
      </c>
      <c r="AI165" s="147">
        <f>ROUND(AB165*(1+'Adaos Distr'!$C$112),2)</f>
        <v>1.27</v>
      </c>
      <c r="AJ165" s="147">
        <f>ROUND(AC165*(1+'Adaos Distr'!$C$112),2)</f>
        <v>2.0699999999999998</v>
      </c>
      <c r="AK165" s="147">
        <f>ROUND(AD165*(1+'Adaos RESELLER'!$C$112),2)</f>
        <v>1.1499999999999999</v>
      </c>
      <c r="AL165" s="147">
        <f>ROUND(AE165*(1+'Adaos RESELLER'!$C$112),2)</f>
        <v>1.88</v>
      </c>
      <c r="AM165" s="147">
        <f>ROUND(AF165*(1+'Adaos RESELLER'!$C$112),2)</f>
        <v>0</v>
      </c>
      <c r="AN165" s="147">
        <f>ROUND(AG165*(1+'Adaos RESELLER'!$C$112),2)</f>
        <v>0</v>
      </c>
      <c r="AP165" s="147">
        <f>ROUND(AI165*(1+'Adaos RESELLER'!$C$112),2)</f>
        <v>1.27</v>
      </c>
      <c r="AQ165" s="147">
        <f>ROUND(AJ165*(1+'Adaos RESELLER'!$C$112),2)</f>
        <v>2.0699999999999998</v>
      </c>
    </row>
    <row r="166" spans="1:43">
      <c r="A166" s="162" t="str">
        <f>IF(Select!$K$2=3,K166," ")</f>
        <v xml:space="preserve"> </v>
      </c>
      <c r="B166" s="163">
        <f>IF(Select!$E$23=1,W166,IF(Select!$E$23=2,AD166,IF(Select!$E$23=3,AK166)))</f>
        <v>0</v>
      </c>
      <c r="C166" s="163">
        <f>IF(Select!$E$23=1,X166,IF(Select!$E$23=2,AE166,IF(Select!$E$23=3,AL166)))</f>
        <v>0</v>
      </c>
      <c r="D166" s="163">
        <f>IF(Select!$E$23=1,Y166,IF(Select!$E$23=2,AF166,IF(Select!$E$23=3,AM166)))</f>
        <v>1.1599999999999999</v>
      </c>
      <c r="E166" s="163">
        <f>IF(Select!$E$23=1,Z166,IF(Select!$E$23=2,AG166,IF(Select!$E$23=3,AN166)))</f>
        <v>1.61</v>
      </c>
      <c r="F166" s="163"/>
      <c r="G166" s="163">
        <f>IF(Select!$E$23=1,AB166,IF(Select!$E$23=2,AI166,IF(Select!$E$23=3,AP166)))</f>
        <v>0</v>
      </c>
      <c r="H166" s="163">
        <f>IF(Select!$E$23=1,AC166,IF(Select!$E$23=2,AJ166,IF(Select!$E$23=3,AQ166)))</f>
        <v>0</v>
      </c>
      <c r="K166" s="147" t="str">
        <f>Lang!A82</f>
        <v>Carlig aplicat Zincat</v>
      </c>
      <c r="P166" s="176">
        <v>0</v>
      </c>
      <c r="Q166" s="176">
        <v>0</v>
      </c>
      <c r="R166" s="176">
        <v>1.57</v>
      </c>
      <c r="S166" s="176">
        <v>2.1800000000000002</v>
      </c>
      <c r="T166" s="176">
        <v>0</v>
      </c>
      <c r="U166" s="176">
        <v>0</v>
      </c>
      <c r="V166" s="176">
        <v>0</v>
      </c>
      <c r="W166" s="163">
        <f>ROUND(P166*(1-'Disc Dep'!$M$5),2)</f>
        <v>0</v>
      </c>
      <c r="X166" s="163">
        <f>ROUND(Q166*(1-'Disc Dep'!$N$5),2)</f>
        <v>0</v>
      </c>
      <c r="Y166" s="163">
        <f>ROUND(R166*(1-'Disc Dep'!$M$5),2)</f>
        <v>1.1599999999999999</v>
      </c>
      <c r="Z166" s="163">
        <f>ROUND(S166*(1-'Disc Dep'!$N$5),2)</f>
        <v>1.61</v>
      </c>
      <c r="AA166" s="163"/>
      <c r="AB166" s="163">
        <f>ROUND(U166*(1-'Disc Dep'!$M$5),2)</f>
        <v>0</v>
      </c>
      <c r="AC166" s="163">
        <f>ROUND(V166*(1-'Disc Dep'!$N$5),2)</f>
        <v>0</v>
      </c>
      <c r="AD166" s="147">
        <f>ROUND(W166*(1+'Adaos Distr'!$C$112),2)</f>
        <v>0</v>
      </c>
      <c r="AE166" s="147">
        <f>ROUND(X166*(1+'Adaos Distr'!$C$112),2)</f>
        <v>0</v>
      </c>
      <c r="AF166" s="147">
        <f>ROUND(Y166*(1+'Adaos Distr'!$C$112),2)</f>
        <v>1.1599999999999999</v>
      </c>
      <c r="AG166" s="147">
        <f>ROUND(Z166*(1+'Adaos Distr'!$C$112),2)</f>
        <v>1.61</v>
      </c>
      <c r="AI166" s="147">
        <f>ROUND(AB166*(1+'Adaos Distr'!$C$112),2)</f>
        <v>0</v>
      </c>
      <c r="AJ166" s="147">
        <f>ROUND(AC166*(1+'Adaos Distr'!$C$112),2)</f>
        <v>0</v>
      </c>
      <c r="AK166" s="147">
        <f>ROUND(AD166*(1+'Adaos RESELLER'!$C$112),2)</f>
        <v>0</v>
      </c>
      <c r="AL166" s="147">
        <f>ROUND(AE166*(1+'Adaos RESELLER'!$C$112),2)</f>
        <v>0</v>
      </c>
      <c r="AM166" s="147">
        <f>ROUND(AF166*(1+'Adaos RESELLER'!$C$112),2)</f>
        <v>1.1599999999999999</v>
      </c>
      <c r="AN166" s="147">
        <f>ROUND(AG166*(1+'Adaos RESELLER'!$C$112),2)</f>
        <v>1.61</v>
      </c>
      <c r="AP166" s="147">
        <f>ROUND(AI166*(1+'Adaos RESELLER'!$C$112),2)</f>
        <v>0</v>
      </c>
      <c r="AQ166" s="147">
        <f>ROUND(AJ166*(1+'Adaos RESELLER'!$C$112),2)</f>
        <v>0</v>
      </c>
    </row>
    <row r="167" spans="1:43">
      <c r="A167" s="164" t="str">
        <f>Lang!A83</f>
        <v>Jgheab 4 metri</v>
      </c>
      <c r="B167" s="163">
        <f>IF(Select!$E$23=1,W167,IF(Select!$E$23=2,AD167,IF(Select!$E$23=3,AK167)))</f>
        <v>8.4</v>
      </c>
      <c r="C167" s="163">
        <f>IF(Select!$E$23=1,X167,IF(Select!$E$23=2,AE167,IF(Select!$E$23=3,AL167)))</f>
        <v>11.14</v>
      </c>
      <c r="D167" s="163">
        <f>IF(Select!$E$23=1,Y167,IF(Select!$E$23=2,AF167,IF(Select!$E$23=3,AM167)))</f>
        <v>7</v>
      </c>
      <c r="E167" s="163">
        <f>IF(Select!$E$23=1,Z167,IF(Select!$E$23=2,AG167,IF(Select!$E$23=3,AN167)))</f>
        <v>9.3699999999999992</v>
      </c>
      <c r="F167" s="163"/>
      <c r="G167" s="163">
        <f>IF(Select!$E$23=1,AB167,IF(Select!$E$23=2,AI167,IF(Select!$E$23=3,AP167)))</f>
        <v>9.49</v>
      </c>
      <c r="H167" s="163">
        <f>IF(Select!$E$23=1,AC167,IF(Select!$E$23=2,AJ167,IF(Select!$E$23=3,AQ167)))</f>
        <v>12.52</v>
      </c>
      <c r="P167" s="176">
        <v>11.35</v>
      </c>
      <c r="Q167" s="176">
        <v>15.05</v>
      </c>
      <c r="R167" s="176">
        <v>9.4600000000000009</v>
      </c>
      <c r="S167" s="176">
        <v>12.66</v>
      </c>
      <c r="T167" s="176">
        <v>0</v>
      </c>
      <c r="U167" s="176">
        <v>12.82</v>
      </c>
      <c r="V167" s="176">
        <v>16.920000000000002</v>
      </c>
      <c r="W167" s="163">
        <f>ROUND(P167*(1-'Disc Dep'!$M$5),2)</f>
        <v>8.4</v>
      </c>
      <c r="X167" s="163">
        <f>ROUND(Q167*(1-'Disc Dep'!$N$5),2)</f>
        <v>11.14</v>
      </c>
      <c r="Y167" s="163">
        <f>ROUND(R167*(1-'Disc Dep'!$M$5),2)</f>
        <v>7</v>
      </c>
      <c r="Z167" s="163">
        <f>ROUND(S167*(1-'Disc Dep'!$N$5),2)</f>
        <v>9.3699999999999992</v>
      </c>
      <c r="AA167" s="163"/>
      <c r="AB167" s="163">
        <f>ROUND(U167*(1-'Disc Dep'!$M$5),2)</f>
        <v>9.49</v>
      </c>
      <c r="AC167" s="163">
        <f>ROUND(V167*(1-'Disc Dep'!$N$5),2)</f>
        <v>12.52</v>
      </c>
      <c r="AD167" s="147">
        <f>ROUND(W167*(1+'Adaos Distr'!$C$112),2)</f>
        <v>8.4</v>
      </c>
      <c r="AE167" s="147">
        <f>ROUND(X167*(1+'Adaos Distr'!$C$112),2)</f>
        <v>11.14</v>
      </c>
      <c r="AF167" s="147">
        <f>ROUND(Y167*(1+'Adaos Distr'!$C$112),2)</f>
        <v>7</v>
      </c>
      <c r="AG167" s="147">
        <f>ROUND(Z167*(1+'Adaos Distr'!$C$112),2)</f>
        <v>9.3699999999999992</v>
      </c>
      <c r="AI167" s="147">
        <f>ROUND(AB167*(1+'Adaos Distr'!$C$112),2)</f>
        <v>9.49</v>
      </c>
      <c r="AJ167" s="147">
        <f>ROUND(AC167*(1+'Adaos Distr'!$C$112),2)</f>
        <v>12.52</v>
      </c>
      <c r="AK167" s="147">
        <f>ROUND(AD167*(1+'Adaos RESELLER'!$C$112),2)</f>
        <v>8.4</v>
      </c>
      <c r="AL167" s="147">
        <f>ROUND(AE167*(1+'Adaos RESELLER'!$C$112),2)</f>
        <v>11.14</v>
      </c>
      <c r="AM167" s="147">
        <f>ROUND(AF167*(1+'Adaos RESELLER'!$C$112),2)</f>
        <v>7</v>
      </c>
      <c r="AN167" s="147">
        <f>ROUND(AG167*(1+'Adaos RESELLER'!$C$112),2)</f>
        <v>9.3699999999999992</v>
      </c>
      <c r="AP167" s="147">
        <f>ROUND(AI167*(1+'Adaos RESELLER'!$C$112),2)</f>
        <v>9.49</v>
      </c>
      <c r="AQ167" s="147">
        <f>ROUND(AJ167*(1+'Adaos RESELLER'!$C$112),2)</f>
        <v>12.52</v>
      </c>
    </row>
    <row r="168" spans="1:43">
      <c r="A168" s="164" t="str">
        <f>IF(Select!$K$2=2,K168, M168)</f>
        <v>Jgheab 2 metri</v>
      </c>
      <c r="B168" s="163">
        <f>IF(Select!$E$23=1,W168,IF(Select!$E$23=2,AD168,IF(Select!$E$23=3,AK168)))</f>
        <v>4.2</v>
      </c>
      <c r="C168" s="163">
        <f>IF(Select!$E$23=1,X168,IF(Select!$E$23=2,AE168,IF(Select!$E$23=3,AL168)))</f>
        <v>5.56</v>
      </c>
      <c r="D168" s="163">
        <f>IF(Select!$E$23=1,Y168,IF(Select!$E$23=2,AF168,IF(Select!$E$23=3,AM168)))</f>
        <v>3.5</v>
      </c>
      <c r="E168" s="163">
        <f>IF(Select!$E$23=1,Z168,IF(Select!$E$23=2,AG168,IF(Select!$E$23=3,AN168)))</f>
        <v>4.68</v>
      </c>
      <c r="F168" s="163"/>
      <c r="G168" s="163">
        <f>IF(Select!$E$23=1,AB168,IF(Select!$E$23=2,AI168,IF(Select!$E$23=3,AP168)))</f>
        <v>4.74</v>
      </c>
      <c r="H168" s="163">
        <f>IF(Select!$E$23=1,AC168,IF(Select!$E$23=2,AJ168,IF(Select!$E$23=3,AQ168)))</f>
        <v>6.26</v>
      </c>
      <c r="K168" s="147" t="str">
        <f>Lang!A85</f>
        <v>Jgheab 2 metri</v>
      </c>
      <c r="M168" s="147" t="str">
        <f>Lang!A86</f>
        <v>Jgheab 2 metri</v>
      </c>
      <c r="P168" s="176">
        <v>5.68</v>
      </c>
      <c r="Q168" s="176">
        <v>7.52</v>
      </c>
      <c r="R168" s="176">
        <v>4.7300000000000004</v>
      </c>
      <c r="S168" s="176">
        <v>6.32</v>
      </c>
      <c r="T168" s="176">
        <v>0</v>
      </c>
      <c r="U168" s="176">
        <v>6.41</v>
      </c>
      <c r="V168" s="176">
        <v>8.4600000000000009</v>
      </c>
      <c r="W168" s="163">
        <f>ROUND(P168*(1-'Disc Dep'!$M$5),2)</f>
        <v>4.2</v>
      </c>
      <c r="X168" s="163">
        <f>ROUND(Q168*(1-'Disc Dep'!$N$5),2)</f>
        <v>5.56</v>
      </c>
      <c r="Y168" s="163">
        <f>ROUND(R168*(1-'Disc Dep'!$M$5),2)</f>
        <v>3.5</v>
      </c>
      <c r="Z168" s="163">
        <f>ROUND(S168*(1-'Disc Dep'!$N$5),2)</f>
        <v>4.68</v>
      </c>
      <c r="AA168" s="163"/>
      <c r="AB168" s="163">
        <f>ROUND(U168*(1-'Disc Dep'!$M$5),2)</f>
        <v>4.74</v>
      </c>
      <c r="AC168" s="163">
        <f>ROUND(V168*(1-'Disc Dep'!$N$5),2)</f>
        <v>6.26</v>
      </c>
      <c r="AD168" s="147">
        <f>ROUND(W168*(1+'Adaos Distr'!$C$112),2)</f>
        <v>4.2</v>
      </c>
      <c r="AE168" s="147">
        <f>ROUND(X168*(1+'Adaos Distr'!$C$112),2)</f>
        <v>5.56</v>
      </c>
      <c r="AF168" s="147">
        <f>ROUND(Y168*(1+'Adaos Distr'!$C$112),2)</f>
        <v>3.5</v>
      </c>
      <c r="AG168" s="147">
        <f>ROUND(Z168*(1+'Adaos Distr'!$C$112),2)</f>
        <v>4.68</v>
      </c>
      <c r="AI168" s="147">
        <f>ROUND(AB168*(1+'Adaos Distr'!$C$112),2)</f>
        <v>4.74</v>
      </c>
      <c r="AJ168" s="147">
        <f>ROUND(AC168*(1+'Adaos Distr'!$C$112),2)</f>
        <v>6.26</v>
      </c>
      <c r="AK168" s="147">
        <f>ROUND(AD168*(1+'Adaos RESELLER'!$C$112),2)</f>
        <v>4.2</v>
      </c>
      <c r="AL168" s="147">
        <f>ROUND(AE168*(1+'Adaos RESELLER'!$C$112),2)</f>
        <v>5.56</v>
      </c>
      <c r="AM168" s="147">
        <f>ROUND(AF168*(1+'Adaos RESELLER'!$C$112),2)</f>
        <v>3.5</v>
      </c>
      <c r="AN168" s="147">
        <f>ROUND(AG168*(1+'Adaos RESELLER'!$C$112),2)</f>
        <v>4.68</v>
      </c>
      <c r="AP168" s="147">
        <f>ROUND(AI168*(1+'Adaos RESELLER'!$C$112),2)</f>
        <v>4.74</v>
      </c>
      <c r="AQ168" s="147">
        <f>ROUND(AJ168*(1+'Adaos RESELLER'!$C$112),2)</f>
        <v>6.26</v>
      </c>
    </row>
    <row r="169" spans="1:43">
      <c r="A169" s="164" t="str">
        <f>IF(Select!$K$2=2,K169," ")</f>
        <v xml:space="preserve"> </v>
      </c>
      <c r="B169" s="163">
        <f>IF(Select!$E$23=1,W169,IF(Select!$E$23=2,AD169,IF(Select!$E$23=3,AK169)))</f>
        <v>6.3</v>
      </c>
      <c r="C169" s="163">
        <f>IF(Select!$E$23=1,X169,IF(Select!$E$23=2,AE169,IF(Select!$E$23=3,AL169)))</f>
        <v>8.35</v>
      </c>
      <c r="D169" s="163">
        <f>IF(Select!$E$23=1,Y169,IF(Select!$E$23=2,AF169,IF(Select!$E$23=3,AM169)))</f>
        <v>0</v>
      </c>
      <c r="E169" s="163">
        <f>IF(Select!$E$23=1,Z169,IF(Select!$E$23=2,AG169,IF(Select!$E$23=3,AN169)))</f>
        <v>0</v>
      </c>
      <c r="F169" s="163"/>
      <c r="G169" s="163">
        <f>IF(Select!$E$23=1,AB169,IF(Select!$E$23=2,AI169,IF(Select!$E$23=3,AP169)))</f>
        <v>0</v>
      </c>
      <c r="H169" s="163">
        <f>IF(Select!$E$23=1,AC169,IF(Select!$E$23=2,AJ169,IF(Select!$E$23=3,AQ169)))</f>
        <v>0</v>
      </c>
      <c r="K169" s="147" t="str">
        <f>Lang!A84</f>
        <v>Jgheab 3 metri Lichidare stoc</v>
      </c>
      <c r="P169" s="176">
        <v>8.51</v>
      </c>
      <c r="Q169" s="176">
        <v>11.28</v>
      </c>
      <c r="R169" s="176">
        <v>7.09</v>
      </c>
      <c r="S169" s="176">
        <v>9.49</v>
      </c>
      <c r="T169" s="176">
        <v>0</v>
      </c>
      <c r="U169" s="176">
        <v>9.61</v>
      </c>
      <c r="V169" s="176">
        <v>12.68</v>
      </c>
      <c r="W169" s="163">
        <f>ROUND(P169*(1-'Disc Dep'!$M$5),2)</f>
        <v>6.3</v>
      </c>
      <c r="X169" s="163">
        <f>ROUND(Q169*(1-'Disc Dep'!$N$5),2)</f>
        <v>8.35</v>
      </c>
      <c r="Y169" s="163">
        <f>ROUND(R169*(1-'Disc Dep'!$M$5),2)</f>
        <v>5.25</v>
      </c>
      <c r="Z169" s="163">
        <f>ROUND(S169*(1-'Disc Dep'!$N$5),2)</f>
        <v>7.02</v>
      </c>
      <c r="AA169" s="163"/>
      <c r="AB169" s="163"/>
      <c r="AC169" s="163"/>
      <c r="AD169" s="147">
        <f>ROUND(W169*(1+'Adaos Distr'!$C$112),2)</f>
        <v>6.3</v>
      </c>
      <c r="AE169" s="147">
        <f>ROUND(X169*(1+'Adaos Distr'!$C$112),2)</f>
        <v>8.35</v>
      </c>
      <c r="AK169" s="147">
        <f>ROUND(AD169*(1+'Adaos RESELLER'!$C$112),2)</f>
        <v>6.3</v>
      </c>
      <c r="AL169" s="147">
        <f>ROUND(AE169*(1+'Adaos RESELLER'!$C$112),2)</f>
        <v>8.35</v>
      </c>
    </row>
    <row r="170" spans="1:43">
      <c r="A170" s="162" t="str">
        <f>Lang!A87</f>
        <v>Coltar jgheab exterior</v>
      </c>
      <c r="B170" s="163">
        <f>IF(Select!$E$23=1,W170,IF(Select!$E$23=2,AD170,IF(Select!$E$23=3,AK170)))</f>
        <v>7.4</v>
      </c>
      <c r="C170" s="163">
        <f>IF(Select!$E$23=1,X170,IF(Select!$E$23=2,AE170,IF(Select!$E$23=3,AL170)))</f>
        <v>10.35</v>
      </c>
      <c r="D170" s="163">
        <f>IF(Select!$E$23=1,Y170,IF(Select!$E$23=2,AF170,IF(Select!$E$23=3,AM170)))</f>
        <v>8.44</v>
      </c>
      <c r="E170" s="163">
        <f>IF(Select!$E$23=1,Z170,IF(Select!$E$23=2,AG170,IF(Select!$E$23=3,AN170)))</f>
        <v>8.44</v>
      </c>
      <c r="F170" s="163"/>
      <c r="G170" s="163">
        <f>IF(Select!$E$23=1,AB170,IF(Select!$E$23=2,AI170,IF(Select!$E$23=3,AP170)))</f>
        <v>9.36</v>
      </c>
      <c r="H170" s="163">
        <f>IF(Select!$E$23=1,AC170,IF(Select!$E$23=2,AJ170,IF(Select!$E$23=3,AQ170)))</f>
        <v>11.39</v>
      </c>
      <c r="P170" s="176">
        <v>10</v>
      </c>
      <c r="Q170" s="176">
        <v>13.99</v>
      </c>
      <c r="R170" s="176">
        <v>11.41</v>
      </c>
      <c r="S170" s="176">
        <v>11.41</v>
      </c>
      <c r="T170" s="176">
        <v>0</v>
      </c>
      <c r="U170" s="176">
        <v>12.65</v>
      </c>
      <c r="V170" s="176">
        <v>15.39</v>
      </c>
      <c r="W170" s="163">
        <f>ROUND(P170*(1-'Disc Dep'!$M$5),2)</f>
        <v>7.4</v>
      </c>
      <c r="X170" s="163">
        <f>ROUND(Q170*(1-'Disc Dep'!$N$5),2)</f>
        <v>10.35</v>
      </c>
      <c r="Y170" s="163">
        <f>ROUND(R170*(1-'Disc Dep'!$M$5),2)</f>
        <v>8.44</v>
      </c>
      <c r="Z170" s="163">
        <f>ROUND(S170*(1-'Disc Dep'!$N$5),2)</f>
        <v>8.44</v>
      </c>
      <c r="AA170" s="163"/>
      <c r="AB170" s="163">
        <f>ROUND(U170*(1-'Disc Dep'!$M$5),2)</f>
        <v>9.36</v>
      </c>
      <c r="AC170" s="163">
        <f>ROUND(V170*(1-'Disc Dep'!$N$5),2)</f>
        <v>11.39</v>
      </c>
      <c r="AD170" s="147">
        <f>ROUND(W170*(1+'Adaos Distr'!$C$112),2)</f>
        <v>7.4</v>
      </c>
      <c r="AE170" s="147">
        <f>ROUND(X170*(1+'Adaos Distr'!$C$112),2)</f>
        <v>10.35</v>
      </c>
      <c r="AF170" s="147">
        <f>ROUND(Y170*(1+'Adaos Distr'!$C$112),2)</f>
        <v>8.44</v>
      </c>
      <c r="AG170" s="147">
        <f>ROUND(Z170*(1+'Adaos Distr'!$C$112),2)</f>
        <v>8.44</v>
      </c>
      <c r="AI170" s="147">
        <f>ROUND(AB170*(1+'Adaos Distr'!$C$112),2)</f>
        <v>9.36</v>
      </c>
      <c r="AJ170" s="147">
        <f>ROUND(AC170*(1+'Adaos Distr'!$C$112),2)</f>
        <v>11.39</v>
      </c>
      <c r="AK170" s="147">
        <f>ROUND(AD170*(1+'Adaos RESELLER'!$C$112),2)</f>
        <v>7.4</v>
      </c>
      <c r="AL170" s="147">
        <f>ROUND(AE170*(1+'Adaos RESELLER'!$C$112),2)</f>
        <v>10.35</v>
      </c>
      <c r="AM170" s="147">
        <f>ROUND(AF170*(1+'Adaos RESELLER'!$C$112),2)</f>
        <v>8.44</v>
      </c>
      <c r="AN170" s="147">
        <f>ROUND(AG170*(1+'Adaos RESELLER'!$C$112),2)</f>
        <v>8.44</v>
      </c>
      <c r="AP170" s="147">
        <f>ROUND(AI170*(1+'Adaos RESELLER'!$C$112),2)</f>
        <v>9.36</v>
      </c>
      <c r="AQ170" s="147">
        <f>ROUND(AJ170*(1+'Adaos RESELLER'!$C$112),2)</f>
        <v>11.39</v>
      </c>
    </row>
    <row r="171" spans="1:43">
      <c r="A171" s="162" t="str">
        <f>Lang!A88</f>
        <v>Coltar jgheab interior</v>
      </c>
      <c r="B171" s="163">
        <f>IF(Select!$E$23=1,W171,IF(Select!$E$23=2,AD171,IF(Select!$E$23=3,AK171)))</f>
        <v>7.4</v>
      </c>
      <c r="C171" s="163">
        <f>IF(Select!$E$23=1,X171,IF(Select!$E$23=2,AE171,IF(Select!$E$23=3,AL171)))</f>
        <v>10.35</v>
      </c>
      <c r="D171" s="163">
        <f>IF(Select!$E$23=1,Y171,IF(Select!$E$23=2,AF171,IF(Select!$E$23=3,AM171)))</f>
        <v>8.44</v>
      </c>
      <c r="E171" s="163">
        <f>IF(Select!$E$23=1,Z171,IF(Select!$E$23=2,AG171,IF(Select!$E$23=3,AN171)))</f>
        <v>8.44</v>
      </c>
      <c r="F171" s="163"/>
      <c r="G171" s="163">
        <f>IF(Select!$E$23=1,AB171,IF(Select!$E$23=2,AI171,IF(Select!$E$23=3,AP171)))</f>
        <v>9.36</v>
      </c>
      <c r="H171" s="163">
        <f>IF(Select!$E$23=1,AC171,IF(Select!$E$23=2,AJ171,IF(Select!$E$23=3,AQ171)))</f>
        <v>11.39</v>
      </c>
      <c r="P171" s="176">
        <v>10</v>
      </c>
      <c r="Q171" s="176">
        <v>13.99</v>
      </c>
      <c r="R171" s="176">
        <v>11.41</v>
      </c>
      <c r="S171" s="176">
        <v>11.41</v>
      </c>
      <c r="T171" s="176">
        <v>0</v>
      </c>
      <c r="U171" s="176">
        <v>12.65</v>
      </c>
      <c r="V171" s="176">
        <v>15.39</v>
      </c>
      <c r="W171" s="163">
        <f>ROUND(P171*(1-'Disc Dep'!$M$5),2)</f>
        <v>7.4</v>
      </c>
      <c r="X171" s="163">
        <f>ROUND(Q171*(1-'Disc Dep'!$N$5),2)</f>
        <v>10.35</v>
      </c>
      <c r="Y171" s="163">
        <f>ROUND(R171*(1-'Disc Dep'!$M$5),2)</f>
        <v>8.44</v>
      </c>
      <c r="Z171" s="163">
        <f>ROUND(S171*(1-'Disc Dep'!$N$5),2)</f>
        <v>8.44</v>
      </c>
      <c r="AA171" s="163"/>
      <c r="AB171" s="163">
        <f>ROUND(U171*(1-'Disc Dep'!$M$5),2)</f>
        <v>9.36</v>
      </c>
      <c r="AC171" s="163">
        <f>ROUND(V171*(1-'Disc Dep'!$N$5),2)</f>
        <v>11.39</v>
      </c>
      <c r="AD171" s="147">
        <f>ROUND(W171*(1+'Adaos Distr'!$C$112),2)</f>
        <v>7.4</v>
      </c>
      <c r="AE171" s="147">
        <f>ROUND(X171*(1+'Adaos Distr'!$C$112),2)</f>
        <v>10.35</v>
      </c>
      <c r="AF171" s="147">
        <f>ROUND(Y171*(1+'Adaos Distr'!$C$112),2)</f>
        <v>8.44</v>
      </c>
      <c r="AG171" s="147">
        <f>ROUND(Z171*(1+'Adaos Distr'!$C$112),2)</f>
        <v>8.44</v>
      </c>
      <c r="AI171" s="147">
        <f>ROUND(AB171*(1+'Adaos Distr'!$C$112),2)</f>
        <v>9.36</v>
      </c>
      <c r="AJ171" s="147">
        <f>ROUND(AC171*(1+'Adaos Distr'!$C$112),2)</f>
        <v>11.39</v>
      </c>
      <c r="AK171" s="147">
        <f>ROUND(AD171*(1+'Adaos RESELLER'!$C$112),2)</f>
        <v>7.4</v>
      </c>
      <c r="AL171" s="147">
        <f>ROUND(AE171*(1+'Adaos RESELLER'!$C$112),2)</f>
        <v>10.35</v>
      </c>
      <c r="AM171" s="147">
        <f>ROUND(AF171*(1+'Adaos RESELLER'!$C$112),2)</f>
        <v>8.44</v>
      </c>
      <c r="AN171" s="147">
        <f>ROUND(AG171*(1+'Adaos RESELLER'!$C$112),2)</f>
        <v>8.44</v>
      </c>
      <c r="AP171" s="147">
        <f>ROUND(AI171*(1+'Adaos RESELLER'!$C$112),2)</f>
        <v>9.36</v>
      </c>
      <c r="AQ171" s="147">
        <f>ROUND(AJ171*(1+'Adaos RESELLER'!$C$112),2)</f>
        <v>11.39</v>
      </c>
    </row>
    <row r="172" spans="1:43">
      <c r="A172" s="162" t="str">
        <f>Lang!A89</f>
        <v>Bratara jgheab</v>
      </c>
      <c r="B172" s="163">
        <f>IF(Select!$E$23=1,W172,IF(Select!$E$23=2,AD172,IF(Select!$E$23=3,AK172)))</f>
        <v>1.3</v>
      </c>
      <c r="C172" s="163">
        <f>IF(Select!$E$23=1,X172,IF(Select!$E$23=2,AE172,IF(Select!$E$23=3,AL172)))</f>
        <v>1.59</v>
      </c>
      <c r="D172" s="163">
        <f>IF(Select!$E$23=1,Y172,IF(Select!$E$23=2,AF172,IF(Select!$E$23=3,AM172)))</f>
        <v>1.1200000000000001</v>
      </c>
      <c r="E172" s="163">
        <f>IF(Select!$E$23=1,Z172,IF(Select!$E$23=2,AG172,IF(Select!$E$23=3,AN172)))</f>
        <v>1.3</v>
      </c>
      <c r="F172" s="163"/>
      <c r="G172" s="163">
        <f>IF(Select!$E$23=1,AB172,IF(Select!$E$23=2,AI172,IF(Select!$E$23=3,AP172)))</f>
        <v>1.44</v>
      </c>
      <c r="H172" s="163">
        <f>IF(Select!$E$23=1,AC172,IF(Select!$E$23=2,AJ172,IF(Select!$E$23=3,AQ172)))</f>
        <v>1.8</v>
      </c>
      <c r="P172" s="176">
        <v>1.76</v>
      </c>
      <c r="Q172" s="176">
        <v>2.15</v>
      </c>
      <c r="R172" s="176">
        <v>1.51</v>
      </c>
      <c r="S172" s="176">
        <v>1.75</v>
      </c>
      <c r="T172" s="176">
        <v>0</v>
      </c>
      <c r="U172" s="176">
        <v>1.94</v>
      </c>
      <c r="V172" s="176">
        <v>2.4300000000000002</v>
      </c>
      <c r="W172" s="163">
        <f>ROUND(P172*(1-'Disc Dep'!$M$5),2)</f>
        <v>1.3</v>
      </c>
      <c r="X172" s="163">
        <f>ROUND(Q172*(1-'Disc Dep'!$N$5),2)</f>
        <v>1.59</v>
      </c>
      <c r="Y172" s="163">
        <f>ROUND(R172*(1-'Disc Dep'!$M$5),2)</f>
        <v>1.1200000000000001</v>
      </c>
      <c r="Z172" s="163">
        <f>ROUND(S172*(1-'Disc Dep'!$N$5),2)</f>
        <v>1.3</v>
      </c>
      <c r="AA172" s="163"/>
      <c r="AB172" s="163">
        <f>ROUND(U172*(1-'Disc Dep'!$M$5),2)</f>
        <v>1.44</v>
      </c>
      <c r="AC172" s="163">
        <f>ROUND(V172*(1-'Disc Dep'!$N$5),2)</f>
        <v>1.8</v>
      </c>
      <c r="AD172" s="147">
        <f>ROUND(W172*(1+'Adaos Distr'!$C$112),2)</f>
        <v>1.3</v>
      </c>
      <c r="AE172" s="147">
        <f>ROUND(X172*(1+'Adaos Distr'!$C$112),2)</f>
        <v>1.59</v>
      </c>
      <c r="AF172" s="147">
        <f>ROUND(Y172*(1+'Adaos Distr'!$C$112),2)</f>
        <v>1.1200000000000001</v>
      </c>
      <c r="AG172" s="147">
        <f>ROUND(Z172*(1+'Adaos Distr'!$C$112),2)</f>
        <v>1.3</v>
      </c>
      <c r="AI172" s="147">
        <f>ROUND(AB172*(1+'Adaos Distr'!$C$112),2)</f>
        <v>1.44</v>
      </c>
      <c r="AJ172" s="147">
        <f>ROUND(AC172*(1+'Adaos Distr'!$C$112),2)</f>
        <v>1.8</v>
      </c>
      <c r="AK172" s="147">
        <f>ROUND(AD172*(1+'Adaos RESELLER'!$C$112),2)</f>
        <v>1.3</v>
      </c>
      <c r="AL172" s="147">
        <f>ROUND(AE172*(1+'Adaos RESELLER'!$C$112),2)</f>
        <v>1.59</v>
      </c>
      <c r="AM172" s="147">
        <f>ROUND(AF172*(1+'Adaos RESELLER'!$C$112),2)</f>
        <v>1.1200000000000001</v>
      </c>
      <c r="AN172" s="147">
        <f>ROUND(AG172*(1+'Adaos RESELLER'!$C$112),2)</f>
        <v>1.3</v>
      </c>
      <c r="AP172" s="147">
        <f>ROUND(AI172*(1+'Adaos RESELLER'!$C$112),2)</f>
        <v>1.44</v>
      </c>
      <c r="AQ172" s="147">
        <f>ROUND(AJ172*(1+'Adaos RESELLER'!$C$112),2)</f>
        <v>1.8</v>
      </c>
    </row>
    <row r="173" spans="1:43">
      <c r="A173" s="162" t="str">
        <f>Lang!A90</f>
        <v>Capac jgheab</v>
      </c>
      <c r="B173" s="163">
        <f>IF(Select!$E$23=1,W173,IF(Select!$E$23=2,AD173,IF(Select!$E$23=3,AK173)))</f>
        <v>0.81</v>
      </c>
      <c r="C173" s="163">
        <f>IF(Select!$E$23=1,X173,IF(Select!$E$23=2,AE173,IF(Select!$E$23=3,AL173)))</f>
        <v>1.05</v>
      </c>
      <c r="D173" s="163">
        <f>IF(Select!$E$23=1,Y173,IF(Select!$E$23=2,AF173,IF(Select!$E$23=3,AM173)))</f>
        <v>0.73</v>
      </c>
      <c r="E173" s="163">
        <f>IF(Select!$E$23=1,Z173,IF(Select!$E$23=2,AG173,IF(Select!$E$23=3,AN173)))</f>
        <v>0.97</v>
      </c>
      <c r="F173" s="163"/>
      <c r="G173" s="163">
        <f>IF(Select!$E$23=1,AB173,IF(Select!$E$23=2,AI173,IF(Select!$E$23=3,AP173)))</f>
        <v>0.9</v>
      </c>
      <c r="H173" s="163">
        <f>IF(Select!$E$23=1,AC173,IF(Select!$E$23=2,AJ173,IF(Select!$E$23=3,AQ173)))</f>
        <v>1.18</v>
      </c>
      <c r="P173" s="176">
        <v>1.1000000000000001</v>
      </c>
      <c r="Q173" s="176">
        <v>1.42</v>
      </c>
      <c r="R173" s="176">
        <v>0.98</v>
      </c>
      <c r="S173" s="176">
        <v>1.31</v>
      </c>
      <c r="T173" s="176">
        <v>0</v>
      </c>
      <c r="U173" s="176">
        <v>1.22</v>
      </c>
      <c r="V173" s="176">
        <v>1.6</v>
      </c>
      <c r="W173" s="163">
        <f>ROUND(P173*(1-'Disc Dep'!$M$5),2)</f>
        <v>0.81</v>
      </c>
      <c r="X173" s="163">
        <f>ROUND(Q173*(1-'Disc Dep'!$N$5),2)</f>
        <v>1.05</v>
      </c>
      <c r="Y173" s="163">
        <f>ROUND(R173*(1-'Disc Dep'!$M$5),2)</f>
        <v>0.73</v>
      </c>
      <c r="Z173" s="163">
        <f>ROUND(S173*(1-'Disc Dep'!$N$5),2)</f>
        <v>0.97</v>
      </c>
      <c r="AA173" s="163"/>
      <c r="AB173" s="163">
        <f>ROUND(U173*(1-'Disc Dep'!$M$5),2)</f>
        <v>0.9</v>
      </c>
      <c r="AC173" s="163">
        <f>ROUND(V173*(1-'Disc Dep'!$N$5),2)</f>
        <v>1.18</v>
      </c>
      <c r="AD173" s="147">
        <f>ROUND(W173*(1+'Adaos Distr'!$C$112),2)</f>
        <v>0.81</v>
      </c>
      <c r="AE173" s="147">
        <f>ROUND(X173*(1+'Adaos Distr'!$C$112),2)</f>
        <v>1.05</v>
      </c>
      <c r="AF173" s="147">
        <f>ROUND(Y173*(1+'Adaos Distr'!$C$112),2)</f>
        <v>0.73</v>
      </c>
      <c r="AG173" s="147">
        <f>ROUND(Z173*(1+'Adaos Distr'!$C$112),2)</f>
        <v>0.97</v>
      </c>
      <c r="AI173" s="147">
        <f>ROUND(AB173*(1+'Adaos Distr'!$C$112),2)</f>
        <v>0.9</v>
      </c>
      <c r="AJ173" s="147">
        <f>ROUND(AC173*(1+'Adaos Distr'!$C$112),2)</f>
        <v>1.18</v>
      </c>
      <c r="AK173" s="147">
        <f>ROUND(AD173*(1+'Adaos RESELLER'!$C$112),2)</f>
        <v>0.81</v>
      </c>
      <c r="AL173" s="147">
        <f>ROUND(AE173*(1+'Adaos RESELLER'!$C$112),2)</f>
        <v>1.05</v>
      </c>
      <c r="AM173" s="147">
        <f>ROUND(AF173*(1+'Adaos RESELLER'!$C$112),2)</f>
        <v>0.73</v>
      </c>
      <c r="AN173" s="147">
        <f>ROUND(AG173*(1+'Adaos RESELLER'!$C$112),2)</f>
        <v>0.97</v>
      </c>
      <c r="AP173" s="147">
        <f>ROUND(AI173*(1+'Adaos RESELLER'!$C$112),2)</f>
        <v>0.9</v>
      </c>
      <c r="AQ173" s="147">
        <f>ROUND(AJ173*(1+'Adaos RESELLER'!$C$112),2)</f>
        <v>1.18</v>
      </c>
    </row>
    <row r="174" spans="1:43">
      <c r="A174" s="162" t="str">
        <f>Lang!A91</f>
        <v>Contracarlig</v>
      </c>
      <c r="B174" s="163">
        <f>IF(Select!$E$23=1,W174,IF(Select!$E$23=2,AD174,IF(Select!$E$23=3,AK174)))</f>
        <v>0.63</v>
      </c>
      <c r="C174" s="163">
        <f>IF(Select!$E$23=1,X174,IF(Select!$E$23=2,AE174,IF(Select!$E$23=3,AL174)))</f>
        <v>0.63</v>
      </c>
      <c r="D174" s="163">
        <f>IF(Select!$E$23=1,Y174,IF(Select!$E$23=2,AF174,IF(Select!$E$23=3,AM174)))</f>
        <v>0.53</v>
      </c>
      <c r="E174" s="163">
        <f>IF(Select!$E$23=1,Z174,IF(Select!$E$23=2,AG174,IF(Select!$E$23=3,AN174)))</f>
        <v>0.53</v>
      </c>
      <c r="F174" s="163"/>
      <c r="G174" s="163">
        <f>IF(Select!$E$23=1,AB174,IF(Select!$E$23=2,AI174,IF(Select!$E$23=3,AP174)))</f>
        <v>0</v>
      </c>
      <c r="H174" s="163">
        <f>IF(Select!$E$23=1,AC174,IF(Select!$E$23=2,AJ174,IF(Select!$E$23=3,AQ174)))</f>
        <v>0</v>
      </c>
      <c r="P174" s="176">
        <v>0.85</v>
      </c>
      <c r="Q174" s="176">
        <v>0.85</v>
      </c>
      <c r="R174" s="176">
        <v>0.71</v>
      </c>
      <c r="S174" s="176">
        <v>0.71</v>
      </c>
      <c r="T174" s="176">
        <v>0</v>
      </c>
      <c r="U174" s="176">
        <v>0</v>
      </c>
      <c r="V174" s="176">
        <v>0</v>
      </c>
      <c r="W174" s="163">
        <f>ROUND(P174*(1-'Disc Dep'!$M$5),2)</f>
        <v>0.63</v>
      </c>
      <c r="X174" s="163">
        <f>ROUND(Q174*(1-'Disc Dep'!$N$5),2)</f>
        <v>0.63</v>
      </c>
      <c r="Y174" s="163">
        <f>ROUND(R174*(1-'Disc Dep'!$M$5),2)</f>
        <v>0.53</v>
      </c>
      <c r="Z174" s="163">
        <f>ROUND(S174*(1-'Disc Dep'!$N$5),2)</f>
        <v>0.53</v>
      </c>
      <c r="AA174" s="163"/>
      <c r="AB174" s="163">
        <f>ROUND(U174*(1-'Disc Dep'!$M$5),2)</f>
        <v>0</v>
      </c>
      <c r="AC174" s="163">
        <f>ROUND(V174*(1-'Disc Dep'!$N$5),2)</f>
        <v>0</v>
      </c>
      <c r="AD174" s="147">
        <f>ROUND(W174*(1+'Adaos Distr'!$C$112),2)</f>
        <v>0.63</v>
      </c>
      <c r="AE174" s="147">
        <f>ROUND(X174*(1+'Adaos Distr'!$C$112),2)</f>
        <v>0.63</v>
      </c>
      <c r="AF174" s="147">
        <f>ROUND(Y174*(1+'Adaos Distr'!$C$112),2)</f>
        <v>0.53</v>
      </c>
      <c r="AG174" s="147">
        <f>ROUND(Z174*(1+'Adaos Distr'!$C$112),2)</f>
        <v>0.53</v>
      </c>
      <c r="AI174" s="147">
        <f>ROUND(AB174*(1+'Adaos Distr'!$C$112),2)</f>
        <v>0</v>
      </c>
      <c r="AJ174" s="147">
        <f>ROUND(AC174*(1+'Adaos Distr'!$C$112),2)</f>
        <v>0</v>
      </c>
      <c r="AK174" s="147">
        <f>ROUND(AD174*(1+'Adaos RESELLER'!$C$112),2)</f>
        <v>0.63</v>
      </c>
      <c r="AL174" s="147">
        <f>ROUND(AE174*(1+'Adaos RESELLER'!$C$112),2)</f>
        <v>0.63</v>
      </c>
      <c r="AM174" s="147">
        <f>ROUND(AF174*(1+'Adaos RESELLER'!$C$112),2)</f>
        <v>0.53</v>
      </c>
      <c r="AN174" s="147">
        <f>ROUND(AG174*(1+'Adaos RESELLER'!$C$112),2)</f>
        <v>0.53</v>
      </c>
      <c r="AP174" s="147">
        <f>ROUND(AI174*(1+'Adaos RESELLER'!$C$112),2)</f>
        <v>0</v>
      </c>
      <c r="AQ174" s="147">
        <f>ROUND(AJ174*(1+'Adaos RESELLER'!$C$112),2)</f>
        <v>0</v>
      </c>
    </row>
    <row r="175" spans="1:43">
      <c r="A175" s="162" t="str">
        <f>Lang!A92</f>
        <v>Racord jgheab-burlan</v>
      </c>
      <c r="B175" s="163">
        <f>IF(Select!$E$23=1,W175,IF(Select!$E$23=2,AD175,IF(Select!$E$23=3,AK175)))</f>
        <v>2.21</v>
      </c>
      <c r="C175" s="163">
        <f>IF(Select!$E$23=1,X175,IF(Select!$E$23=2,AE175,IF(Select!$E$23=3,AL175)))</f>
        <v>3.4</v>
      </c>
      <c r="D175" s="163">
        <f>IF(Select!$E$23=1,Y175,IF(Select!$E$23=2,AF175,IF(Select!$E$23=3,AM175)))</f>
        <v>1.84</v>
      </c>
      <c r="E175" s="163">
        <f>IF(Select!$E$23=1,Z175,IF(Select!$E$23=2,AG175,IF(Select!$E$23=3,AN175)))</f>
        <v>2.83</v>
      </c>
      <c r="F175" s="163"/>
      <c r="G175" s="163">
        <f>IF(Select!$E$23=1,AB175,IF(Select!$E$23=2,AI175,IF(Select!$E$23=3,AP175)))</f>
        <v>2.4300000000000002</v>
      </c>
      <c r="H175" s="163">
        <f>IF(Select!$E$23=1,AC175,IF(Select!$E$23=2,AJ175,IF(Select!$E$23=3,AQ175)))</f>
        <v>3.83</v>
      </c>
      <c r="P175" s="176">
        <v>2.99</v>
      </c>
      <c r="Q175" s="176">
        <v>4.5999999999999996</v>
      </c>
      <c r="R175" s="176">
        <v>2.4900000000000002</v>
      </c>
      <c r="S175" s="176">
        <v>3.83</v>
      </c>
      <c r="T175" s="176">
        <v>0</v>
      </c>
      <c r="U175" s="176">
        <v>3.29</v>
      </c>
      <c r="V175" s="176">
        <v>5.17</v>
      </c>
      <c r="W175" s="163">
        <f>ROUND(P175*(1-'Disc Dep'!$M$5),2)</f>
        <v>2.21</v>
      </c>
      <c r="X175" s="163">
        <f>ROUND(Q175*(1-'Disc Dep'!$N$5),2)</f>
        <v>3.4</v>
      </c>
      <c r="Y175" s="163">
        <f>ROUND(R175*(1-'Disc Dep'!$M$5),2)</f>
        <v>1.84</v>
      </c>
      <c r="Z175" s="163">
        <f>ROUND(S175*(1-'Disc Dep'!$N$5),2)</f>
        <v>2.83</v>
      </c>
      <c r="AA175" s="163"/>
      <c r="AB175" s="163">
        <f>ROUND(U175*(1-'Disc Dep'!$M$5),2)</f>
        <v>2.4300000000000002</v>
      </c>
      <c r="AC175" s="163">
        <f>ROUND(V175*(1-'Disc Dep'!$N$5),2)</f>
        <v>3.83</v>
      </c>
      <c r="AD175" s="147">
        <f>ROUND(W175*(1+'Adaos Distr'!$C$112),2)</f>
        <v>2.21</v>
      </c>
      <c r="AE175" s="147">
        <f>ROUND(X175*(1+'Adaos Distr'!$C$112),2)</f>
        <v>3.4</v>
      </c>
      <c r="AF175" s="147">
        <f>ROUND(Y175*(1+'Adaos Distr'!$C$112),2)</f>
        <v>1.84</v>
      </c>
      <c r="AG175" s="147">
        <f>ROUND(Z175*(1+'Adaos Distr'!$C$112),2)</f>
        <v>2.83</v>
      </c>
      <c r="AI175" s="147">
        <f>ROUND(AB175*(1+'Adaos Distr'!$C$112),2)</f>
        <v>2.4300000000000002</v>
      </c>
      <c r="AJ175" s="147">
        <f>ROUND(AC175*(1+'Adaos Distr'!$C$112),2)</f>
        <v>3.83</v>
      </c>
      <c r="AK175" s="147">
        <f>ROUND(AD175*(1+'Adaos RESELLER'!$C$112),2)</f>
        <v>2.21</v>
      </c>
      <c r="AL175" s="147">
        <f>ROUND(AE175*(1+'Adaos RESELLER'!$C$112),2)</f>
        <v>3.4</v>
      </c>
      <c r="AM175" s="147">
        <f>ROUND(AF175*(1+'Adaos RESELLER'!$C$112),2)</f>
        <v>1.84</v>
      </c>
      <c r="AN175" s="147">
        <f>ROUND(AG175*(1+'Adaos RESELLER'!$C$112),2)</f>
        <v>2.83</v>
      </c>
      <c r="AP175" s="147">
        <f>ROUND(AI175*(1+'Adaos RESELLER'!$C$112),2)</f>
        <v>2.4300000000000002</v>
      </c>
      <c r="AQ175" s="147">
        <f>ROUND(AJ175*(1+'Adaos RESELLER'!$C$112),2)</f>
        <v>3.83</v>
      </c>
    </row>
    <row r="176" spans="1:43">
      <c r="A176" s="162" t="str">
        <f>Lang!A93</f>
        <v>Cot burlan</v>
      </c>
      <c r="B176" s="163">
        <f>IF(Select!$E$23=1,W176,IF(Select!$E$23=2,AD176,IF(Select!$E$23=3,AK176)))</f>
        <v>2.21</v>
      </c>
      <c r="C176" s="163">
        <f>IF(Select!$E$23=1,X176,IF(Select!$E$23=2,AE176,IF(Select!$E$23=3,AL176)))</f>
        <v>3.4</v>
      </c>
      <c r="D176" s="163">
        <f>IF(Select!$E$23=1,Y176,IF(Select!$E$23=2,AF176,IF(Select!$E$23=3,AM176)))</f>
        <v>1.84</v>
      </c>
      <c r="E176" s="163">
        <f>IF(Select!$E$23=1,Z176,IF(Select!$E$23=2,AG176,IF(Select!$E$23=3,AN176)))</f>
        <v>2.83</v>
      </c>
      <c r="F176" s="163"/>
      <c r="G176" s="163">
        <f>IF(Select!$E$23=1,AB176,IF(Select!$E$23=2,AI176,IF(Select!$E$23=3,AP176)))</f>
        <v>2.4300000000000002</v>
      </c>
      <c r="H176" s="163">
        <f>IF(Select!$E$23=1,AC176,IF(Select!$E$23=2,AJ176,IF(Select!$E$23=3,AQ176)))</f>
        <v>3.83</v>
      </c>
      <c r="P176" s="176">
        <v>2.99</v>
      </c>
      <c r="Q176" s="176">
        <v>4.5999999999999996</v>
      </c>
      <c r="R176" s="176">
        <v>2.4900000000000002</v>
      </c>
      <c r="S176" s="176">
        <v>3.83</v>
      </c>
      <c r="T176" s="176">
        <v>0</v>
      </c>
      <c r="U176" s="176">
        <v>3.29</v>
      </c>
      <c r="V176" s="176">
        <v>5.17</v>
      </c>
      <c r="W176" s="163">
        <f>ROUND(P176*(1-'Disc Dep'!$M$5),2)</f>
        <v>2.21</v>
      </c>
      <c r="X176" s="163">
        <f>ROUND(Q176*(1-'Disc Dep'!$N$5),2)</f>
        <v>3.4</v>
      </c>
      <c r="Y176" s="163">
        <f>ROUND(R176*(1-'Disc Dep'!$M$5),2)</f>
        <v>1.84</v>
      </c>
      <c r="Z176" s="163">
        <f>ROUND(S176*(1-'Disc Dep'!$N$5),2)</f>
        <v>2.83</v>
      </c>
      <c r="AA176" s="163"/>
      <c r="AB176" s="163">
        <f>ROUND(U176*(1-'Disc Dep'!$M$5),2)</f>
        <v>2.4300000000000002</v>
      </c>
      <c r="AC176" s="163">
        <f>ROUND(V176*(1-'Disc Dep'!$N$5),2)</f>
        <v>3.83</v>
      </c>
      <c r="AD176" s="147">
        <f>ROUND(W176*(1+'Adaos Distr'!$C$112),2)</f>
        <v>2.21</v>
      </c>
      <c r="AE176" s="147">
        <f>ROUND(X176*(1+'Adaos Distr'!$C$112),2)</f>
        <v>3.4</v>
      </c>
      <c r="AF176" s="147">
        <f>ROUND(Y176*(1+'Adaos Distr'!$C$112),2)</f>
        <v>1.84</v>
      </c>
      <c r="AG176" s="147">
        <f>ROUND(Z176*(1+'Adaos Distr'!$C$112),2)</f>
        <v>2.83</v>
      </c>
      <c r="AI176" s="147">
        <f>ROUND(AB176*(1+'Adaos Distr'!$C$112),2)</f>
        <v>2.4300000000000002</v>
      </c>
      <c r="AJ176" s="147">
        <f>ROUND(AC176*(1+'Adaos Distr'!$C$112),2)</f>
        <v>3.83</v>
      </c>
      <c r="AK176" s="147">
        <f>ROUND(AD176*(1+'Adaos RESELLER'!$C$112),2)</f>
        <v>2.21</v>
      </c>
      <c r="AL176" s="147">
        <f>ROUND(AE176*(1+'Adaos RESELLER'!$C$112),2)</f>
        <v>3.4</v>
      </c>
      <c r="AM176" s="147">
        <f>ROUND(AF176*(1+'Adaos RESELLER'!$C$112),2)</f>
        <v>1.84</v>
      </c>
      <c r="AN176" s="147">
        <f>ROUND(AG176*(1+'Adaos RESELLER'!$C$112),2)</f>
        <v>2.83</v>
      </c>
      <c r="AP176" s="147">
        <f>ROUND(AI176*(1+'Adaos RESELLER'!$C$112),2)</f>
        <v>2.4300000000000002</v>
      </c>
      <c r="AQ176" s="147">
        <f>ROUND(AJ176*(1+'Adaos RESELLER'!$C$112),2)</f>
        <v>3.83</v>
      </c>
    </row>
    <row r="177" spans="1:43">
      <c r="A177" s="162" t="str">
        <f>Lang!A94</f>
        <v>Prelungire burlan 0.9m</v>
      </c>
      <c r="B177" s="163">
        <f>IF(Select!$E$23=1,W177,IF(Select!$E$23=2,AD177,IF(Select!$E$23=3,AK177)))</f>
        <v>2.6</v>
      </c>
      <c r="C177" s="163">
        <f>IF(Select!$E$23=1,X177,IF(Select!$E$23=2,AE177,IF(Select!$E$23=3,AL177)))</f>
        <v>3.38</v>
      </c>
      <c r="D177" s="163">
        <f>IF(Select!$E$23=1,Y177,IF(Select!$E$23=2,AF177,IF(Select!$E$23=3,AM177)))</f>
        <v>2.15</v>
      </c>
      <c r="E177" s="163">
        <f>IF(Select!$E$23=1,Z177,IF(Select!$E$23=2,AG177,IF(Select!$E$23=3,AN177)))</f>
        <v>2.77</v>
      </c>
      <c r="F177" s="163"/>
      <c r="G177" s="163">
        <f>IF(Select!$E$23=1,AB177,IF(Select!$E$23=2,AI177,IF(Select!$E$23=3,AP177)))</f>
        <v>2.91</v>
      </c>
      <c r="H177" s="163">
        <f>IF(Select!$E$23=1,AC177,IF(Select!$E$23=2,AJ177,IF(Select!$E$23=3,AQ177)))</f>
        <v>3.84</v>
      </c>
      <c r="P177" s="176">
        <v>3.52</v>
      </c>
      <c r="Q177" s="176">
        <v>4.57</v>
      </c>
      <c r="R177" s="176">
        <v>2.91</v>
      </c>
      <c r="S177" s="176">
        <v>3.74</v>
      </c>
      <c r="T177" s="176">
        <v>0</v>
      </c>
      <c r="U177" s="176">
        <v>3.93</v>
      </c>
      <c r="V177" s="176">
        <v>5.19</v>
      </c>
      <c r="W177" s="163">
        <f>ROUND(P177*(1-'Disc Dep'!$M$5),2)</f>
        <v>2.6</v>
      </c>
      <c r="X177" s="163">
        <f>ROUND(Q177*(1-'Disc Dep'!$N$5),2)</f>
        <v>3.38</v>
      </c>
      <c r="Y177" s="163">
        <f>ROUND(R177*(1-'Disc Dep'!$M$5),2)</f>
        <v>2.15</v>
      </c>
      <c r="Z177" s="163">
        <f>ROUND(S177*(1-'Disc Dep'!$N$5),2)</f>
        <v>2.77</v>
      </c>
      <c r="AA177" s="163"/>
      <c r="AB177" s="163">
        <f>ROUND(U177*(1-'Disc Dep'!$M$5),2)</f>
        <v>2.91</v>
      </c>
      <c r="AC177" s="163">
        <f>ROUND(V177*(1-'Disc Dep'!$N$5),2)</f>
        <v>3.84</v>
      </c>
      <c r="AD177" s="147">
        <f>ROUND(W177*(1+'Adaos Distr'!$C$112),2)</f>
        <v>2.6</v>
      </c>
      <c r="AE177" s="147">
        <f>ROUND(X177*(1+'Adaos Distr'!$C$112),2)</f>
        <v>3.38</v>
      </c>
      <c r="AF177" s="147">
        <f>ROUND(Y177*(1+'Adaos Distr'!$C$112),2)</f>
        <v>2.15</v>
      </c>
      <c r="AG177" s="147">
        <f>ROUND(Z177*(1+'Adaos Distr'!$C$112),2)</f>
        <v>2.77</v>
      </c>
      <c r="AI177" s="147">
        <f>ROUND(AB177*(1+'Adaos Distr'!$C$112),2)</f>
        <v>2.91</v>
      </c>
      <c r="AJ177" s="147">
        <f>ROUND(AC177*(1+'Adaos Distr'!$C$112),2)</f>
        <v>3.84</v>
      </c>
      <c r="AK177" s="147">
        <f>ROUND(AD177*(1+'Adaos RESELLER'!$C$112),2)</f>
        <v>2.6</v>
      </c>
      <c r="AL177" s="147">
        <f>ROUND(AE177*(1+'Adaos RESELLER'!$C$112),2)</f>
        <v>3.38</v>
      </c>
      <c r="AM177" s="147">
        <f>ROUND(AF177*(1+'Adaos RESELLER'!$C$112),2)</f>
        <v>2.15</v>
      </c>
      <c r="AN177" s="147">
        <f>ROUND(AG177*(1+'Adaos RESELLER'!$C$112),2)</f>
        <v>2.77</v>
      </c>
      <c r="AP177" s="147">
        <f>ROUND(AI177*(1+'Adaos RESELLER'!$C$112),2)</f>
        <v>2.91</v>
      </c>
      <c r="AQ177" s="147">
        <f>ROUND(AJ177*(1+'Adaos RESELLER'!$C$112),2)</f>
        <v>3.84</v>
      </c>
    </row>
    <row r="178" spans="1:43">
      <c r="A178" s="162" t="str">
        <f>Lang!A95</f>
        <v>Burlan 3 metri</v>
      </c>
      <c r="B178" s="163">
        <f>IF(Select!$E$23=1,W178,IF(Select!$E$23=2,AD178,IF(Select!$E$23=3,AK178)))</f>
        <v>7.76</v>
      </c>
      <c r="C178" s="163">
        <f>IF(Select!$E$23=1,X178,IF(Select!$E$23=2,AE178,IF(Select!$E$23=3,AL178)))</f>
        <v>10.24</v>
      </c>
      <c r="D178" s="163">
        <f>IF(Select!$E$23=1,Y178,IF(Select!$E$23=2,AF178,IF(Select!$E$23=3,AM178)))</f>
        <v>6.47</v>
      </c>
      <c r="E178" s="163">
        <f>IF(Select!$E$23=1,Z178,IF(Select!$E$23=2,AG178,IF(Select!$E$23=3,AN178)))</f>
        <v>8.32</v>
      </c>
      <c r="F178" s="163"/>
      <c r="G178" s="163">
        <f>IF(Select!$E$23=1,AB178,IF(Select!$E$23=2,AI178,IF(Select!$E$23=3,AP178)))</f>
        <v>8.74</v>
      </c>
      <c r="H178" s="163">
        <f>IF(Select!$E$23=1,AC178,IF(Select!$E$23=2,AJ178,IF(Select!$E$23=3,AQ178)))</f>
        <v>11.53</v>
      </c>
      <c r="P178" s="176">
        <v>10.49</v>
      </c>
      <c r="Q178" s="176">
        <v>13.84</v>
      </c>
      <c r="R178" s="176">
        <v>8.74</v>
      </c>
      <c r="S178" s="176">
        <v>11.24</v>
      </c>
      <c r="T178" s="176">
        <v>0</v>
      </c>
      <c r="U178" s="176">
        <v>11.81</v>
      </c>
      <c r="V178" s="176">
        <v>15.58</v>
      </c>
      <c r="W178" s="163">
        <f>ROUND(P178*(1-'Disc Dep'!$M$5),2)</f>
        <v>7.76</v>
      </c>
      <c r="X178" s="163">
        <f>ROUND(Q178*(1-'Disc Dep'!$N$5),2)</f>
        <v>10.24</v>
      </c>
      <c r="Y178" s="163">
        <f>ROUND(R178*(1-'Disc Dep'!$M$5),2)</f>
        <v>6.47</v>
      </c>
      <c r="Z178" s="163">
        <f>ROUND(S178*(1-'Disc Dep'!$N$5),2)</f>
        <v>8.32</v>
      </c>
      <c r="AA178" s="163"/>
      <c r="AB178" s="163">
        <f>ROUND(U178*(1-'Disc Dep'!$M$5),2)</f>
        <v>8.74</v>
      </c>
      <c r="AC178" s="163">
        <f>ROUND(V178*(1-'Disc Dep'!$N$5),2)</f>
        <v>11.53</v>
      </c>
      <c r="AD178" s="147">
        <f>ROUND(W178*(1+'Adaos Distr'!$C$112),2)</f>
        <v>7.76</v>
      </c>
      <c r="AE178" s="147">
        <f>ROUND(X178*(1+'Adaos Distr'!$C$112),2)</f>
        <v>10.24</v>
      </c>
      <c r="AF178" s="147">
        <f>ROUND(Y178*(1+'Adaos Distr'!$C$112),2)</f>
        <v>6.47</v>
      </c>
      <c r="AG178" s="147">
        <f>ROUND(Z178*(1+'Adaos Distr'!$C$112),2)</f>
        <v>8.32</v>
      </c>
      <c r="AI178" s="147">
        <f>ROUND(AB178*(1+'Adaos Distr'!$C$112),2)</f>
        <v>8.74</v>
      </c>
      <c r="AJ178" s="147">
        <f>ROUND(AC178*(1+'Adaos Distr'!$C$112),2)</f>
        <v>11.53</v>
      </c>
      <c r="AK178" s="147">
        <f>ROUND(AD178*(1+'Adaos RESELLER'!$C$112),2)</f>
        <v>7.76</v>
      </c>
      <c r="AL178" s="147">
        <f>ROUND(AE178*(1+'Adaos RESELLER'!$C$112),2)</f>
        <v>10.24</v>
      </c>
      <c r="AM178" s="147">
        <f>ROUND(AF178*(1+'Adaos RESELLER'!$C$112),2)</f>
        <v>6.47</v>
      </c>
      <c r="AN178" s="147">
        <f>ROUND(AG178*(1+'Adaos RESELLER'!$C$112),2)</f>
        <v>8.32</v>
      </c>
      <c r="AP178" s="147">
        <f>ROUND(AI178*(1+'Adaos RESELLER'!$C$112),2)</f>
        <v>8.74</v>
      </c>
      <c r="AQ178" s="147">
        <f>ROUND(AJ178*(1+'Adaos RESELLER'!$C$112),2)</f>
        <v>11.53</v>
      </c>
    </row>
    <row r="179" spans="1:43">
      <c r="A179" s="162" t="str">
        <f>Lang!A96</f>
        <v>Colier burlan</v>
      </c>
      <c r="B179" s="163">
        <f>IF(Select!$E$23=1,W179,IF(Select!$E$23=2,AD179,IF(Select!$E$23=3,AK179)))</f>
        <v>0.81</v>
      </c>
      <c r="C179" s="163">
        <f>IF(Select!$E$23=1,X179,IF(Select!$E$23=2,AE179,IF(Select!$E$23=3,AL179)))</f>
        <v>1.07</v>
      </c>
      <c r="D179" s="163">
        <f>IF(Select!$E$23=1,Y179,IF(Select!$E$23=2,AF179,IF(Select!$E$23=3,AM179)))</f>
        <v>0.73</v>
      </c>
      <c r="E179" s="163">
        <f>IF(Select!$E$23=1,Z179,IF(Select!$E$23=2,AG179,IF(Select!$E$23=3,AN179)))</f>
        <v>0.97</v>
      </c>
      <c r="F179" s="163"/>
      <c r="G179" s="163">
        <f>IF(Select!$E$23=1,AB179,IF(Select!$E$23=2,AI179,IF(Select!$E$23=3,AP179)))</f>
        <v>0.9</v>
      </c>
      <c r="H179" s="163">
        <f>IF(Select!$E$23=1,AC179,IF(Select!$E$23=2,AJ179,IF(Select!$E$23=3,AQ179)))</f>
        <v>1.18</v>
      </c>
      <c r="P179" s="176">
        <v>1.1000000000000001</v>
      </c>
      <c r="Q179" s="176">
        <v>1.45</v>
      </c>
      <c r="R179" s="176">
        <v>0.98</v>
      </c>
      <c r="S179" s="176">
        <v>1.31</v>
      </c>
      <c r="T179" s="176">
        <v>0</v>
      </c>
      <c r="U179" s="176">
        <v>1.22</v>
      </c>
      <c r="V179" s="176">
        <v>1.6</v>
      </c>
      <c r="W179" s="163">
        <f>ROUND(P179*(1-'Disc Dep'!$M$5),2)</f>
        <v>0.81</v>
      </c>
      <c r="X179" s="163">
        <f>ROUND(Q179*(1-'Disc Dep'!$N$5),2)</f>
        <v>1.07</v>
      </c>
      <c r="Y179" s="163">
        <f>ROUND(R179*(1-'Disc Dep'!$M$5),2)</f>
        <v>0.73</v>
      </c>
      <c r="Z179" s="163">
        <f>ROUND(S179*(1-'Disc Dep'!$N$5),2)</f>
        <v>0.97</v>
      </c>
      <c r="AA179" s="163"/>
      <c r="AB179" s="163">
        <f>ROUND(U179*(1-'Disc Dep'!$M$5),2)</f>
        <v>0.9</v>
      </c>
      <c r="AC179" s="163">
        <f>ROUND(V179*(1-'Disc Dep'!$N$5),2)</f>
        <v>1.18</v>
      </c>
      <c r="AD179" s="147">
        <f>ROUND(W179*(1+'Adaos Distr'!$C$112),2)</f>
        <v>0.81</v>
      </c>
      <c r="AE179" s="147">
        <f>ROUND(X179*(1+'Adaos Distr'!$C$112),2)</f>
        <v>1.07</v>
      </c>
      <c r="AF179" s="147">
        <f>ROUND(Y179*(1+'Adaos Distr'!$C$112),2)</f>
        <v>0.73</v>
      </c>
      <c r="AG179" s="147">
        <f>ROUND(Z179*(1+'Adaos Distr'!$C$112),2)</f>
        <v>0.97</v>
      </c>
      <c r="AI179" s="147">
        <f>ROUND(AB179*(1+'Adaos Distr'!$C$112),2)</f>
        <v>0.9</v>
      </c>
      <c r="AJ179" s="147">
        <f>ROUND(AC179*(1+'Adaos Distr'!$C$112),2)</f>
        <v>1.18</v>
      </c>
      <c r="AK179" s="147">
        <f>ROUND(AD179*(1+'Adaos RESELLER'!$C$112),2)</f>
        <v>0.81</v>
      </c>
      <c r="AL179" s="147">
        <f>ROUND(AE179*(1+'Adaos RESELLER'!$C$112),2)</f>
        <v>1.07</v>
      </c>
      <c r="AM179" s="147">
        <f>ROUND(AF179*(1+'Adaos RESELLER'!$C$112),2)</f>
        <v>0.73</v>
      </c>
      <c r="AN179" s="147">
        <f>ROUND(AG179*(1+'Adaos RESELLER'!$C$112),2)</f>
        <v>0.97</v>
      </c>
      <c r="AP179" s="147">
        <f>ROUND(AI179*(1+'Adaos RESELLER'!$C$112),2)</f>
        <v>0.9</v>
      </c>
      <c r="AQ179" s="147">
        <f>ROUND(AJ179*(1+'Adaos RESELLER'!$C$112),2)</f>
        <v>1.18</v>
      </c>
    </row>
    <row r="180" spans="1:43">
      <c r="A180" s="162" t="str">
        <f>Lang!A97</f>
        <v>Ramificatie burlan Y</v>
      </c>
      <c r="B180" s="163">
        <f>IF(Select!$E$23=1,W180,IF(Select!$E$23=2,AD180,IF(Select!$E$23=3,AK180)))</f>
        <v>20.61</v>
      </c>
      <c r="C180" s="163">
        <f>IF(Select!$E$23=1,X180,IF(Select!$E$23=2,AE180,IF(Select!$E$23=3,AL180)))</f>
        <v>20.61</v>
      </c>
      <c r="D180" s="163">
        <f>IF(Select!$E$23=1,Y180,IF(Select!$E$23=2,AF180,IF(Select!$E$23=3,AM180)))</f>
        <v>15.7</v>
      </c>
      <c r="E180" s="163">
        <f>IF(Select!$E$23=1,Z180,IF(Select!$E$23=2,AG180,IF(Select!$E$23=3,AN180)))</f>
        <v>15.7</v>
      </c>
      <c r="F180" s="163"/>
      <c r="G180" s="163">
        <f>IF(Select!$E$23=1,AB180,IF(Select!$E$23=2,AI180,IF(Select!$E$23=3,AP180)))</f>
        <v>20.61</v>
      </c>
      <c r="H180" s="163">
        <f>IF(Select!$E$23=1,AC180,IF(Select!$E$23=2,AJ180,IF(Select!$E$23=3,AQ180)))</f>
        <v>20.61</v>
      </c>
      <c r="P180" s="176">
        <v>27.85</v>
      </c>
      <c r="Q180" s="176">
        <v>27.85</v>
      </c>
      <c r="R180" s="176">
        <v>21.22</v>
      </c>
      <c r="S180" s="176">
        <v>21.22</v>
      </c>
      <c r="T180" s="176">
        <v>0</v>
      </c>
      <c r="U180" s="176">
        <v>27.85</v>
      </c>
      <c r="V180" s="176">
        <v>27.85</v>
      </c>
      <c r="W180" s="163">
        <f>ROUND(P180*(1-'Disc Dep'!$M$5),2)</f>
        <v>20.61</v>
      </c>
      <c r="X180" s="163">
        <f>ROUND(Q180*(1-'Disc Dep'!$N$5),2)</f>
        <v>20.61</v>
      </c>
      <c r="Y180" s="163">
        <f>ROUND(R180*(1-'Disc Dep'!$M$5),2)</f>
        <v>15.7</v>
      </c>
      <c r="Z180" s="163">
        <f>ROUND(S180*(1-'Disc Dep'!$N$5),2)</f>
        <v>15.7</v>
      </c>
      <c r="AA180" s="163"/>
      <c r="AB180" s="163">
        <f>ROUND(U180*(1-'Disc Dep'!$M$5),2)</f>
        <v>20.61</v>
      </c>
      <c r="AC180" s="163">
        <f>ROUND(V180*(1-'Disc Dep'!$N$5),2)</f>
        <v>20.61</v>
      </c>
      <c r="AD180" s="147">
        <f>ROUND(W180*(1+'Adaos Distr'!$C$112),2)</f>
        <v>20.61</v>
      </c>
      <c r="AE180" s="147">
        <f>ROUND(X180*(1+'Adaos Distr'!$C$112),2)</f>
        <v>20.61</v>
      </c>
      <c r="AF180" s="147">
        <f>ROUND(Y180*(1+'Adaos Distr'!$C$112),2)</f>
        <v>15.7</v>
      </c>
      <c r="AG180" s="147">
        <f>ROUND(Z180*(1+'Adaos Distr'!$C$112),2)</f>
        <v>15.7</v>
      </c>
      <c r="AI180" s="147">
        <f>ROUND(AB180*(1+'Adaos Distr'!$C$112),2)</f>
        <v>20.61</v>
      </c>
      <c r="AJ180" s="147">
        <f>ROUND(AC180*(1+'Adaos Distr'!$C$112),2)</f>
        <v>20.61</v>
      </c>
      <c r="AK180" s="147">
        <f>ROUND(AD180*(1+'Adaos RESELLER'!$C$112),2)</f>
        <v>20.61</v>
      </c>
      <c r="AL180" s="147">
        <f>ROUND(AE180*(1+'Adaos RESELLER'!$C$112),2)</f>
        <v>20.61</v>
      </c>
      <c r="AM180" s="147">
        <f>ROUND(AF180*(1+'Adaos RESELLER'!$C$112),2)</f>
        <v>15.7</v>
      </c>
      <c r="AN180" s="147">
        <f>ROUND(AG180*(1+'Adaos RESELLER'!$C$112),2)</f>
        <v>15.7</v>
      </c>
      <c r="AP180" s="147">
        <f>ROUND(AI180*(1+'Adaos RESELLER'!$C$112),2)</f>
        <v>20.61</v>
      </c>
      <c r="AQ180" s="147">
        <f>ROUND(AJ180*(1+'Adaos RESELLER'!$C$112),2)</f>
        <v>20.61</v>
      </c>
    </row>
    <row r="181" spans="1:43">
      <c r="A181" s="162" t="str">
        <f>Lang!A98</f>
        <v>Evacuare</v>
      </c>
      <c r="B181" s="163">
        <f>IF(Select!$E$23=1,W181,IF(Select!$E$23=2,AD181,IF(Select!$E$23=3,AK181)))</f>
        <v>2.21</v>
      </c>
      <c r="C181" s="163">
        <f>IF(Select!$E$23=1,X181,IF(Select!$E$23=2,AE181,IF(Select!$E$23=3,AL181)))</f>
        <v>3.48</v>
      </c>
      <c r="D181" s="163">
        <f>IF(Select!$E$23=1,Y181,IF(Select!$E$23=2,AF181,IF(Select!$E$23=3,AM181)))</f>
        <v>1.84</v>
      </c>
      <c r="E181" s="163">
        <f>IF(Select!$E$23=1,Z181,IF(Select!$E$23=2,AG181,IF(Select!$E$23=3,AN181)))</f>
        <v>2.83</v>
      </c>
      <c r="F181" s="163"/>
      <c r="G181" s="163">
        <f>IF(Select!$E$23=1,AB181,IF(Select!$E$23=2,AI181,IF(Select!$E$23=3,AP181)))</f>
        <v>2.4300000000000002</v>
      </c>
      <c r="H181" s="163">
        <f>IF(Select!$E$23=1,AC181,IF(Select!$E$23=2,AJ181,IF(Select!$E$23=3,AQ181)))</f>
        <v>3.83</v>
      </c>
      <c r="P181" s="176">
        <v>2.99</v>
      </c>
      <c r="Q181" s="176">
        <v>4.7</v>
      </c>
      <c r="R181" s="176">
        <v>2.4900000000000002</v>
      </c>
      <c r="S181" s="176">
        <v>3.83</v>
      </c>
      <c r="T181" s="176">
        <v>0</v>
      </c>
      <c r="U181" s="176">
        <v>3.29</v>
      </c>
      <c r="V181" s="176">
        <v>5.17</v>
      </c>
      <c r="W181" s="163">
        <f>ROUND(P181*(1-'Disc Dep'!$M$5),2)</f>
        <v>2.21</v>
      </c>
      <c r="X181" s="163">
        <f>ROUND(Q181*(1-'Disc Dep'!$N$5),2)</f>
        <v>3.48</v>
      </c>
      <c r="Y181" s="163">
        <f>ROUND(R181*(1-'Disc Dep'!$M$5),2)</f>
        <v>1.84</v>
      </c>
      <c r="Z181" s="163">
        <f>ROUND(S181*(1-'Disc Dep'!$N$5),2)</f>
        <v>2.83</v>
      </c>
      <c r="AA181" s="163"/>
      <c r="AB181" s="163">
        <f>ROUND(U181*(1-'Disc Dep'!$M$5),2)</f>
        <v>2.4300000000000002</v>
      </c>
      <c r="AC181" s="163">
        <f>ROUND(V181*(1-'Disc Dep'!$N$5),2)</f>
        <v>3.83</v>
      </c>
      <c r="AD181" s="147">
        <f>ROUND(W181*(1+'Adaos Distr'!$C$112),2)</f>
        <v>2.21</v>
      </c>
      <c r="AE181" s="147">
        <f>ROUND(X181*(1+'Adaos Distr'!$C$112),2)</f>
        <v>3.48</v>
      </c>
      <c r="AF181" s="147">
        <f>ROUND(Y181*(1+'Adaos Distr'!$C$112),2)</f>
        <v>1.84</v>
      </c>
      <c r="AG181" s="147">
        <f>ROUND(Z181*(1+'Adaos Distr'!$C$112),2)</f>
        <v>2.83</v>
      </c>
      <c r="AI181" s="147">
        <f>ROUND(AB181*(1+'Adaos Distr'!$C$112),2)</f>
        <v>2.4300000000000002</v>
      </c>
      <c r="AJ181" s="147">
        <f>ROUND(AC181*(1+'Adaos Distr'!$C$112),2)</f>
        <v>3.83</v>
      </c>
      <c r="AK181" s="147">
        <f>ROUND(AD181*(1+'Adaos RESELLER'!$C$112),2)</f>
        <v>2.21</v>
      </c>
      <c r="AL181" s="147">
        <f>ROUND(AE181*(1+'Adaos RESELLER'!$C$112),2)</f>
        <v>3.48</v>
      </c>
      <c r="AM181" s="147">
        <f>ROUND(AF181*(1+'Adaos RESELLER'!$C$112),2)</f>
        <v>1.84</v>
      </c>
      <c r="AN181" s="147">
        <f>ROUND(AG181*(1+'Adaos RESELLER'!$C$112),2)</f>
        <v>2.83</v>
      </c>
      <c r="AP181" s="147">
        <f>ROUND(AI181*(1+'Adaos RESELLER'!$C$112),2)</f>
        <v>2.4300000000000002</v>
      </c>
      <c r="AQ181" s="147">
        <f>ROUND(AJ181*(1+'Adaos RESELLER'!$C$112),2)</f>
        <v>3.83</v>
      </c>
    </row>
    <row r="182" spans="1:43">
      <c r="A182" s="162" t="str">
        <f>Lang!A99</f>
        <v>Palnie colectoare</v>
      </c>
      <c r="B182" s="163">
        <f>IF(Select!$E$23=1,W182,IF(Select!$E$23=2,AD182,IF(Select!$E$23=3,AK182)))</f>
        <v>16.010000000000002</v>
      </c>
      <c r="C182" s="163">
        <f>IF(Select!$E$23=1,X182,IF(Select!$E$23=2,AE182,IF(Select!$E$23=3,AL182)))</f>
        <v>16.170000000000002</v>
      </c>
      <c r="D182" s="163">
        <f>IF(Select!$E$23=1,Y182,IF(Select!$E$23=2,AF182,IF(Select!$E$23=3,AM182)))</f>
        <v>13.62</v>
      </c>
      <c r="E182" s="163">
        <f>IF(Select!$E$23=1,Z182,IF(Select!$E$23=2,AG182,IF(Select!$E$23=3,AN182)))</f>
        <v>14.16</v>
      </c>
      <c r="F182" s="163"/>
      <c r="G182" s="163">
        <f>IF(Select!$E$23=1,AB182,IF(Select!$E$23=2,AI182,IF(Select!$E$23=3,AP182)))</f>
        <v>0</v>
      </c>
      <c r="H182" s="163">
        <f>IF(Select!$E$23=1,AC182,IF(Select!$E$23=2,AJ182,IF(Select!$E$23=3,AQ182)))</f>
        <v>0</v>
      </c>
      <c r="P182" s="176">
        <v>20.010000000000002</v>
      </c>
      <c r="Q182" s="176">
        <v>20.21</v>
      </c>
      <c r="R182" s="176">
        <v>17.02</v>
      </c>
      <c r="S182" s="176">
        <v>17.7</v>
      </c>
      <c r="T182" s="176">
        <v>0</v>
      </c>
      <c r="U182" s="176">
        <v>0</v>
      </c>
      <c r="V182" s="176">
        <v>0</v>
      </c>
      <c r="W182" s="163">
        <f>ROUND(P182*(1-'Disc Dep'!$C$113),2)</f>
        <v>16.010000000000002</v>
      </c>
      <c r="X182" s="163">
        <f>ROUND(Q182*(1-'Disc Dep'!$C$113),2)</f>
        <v>16.170000000000002</v>
      </c>
      <c r="Y182" s="163">
        <f>ROUND(R182*(1-'Disc Dep'!$C$113),2)</f>
        <v>13.62</v>
      </c>
      <c r="Z182" s="163">
        <f>ROUND(S182*(1-'Disc Dep'!$C$113),2)</f>
        <v>14.16</v>
      </c>
      <c r="AA182" s="163"/>
      <c r="AB182" s="163">
        <f>ROUND(U182*(1-'Disc Dep'!$C$113),2)</f>
        <v>0</v>
      </c>
      <c r="AC182" s="163">
        <f>ROUND(V182*(1-'Disc Dep'!$C$113),2)</f>
        <v>0</v>
      </c>
      <c r="AD182" s="147">
        <f>ROUND(W182*(1+'Adaos Distr'!$C$113),2)</f>
        <v>16.010000000000002</v>
      </c>
      <c r="AE182" s="147">
        <f>ROUND(X182*(1+'Adaos Distr'!$C$113),2)</f>
        <v>16.170000000000002</v>
      </c>
      <c r="AF182" s="147">
        <f>ROUND(Y182*(1+'Adaos Distr'!$C$113),2)</f>
        <v>13.62</v>
      </c>
      <c r="AG182" s="147">
        <f>ROUND(Z182*(1+'Adaos Distr'!$C$113),2)</f>
        <v>14.16</v>
      </c>
      <c r="AI182" s="147">
        <f>ROUND(AB182*(1+'Adaos Distr'!$C$113),2)</f>
        <v>0</v>
      </c>
      <c r="AJ182" s="147">
        <f>ROUND(AC182*(1+'Adaos Distr'!$C$113),2)</f>
        <v>0</v>
      </c>
      <c r="AK182" s="147">
        <f>ROUND(AD182*(1+'Adaos RESELLER'!$C$113),2)</f>
        <v>16.010000000000002</v>
      </c>
      <c r="AL182" s="147">
        <f>ROUND(AE182*(1+'Adaos RESELLER'!$C$113),2)</f>
        <v>16.170000000000002</v>
      </c>
      <c r="AM182" s="147">
        <f>ROUND(AF182*(1+'Adaos RESELLER'!$C$113),2)</f>
        <v>13.62</v>
      </c>
      <c r="AN182" s="147">
        <f>ROUND(AG182*(1+'Adaos RESELLER'!$C$113),2)</f>
        <v>14.16</v>
      </c>
      <c r="AP182" s="147">
        <f>ROUND(AI182*(1+'Adaos RESELLER'!$C$113),2)</f>
        <v>0</v>
      </c>
      <c r="AQ182" s="147">
        <f>ROUND(AJ182*(1+'Adaos RESELLER'!$C$113),2)</f>
        <v>0</v>
      </c>
    </row>
    <row r="183" spans="1:43" ht="15" thickBot="1">
      <c r="D183" s="147" t="s">
        <v>50</v>
      </c>
    </row>
    <row r="184" spans="1:43" ht="17.399999999999999" thickBot="1">
      <c r="A184" s="418" t="str">
        <f>Lang!A420</f>
        <v>Membrana anticondens WETTERBEST 115 gr/mp - 75mp</v>
      </c>
      <c r="B184" s="893"/>
      <c r="C184" s="893"/>
      <c r="D184" s="147">
        <f>IF(Select!$E$23=1,G184,IF(Select!$E$23=2,H184,IF(Select!$E$23=3,I184)))</f>
        <v>30.07</v>
      </c>
      <c r="F184" s="166">
        <v>37.590000000000003</v>
      </c>
      <c r="G184" s="147">
        <f>ROUND(F184*(1-'Disc Dep'!$C$113),2)</f>
        <v>30.07</v>
      </c>
      <c r="H184" s="147">
        <f>ROUND(G184*(1+'Adaos Distr'!$C$113),2)</f>
        <v>30.07</v>
      </c>
      <c r="I184" s="147">
        <f>ROUND(H184*(1+'Adaos RESELLER'!$C$113),2)</f>
        <v>30.07</v>
      </c>
      <c r="P184" s="238">
        <f>ROUND(P159*1.03,2)</f>
        <v>1.99</v>
      </c>
      <c r="Q184" s="238">
        <f t="shared" ref="Q184:V184" si="25">ROUND(Q159*1.03,2)</f>
        <v>2.12</v>
      </c>
      <c r="R184" s="238">
        <f t="shared" si="25"/>
        <v>0</v>
      </c>
      <c r="S184" s="238">
        <f t="shared" si="25"/>
        <v>0</v>
      </c>
      <c r="T184" s="238">
        <f t="shared" si="25"/>
        <v>0</v>
      </c>
      <c r="U184" s="238">
        <f t="shared" si="25"/>
        <v>2.1800000000000002</v>
      </c>
      <c r="V184" s="238">
        <f t="shared" si="25"/>
        <v>2.36</v>
      </c>
    </row>
    <row r="185" spans="1:43" ht="17.399999999999999" thickBot="1">
      <c r="A185" s="418" t="str">
        <f>Lang!A421</f>
        <v>Membrana anticondens WETTERBEST 135 gr/mp - 75mp</v>
      </c>
      <c r="B185" s="893"/>
      <c r="C185" s="893"/>
      <c r="D185" s="147">
        <f>IF(Select!$E$23=1,G185,IF(Select!$E$23=2,H185,IF(Select!$E$23=3,I185)))</f>
        <v>36.4</v>
      </c>
      <c r="F185" s="242">
        <v>45.5</v>
      </c>
      <c r="G185" s="147">
        <f>ROUND(F185*(1-'Disc Dep'!$C$113),2)</f>
        <v>36.4</v>
      </c>
      <c r="H185" s="147">
        <f>ROUND(G185*(1+'Adaos Distr'!$C$113),2)</f>
        <v>36.4</v>
      </c>
      <c r="I185" s="147">
        <f>ROUND(H185*(1+'Adaos RESELLER'!$C$113),2)</f>
        <v>36.4</v>
      </c>
      <c r="P185" s="238">
        <f t="shared" ref="P185:V185" si="26">ROUND(P160*1.03,2)</f>
        <v>2.17</v>
      </c>
      <c r="Q185" s="238">
        <f t="shared" si="26"/>
        <v>2.36</v>
      </c>
      <c r="R185" s="238">
        <f t="shared" si="26"/>
        <v>0</v>
      </c>
      <c r="S185" s="238">
        <f t="shared" si="26"/>
        <v>0</v>
      </c>
      <c r="T185" s="238">
        <f t="shared" si="26"/>
        <v>0</v>
      </c>
      <c r="U185" s="238">
        <f t="shared" si="26"/>
        <v>2.39</v>
      </c>
      <c r="V185" s="238">
        <f t="shared" si="26"/>
        <v>2.59</v>
      </c>
    </row>
    <row r="186" spans="1:43" ht="17.399999999999999" thickBot="1">
      <c r="A186" s="418" t="str">
        <f>Lang!A422</f>
        <v>Membrana anticondens WETTERBEST 150 gr/mp - 75mp</v>
      </c>
      <c r="B186" s="893"/>
      <c r="C186" s="893"/>
      <c r="D186" s="147">
        <f>IF(Select!$E$23=1,G186,IF(Select!$E$23=2,H186,IF(Select!$E$23=3,I186)))</f>
        <v>38.89</v>
      </c>
      <c r="F186" s="242">
        <v>48.61</v>
      </c>
      <c r="G186" s="147">
        <f>ROUND(F186*(1-'Disc Dep'!$C$113),2)</f>
        <v>38.89</v>
      </c>
      <c r="H186" s="147">
        <f>ROUND(G186*(1+'Adaos Distr'!$C$113),2)</f>
        <v>38.89</v>
      </c>
      <c r="I186" s="147">
        <f>ROUND(H186*(1+'Adaos RESELLER'!$C$113),2)</f>
        <v>38.89</v>
      </c>
      <c r="P186" s="238">
        <f t="shared" ref="P186:V186" si="27">ROUND(P161*1.03,2)</f>
        <v>0</v>
      </c>
      <c r="Q186" s="238">
        <f t="shared" si="27"/>
        <v>0</v>
      </c>
      <c r="R186" s="238">
        <f t="shared" si="27"/>
        <v>1.83</v>
      </c>
      <c r="S186" s="238">
        <f t="shared" si="27"/>
        <v>1.96</v>
      </c>
      <c r="T186" s="238">
        <f t="shared" si="27"/>
        <v>0</v>
      </c>
      <c r="U186" s="238">
        <f t="shared" si="27"/>
        <v>0</v>
      </c>
      <c r="V186" s="238">
        <f t="shared" si="27"/>
        <v>0</v>
      </c>
    </row>
    <row r="187" spans="1:43" ht="17.399999999999999" thickBot="1">
      <c r="A187" s="418" t="str">
        <f>Lang!A423</f>
        <v>Membrana anticondens WETTERBEST 180 gr/mp - 75mp</v>
      </c>
      <c r="B187" s="893"/>
      <c r="C187" s="893"/>
      <c r="D187" s="147">
        <f>IF(Select!$E$23=1,G187,IF(Select!$E$23=2,H187,IF(Select!$E$23=3,I187)))</f>
        <v>45.24</v>
      </c>
      <c r="F187" s="242">
        <v>56.55</v>
      </c>
      <c r="G187" s="147">
        <f>ROUND(F187*(1-'Disc Dep'!$C$113),2)</f>
        <v>45.24</v>
      </c>
      <c r="H187" s="147">
        <f>ROUND(G187*(1+'Adaos Distr'!$C$113),2)</f>
        <v>45.24</v>
      </c>
      <c r="I187" s="147">
        <f>ROUND(H187*(1+'Adaos RESELLER'!$C$113),2)</f>
        <v>45.24</v>
      </c>
      <c r="P187" s="238">
        <f t="shared" ref="P187:V187" si="28">ROUND(P162*1.03,2)</f>
        <v>0</v>
      </c>
      <c r="Q187" s="238">
        <f t="shared" si="28"/>
        <v>0</v>
      </c>
      <c r="R187" s="238">
        <f t="shared" si="28"/>
        <v>1.93</v>
      </c>
      <c r="S187" s="238">
        <f t="shared" si="28"/>
        <v>2.0499999999999998</v>
      </c>
      <c r="T187" s="238">
        <f t="shared" si="28"/>
        <v>0</v>
      </c>
      <c r="U187" s="238">
        <f t="shared" si="28"/>
        <v>0</v>
      </c>
      <c r="V187" s="238">
        <f t="shared" si="28"/>
        <v>0</v>
      </c>
    </row>
    <row r="188" spans="1:43" ht="17.399999999999999" thickBot="1">
      <c r="A188" s="418" t="str">
        <f>Lang!A424</f>
        <v>Membrana Acofort 100 gr/mp - 75 mp</v>
      </c>
      <c r="B188" s="893"/>
      <c r="C188" s="893"/>
      <c r="D188" s="147">
        <f>IF(Select!$E$23=1,G188,IF(Select!$E$23=2,H188,IF(Select!$E$23=3,I188)))</f>
        <v>24.81</v>
      </c>
      <c r="F188" s="242">
        <v>31.01</v>
      </c>
      <c r="G188" s="147">
        <f>ROUND(F188*(1-'Disc Dep'!$C$113),2)</f>
        <v>24.81</v>
      </c>
      <c r="H188" s="147">
        <f>ROUND(G188*(1+'Adaos Distr'!$C$113),2)</f>
        <v>24.81</v>
      </c>
      <c r="I188" s="147">
        <f>ROUND(H188*(1+'Adaos RESELLER'!$C$113),2)</f>
        <v>24.81</v>
      </c>
      <c r="P188" s="238">
        <f t="shared" ref="P188:V188" si="29">ROUND(P163*1.03,2)</f>
        <v>1.72</v>
      </c>
      <c r="Q188" s="238">
        <f t="shared" si="29"/>
        <v>0</v>
      </c>
      <c r="R188" s="238">
        <f t="shared" si="29"/>
        <v>0</v>
      </c>
      <c r="S188" s="238">
        <f t="shared" si="29"/>
        <v>0</v>
      </c>
      <c r="T188" s="238">
        <f t="shared" si="29"/>
        <v>0</v>
      </c>
      <c r="U188" s="238">
        <f t="shared" si="29"/>
        <v>1.88</v>
      </c>
      <c r="V188" s="238">
        <f t="shared" si="29"/>
        <v>0</v>
      </c>
    </row>
    <row r="189" spans="1:43" ht="17.399999999999999" thickBot="1">
      <c r="A189" s="418" t="str">
        <f>Lang!A425</f>
        <v>Membrana Acofort 115 gr/mp - 75 mp</v>
      </c>
      <c r="B189" s="893"/>
      <c r="C189" s="893"/>
      <c r="D189" s="147">
        <f>IF(Select!$E$23=1,G189,IF(Select!$E$23=2,H189,IF(Select!$E$23=3,I189)))</f>
        <v>30.07</v>
      </c>
      <c r="F189" s="242">
        <v>37.590000000000003</v>
      </c>
      <c r="G189" s="147">
        <f>ROUND(F189*(1-'Disc Dep'!$C$113),2)</f>
        <v>30.07</v>
      </c>
      <c r="H189" s="147">
        <f>ROUND(G189*(1+'Adaos Distr'!$C$113),2)</f>
        <v>30.07</v>
      </c>
      <c r="I189" s="147">
        <f>ROUND(H189*(1+'Adaos RESELLER'!$C$113),2)</f>
        <v>30.07</v>
      </c>
      <c r="P189" s="238">
        <f t="shared" ref="P189:V189" si="30">ROUND(P164*1.03,2)</f>
        <v>0</v>
      </c>
      <c r="Q189" s="238">
        <f t="shared" si="30"/>
        <v>0</v>
      </c>
      <c r="R189" s="238">
        <f t="shared" si="30"/>
        <v>1.62</v>
      </c>
      <c r="S189" s="238">
        <f t="shared" si="30"/>
        <v>0</v>
      </c>
      <c r="T189" s="238">
        <f t="shared" si="30"/>
        <v>0</v>
      </c>
      <c r="U189" s="238">
        <f t="shared" si="30"/>
        <v>0</v>
      </c>
      <c r="V189" s="238">
        <f t="shared" si="30"/>
        <v>0</v>
      </c>
    </row>
    <row r="190" spans="1:43" ht="17.399999999999999" thickBot="1">
      <c r="A190" s="418" t="str">
        <f>Lang!A426</f>
        <v>Membrana Acofort 135 gr/mp - 75 mp</v>
      </c>
      <c r="B190" s="893"/>
      <c r="C190" s="893"/>
      <c r="D190" s="147">
        <f>IF(Select!$E$23=1,G190,IF(Select!$E$23=2,H190,IF(Select!$E$23=3,I190)))</f>
        <v>36.4</v>
      </c>
      <c r="F190" s="242">
        <v>45.5</v>
      </c>
      <c r="G190" s="147">
        <f>ROUND(F190*(1-'Disc Dep'!$C$113),2)</f>
        <v>36.4</v>
      </c>
      <c r="H190" s="147">
        <f>ROUND(G190*(1+'Adaos Distr'!$C$113),2)</f>
        <v>36.4</v>
      </c>
      <c r="I190" s="147">
        <f>ROUND(H190*(1+'Adaos RESELLER'!$C$113),2)</f>
        <v>36.4</v>
      </c>
      <c r="P190" s="238">
        <f t="shared" ref="P190:V190" si="31">ROUND(P165*1.03,2)</f>
        <v>1.61</v>
      </c>
      <c r="Q190" s="238">
        <f t="shared" si="31"/>
        <v>2.62</v>
      </c>
      <c r="R190" s="238">
        <f t="shared" si="31"/>
        <v>0</v>
      </c>
      <c r="S190" s="238">
        <f t="shared" si="31"/>
        <v>0</v>
      </c>
      <c r="T190" s="238">
        <f t="shared" si="31"/>
        <v>0</v>
      </c>
      <c r="U190" s="238">
        <f t="shared" si="31"/>
        <v>1.77</v>
      </c>
      <c r="V190" s="238">
        <f t="shared" si="31"/>
        <v>2.88</v>
      </c>
    </row>
    <row r="191" spans="1:43" ht="17.399999999999999" thickBot="1">
      <c r="A191" s="418" t="str">
        <f>Lang!A427</f>
        <v>Membrana  anticondens ACOVENT 90 gr/mp - 80 mp</v>
      </c>
      <c r="B191" s="893"/>
      <c r="C191" s="893"/>
      <c r="D191" s="147">
        <f>IF(Select!$E$23=1,G191,IF(Select!$E$23=2,H191,IF(Select!$E$23=3,I191)))</f>
        <v>33.25</v>
      </c>
      <c r="F191" s="242">
        <v>41.56</v>
      </c>
      <c r="G191" s="147">
        <f>ROUND(F191*(1-'Disc Dep'!$C$113),2)</f>
        <v>33.25</v>
      </c>
      <c r="H191" s="147">
        <f>ROUND(G191*(1+'Adaos Distr'!$C$113),2)</f>
        <v>33.25</v>
      </c>
      <c r="I191" s="147">
        <f>ROUND(H191*(1+'Adaos RESELLER'!$C$113),2)</f>
        <v>33.25</v>
      </c>
      <c r="P191" s="238">
        <f t="shared" ref="P191:V191" si="32">ROUND(P166*1.03,2)</f>
        <v>0</v>
      </c>
      <c r="Q191" s="238">
        <f t="shared" si="32"/>
        <v>0</v>
      </c>
      <c r="R191" s="238">
        <f t="shared" si="32"/>
        <v>1.62</v>
      </c>
      <c r="S191" s="238">
        <f t="shared" si="32"/>
        <v>2.25</v>
      </c>
      <c r="T191" s="238">
        <f t="shared" si="32"/>
        <v>0</v>
      </c>
      <c r="U191" s="238">
        <f t="shared" si="32"/>
        <v>0</v>
      </c>
      <c r="V191" s="238">
        <f t="shared" si="32"/>
        <v>0</v>
      </c>
    </row>
    <row r="192" spans="1:43" ht="17.399999999999999" thickBot="1">
      <c r="A192" s="418" t="str">
        <f>Lang!A428</f>
        <v>Membrana anticondens DACHOVA 115 gr/mp - 80mp</v>
      </c>
      <c r="B192" s="893"/>
      <c r="C192" s="893"/>
      <c r="D192" s="147">
        <f>IF(Select!$E$23=1,G192,IF(Select!$E$23=2,H192,IF(Select!$E$23=3,I192)))</f>
        <v>36.82</v>
      </c>
      <c r="F192" s="242">
        <v>46.03</v>
      </c>
      <c r="G192" s="147">
        <f>ROUND(F192*(1-'Disc Dep'!$C$113),2)</f>
        <v>36.82</v>
      </c>
      <c r="H192" s="147">
        <f>ROUND(G192*(1+'Adaos Distr'!$C$113),2)</f>
        <v>36.82</v>
      </c>
      <c r="I192" s="147">
        <f>ROUND(H192*(1+'Adaos RESELLER'!$C$113),2)</f>
        <v>36.82</v>
      </c>
      <c r="M192" s="167"/>
      <c r="P192" s="238">
        <f t="shared" ref="P192:V192" si="33">ROUND(P167*1.03,2)</f>
        <v>11.69</v>
      </c>
      <c r="Q192" s="238">
        <f t="shared" si="33"/>
        <v>15.5</v>
      </c>
      <c r="R192" s="238">
        <f t="shared" si="33"/>
        <v>9.74</v>
      </c>
      <c r="S192" s="238">
        <f t="shared" si="33"/>
        <v>13.04</v>
      </c>
      <c r="T192" s="238">
        <f t="shared" si="33"/>
        <v>0</v>
      </c>
      <c r="U192" s="238">
        <f t="shared" si="33"/>
        <v>13.2</v>
      </c>
      <c r="V192" s="238">
        <f t="shared" si="33"/>
        <v>17.43</v>
      </c>
    </row>
    <row r="193" spans="1:22" ht="17.399999999999999" thickBot="1">
      <c r="A193" s="418" t="str">
        <f>Lang!A429</f>
        <v>Membrana anticondens ACOVENT 135 gr/mp 80 mp</v>
      </c>
      <c r="B193" s="893"/>
      <c r="C193" s="893"/>
      <c r="D193" s="147">
        <f>IF(Select!$E$23=1,G193,IF(Select!$E$23=2,H193,IF(Select!$E$23=3,I193)))</f>
        <v>47.6</v>
      </c>
      <c r="F193" s="242">
        <v>59.5</v>
      </c>
      <c r="G193" s="147">
        <f>ROUND(F193*(1-'Disc Dep'!$C$113),2)</f>
        <v>47.6</v>
      </c>
      <c r="H193" s="147">
        <f>ROUND(G193*(1+'Adaos Distr'!$C$113),2)</f>
        <v>47.6</v>
      </c>
      <c r="I193" s="147">
        <f>ROUND(H193*(1+'Adaos RESELLER'!$C$113),2)</f>
        <v>47.6</v>
      </c>
      <c r="P193" s="238">
        <f t="shared" ref="P193:V193" si="34">ROUND(P168*1.03,2)</f>
        <v>5.85</v>
      </c>
      <c r="Q193" s="238">
        <f t="shared" si="34"/>
        <v>7.75</v>
      </c>
      <c r="R193" s="238">
        <f t="shared" si="34"/>
        <v>4.87</v>
      </c>
      <c r="S193" s="238">
        <f t="shared" si="34"/>
        <v>6.51</v>
      </c>
      <c r="T193" s="238">
        <f t="shared" si="34"/>
        <v>0</v>
      </c>
      <c r="U193" s="238">
        <f t="shared" si="34"/>
        <v>6.6</v>
      </c>
      <c r="V193" s="238">
        <f t="shared" si="34"/>
        <v>8.7100000000000009</v>
      </c>
    </row>
    <row r="194" spans="1:22" ht="17.399999999999999" thickBot="1">
      <c r="A194" s="418" t="str">
        <f>Lang!A430</f>
        <v>Membrana anticondens DACHOVA 150 gr/mp 80 mp</v>
      </c>
      <c r="B194" s="893"/>
      <c r="C194" s="893"/>
      <c r="D194" s="147">
        <f>IF(Select!$E$23=1,G194,IF(Select!$E$23=2,H194,IF(Select!$E$23=3,I194)))</f>
        <v>51.17</v>
      </c>
      <c r="F194" s="242">
        <v>63.96</v>
      </c>
      <c r="G194" s="147">
        <f>ROUND(F194*(1-'Disc Dep'!$C$113),2)</f>
        <v>51.17</v>
      </c>
      <c r="H194" s="147">
        <f>ROUND(G194*(1+'Adaos Distr'!$C$113),2)</f>
        <v>51.17</v>
      </c>
      <c r="I194" s="147">
        <f>ROUND(H194*(1+'Adaos RESELLER'!$C$113),2)</f>
        <v>51.17</v>
      </c>
      <c r="P194" s="238">
        <f t="shared" ref="P194:V194" si="35">ROUND(P169*1.03,2)</f>
        <v>8.77</v>
      </c>
      <c r="Q194" s="238">
        <f t="shared" si="35"/>
        <v>11.62</v>
      </c>
      <c r="R194" s="238">
        <f t="shared" si="35"/>
        <v>7.3</v>
      </c>
      <c r="S194" s="238">
        <f t="shared" si="35"/>
        <v>9.77</v>
      </c>
      <c r="T194" s="238">
        <f t="shared" si="35"/>
        <v>0</v>
      </c>
      <c r="U194" s="238">
        <f t="shared" si="35"/>
        <v>9.9</v>
      </c>
      <c r="V194" s="238">
        <f t="shared" si="35"/>
        <v>13.06</v>
      </c>
    </row>
    <row r="195" spans="1:22" ht="17.399999999999999" thickBot="1">
      <c r="A195" s="418" t="str">
        <f>Lang!A431</f>
        <v>Membrana anticondens EKRAN 185 gr/mp 80mp</v>
      </c>
      <c r="B195" s="893"/>
      <c r="C195" s="893"/>
      <c r="D195" s="147">
        <f>IF(Select!$E$23=1,G195,IF(Select!$E$23=2,H195,IF(Select!$E$23=3,I195)))</f>
        <v>75.739999999999995</v>
      </c>
      <c r="F195" s="242">
        <v>94.68</v>
      </c>
      <c r="G195" s="147">
        <f>ROUND(F195*(1-'Disc Dep'!$C$113),2)</f>
        <v>75.739999999999995</v>
      </c>
      <c r="H195" s="147">
        <f>ROUND(G195*(1+'Adaos Distr'!$C$113),2)</f>
        <v>75.739999999999995</v>
      </c>
      <c r="I195" s="147">
        <f>ROUND(H195*(1+'Adaos RESELLER'!$C$113),2)</f>
        <v>75.739999999999995</v>
      </c>
      <c r="P195" s="238">
        <f t="shared" ref="P195:V195" si="36">ROUND(P170*1.03,2)</f>
        <v>10.3</v>
      </c>
      <c r="Q195" s="238">
        <f t="shared" si="36"/>
        <v>14.41</v>
      </c>
      <c r="R195" s="238">
        <f t="shared" si="36"/>
        <v>11.75</v>
      </c>
      <c r="S195" s="238">
        <f t="shared" si="36"/>
        <v>11.75</v>
      </c>
      <c r="T195" s="238">
        <f t="shared" si="36"/>
        <v>0</v>
      </c>
      <c r="U195" s="238">
        <f t="shared" si="36"/>
        <v>13.03</v>
      </c>
      <c r="V195" s="238">
        <f t="shared" si="36"/>
        <v>15.85</v>
      </c>
    </row>
    <row r="196" spans="1:22" ht="17.399999999999999" thickBot="1">
      <c r="A196" s="418" t="str">
        <f>Lang!A432</f>
        <v>Membrana METALLIC pentru tabla faltuita 450 gr/mp 1,5 X 25-37.5mp .</v>
      </c>
      <c r="B196" s="893"/>
      <c r="C196" s="893"/>
      <c r="D196" s="147">
        <f>IF(Select!$E$23=1,G196,IF(Select!$E$23=2,H196,IF(Select!$E$23=3,I196)))</f>
        <v>129.5</v>
      </c>
      <c r="F196" s="242">
        <v>161.88</v>
      </c>
      <c r="G196" s="147">
        <f>ROUND(F196*(1-'Disc Dep'!$C$113),2)</f>
        <v>129.5</v>
      </c>
      <c r="H196" s="147">
        <f>ROUND(G196*(1+'Adaos Distr'!$C$113),2)</f>
        <v>129.5</v>
      </c>
      <c r="I196" s="147">
        <f>ROUND(H196*(1+'Adaos RESELLER'!$C$113),2)</f>
        <v>129.5</v>
      </c>
      <c r="P196" s="238">
        <f t="shared" ref="P196:V196" si="37">ROUND(P171*1.03,2)</f>
        <v>10.3</v>
      </c>
      <c r="Q196" s="238">
        <f t="shared" si="37"/>
        <v>14.41</v>
      </c>
      <c r="R196" s="238">
        <f t="shared" si="37"/>
        <v>11.75</v>
      </c>
      <c r="S196" s="238">
        <f t="shared" si="37"/>
        <v>11.75</v>
      </c>
      <c r="T196" s="238">
        <f t="shared" si="37"/>
        <v>0</v>
      </c>
      <c r="U196" s="238">
        <f t="shared" si="37"/>
        <v>13.03</v>
      </c>
      <c r="V196" s="238">
        <f t="shared" si="37"/>
        <v>15.85</v>
      </c>
    </row>
    <row r="197" spans="1:22" ht="17.399999999999999" thickBot="1">
      <c r="A197" s="418" t="str">
        <f>Lang!A433</f>
        <v>Aluband 100 - 10000 mm</v>
      </c>
      <c r="B197" s="893"/>
      <c r="C197" s="893"/>
      <c r="D197" s="147">
        <f>IF(Select!$E$23=1,G197,IF(Select!$E$23=2,H197,IF(Select!$E$23=3,I197)))</f>
        <v>7.62</v>
      </c>
      <c r="F197" s="242">
        <v>9.5299999999999994</v>
      </c>
      <c r="G197" s="147">
        <f>ROUND(F197*(1-'Disc Dep'!$C$113),2)</f>
        <v>7.62</v>
      </c>
      <c r="H197" s="147">
        <f>ROUND(G197*(1+'Adaos Distr'!$C$113),2)</f>
        <v>7.62</v>
      </c>
      <c r="I197" s="147">
        <f>ROUND(H197*(1+'Adaos RESELLER'!$C$113),2)</f>
        <v>7.62</v>
      </c>
      <c r="P197" s="238">
        <f t="shared" ref="P197:V197" si="38">ROUND(P172*1.03,2)</f>
        <v>1.81</v>
      </c>
      <c r="Q197" s="238">
        <f t="shared" si="38"/>
        <v>2.21</v>
      </c>
      <c r="R197" s="238">
        <f t="shared" si="38"/>
        <v>1.56</v>
      </c>
      <c r="S197" s="238">
        <f t="shared" si="38"/>
        <v>1.8</v>
      </c>
      <c r="T197" s="238">
        <f t="shared" si="38"/>
        <v>0</v>
      </c>
      <c r="U197" s="238">
        <f t="shared" si="38"/>
        <v>2</v>
      </c>
      <c r="V197" s="238">
        <f t="shared" si="38"/>
        <v>2.5</v>
      </c>
    </row>
    <row r="198" spans="1:22" ht="17.399999999999999" thickBot="1">
      <c r="A198" s="418" t="str">
        <f>Lang!A434</f>
        <v>Aluband 150 - 10000 mm</v>
      </c>
      <c r="B198" s="893"/>
      <c r="C198" s="893"/>
      <c r="D198" s="147">
        <f>IF(Select!$E$23=1,G198,IF(Select!$E$23=2,H198,IF(Select!$E$23=3,I198)))</f>
        <v>9.75</v>
      </c>
      <c r="F198" s="242">
        <v>12.19</v>
      </c>
      <c r="G198" s="147">
        <f>ROUND(F198*(1-'Disc Dep'!$C$113),2)</f>
        <v>9.75</v>
      </c>
      <c r="H198" s="147">
        <f>ROUND(G198*(1+'Adaos Distr'!$C$113),2)</f>
        <v>9.75</v>
      </c>
      <c r="I198" s="147">
        <f>ROUND(H198*(1+'Adaos RESELLER'!$C$113),2)</f>
        <v>9.75</v>
      </c>
      <c r="P198" s="238">
        <f t="shared" ref="P198:V198" si="39">ROUND(P173*1.03,2)</f>
        <v>1.1299999999999999</v>
      </c>
      <c r="Q198" s="238">
        <f t="shared" si="39"/>
        <v>1.46</v>
      </c>
      <c r="R198" s="238">
        <f t="shared" si="39"/>
        <v>1.01</v>
      </c>
      <c r="S198" s="238">
        <f t="shared" si="39"/>
        <v>1.35</v>
      </c>
      <c r="T198" s="238">
        <f t="shared" si="39"/>
        <v>0</v>
      </c>
      <c r="U198" s="238">
        <f t="shared" si="39"/>
        <v>1.26</v>
      </c>
      <c r="V198" s="238">
        <f t="shared" si="39"/>
        <v>1.65</v>
      </c>
    </row>
    <row r="199" spans="1:22" ht="17.399999999999999" thickBot="1">
      <c r="A199" s="418" t="str">
        <f>Lang!A435</f>
        <v>Aluband 300 - 10000 mm</v>
      </c>
      <c r="B199" s="893"/>
      <c r="C199" s="893"/>
      <c r="D199" s="147">
        <f>IF(Select!$E$23=1,G199,IF(Select!$E$23=2,H199,IF(Select!$E$23=3,I199)))</f>
        <v>24.51</v>
      </c>
      <c r="F199" s="242">
        <v>30.64</v>
      </c>
      <c r="G199" s="147">
        <f>ROUND(F199*(1-'Disc Dep'!$C$113),2)</f>
        <v>24.51</v>
      </c>
      <c r="H199" s="147">
        <f>ROUND(G199*(1+'Adaos Distr'!$C$113),2)</f>
        <v>24.51</v>
      </c>
      <c r="I199" s="147">
        <f>ROUND(H199*(1+'Adaos RESELLER'!$C$113),2)</f>
        <v>24.51</v>
      </c>
      <c r="P199" s="238">
        <f t="shared" ref="P199:V199" si="40">ROUND(P174*1.03,2)</f>
        <v>0.88</v>
      </c>
      <c r="Q199" s="238">
        <f t="shared" si="40"/>
        <v>0.88</v>
      </c>
      <c r="R199" s="238">
        <f t="shared" si="40"/>
        <v>0.73</v>
      </c>
      <c r="S199" s="238">
        <f t="shared" si="40"/>
        <v>0.73</v>
      </c>
      <c r="T199" s="238">
        <f t="shared" si="40"/>
        <v>0</v>
      </c>
      <c r="U199" s="238">
        <f t="shared" si="40"/>
        <v>0</v>
      </c>
      <c r="V199" s="238">
        <f t="shared" si="40"/>
        <v>0</v>
      </c>
    </row>
    <row r="200" spans="1:22" ht="17.399999999999999" thickBot="1">
      <c r="A200" s="418" t="str">
        <f>Lang!A436</f>
        <v>Rola autoadeziva de protectie sub coame IZOVENT - 0,31 x 5m</v>
      </c>
      <c r="B200" s="893"/>
      <c r="C200" s="893"/>
      <c r="D200" s="147">
        <f>IF(Select!$E$23=1,G200,IF(Select!$E$23=2,H200,IF(Select!$E$23=3,I200)))</f>
        <v>5.75</v>
      </c>
      <c r="F200" s="242">
        <v>7.19</v>
      </c>
      <c r="G200" s="147">
        <f>ROUND(F200*(1-'Disc Dep'!$C$113),2)</f>
        <v>5.75</v>
      </c>
      <c r="H200" s="147">
        <f>ROUND(G200*(1+'Adaos Distr'!$C$113),2)</f>
        <v>5.75</v>
      </c>
      <c r="I200" s="147">
        <f>ROUND(H200*(1+'Adaos RESELLER'!$C$113),2)</f>
        <v>5.75</v>
      </c>
      <c r="P200" s="238">
        <f t="shared" ref="P200:V200" si="41">ROUND(P175*1.03,2)</f>
        <v>3.08</v>
      </c>
      <c r="Q200" s="238">
        <f t="shared" si="41"/>
        <v>4.74</v>
      </c>
      <c r="R200" s="238">
        <f t="shared" si="41"/>
        <v>2.56</v>
      </c>
      <c r="S200" s="238">
        <f t="shared" si="41"/>
        <v>3.94</v>
      </c>
      <c r="T200" s="238">
        <f t="shared" si="41"/>
        <v>0</v>
      </c>
      <c r="U200" s="238">
        <f t="shared" si="41"/>
        <v>3.39</v>
      </c>
      <c r="V200" s="238">
        <f t="shared" si="41"/>
        <v>5.33</v>
      </c>
    </row>
    <row r="201" spans="1:22" ht="17.399999999999999" thickBot="1">
      <c r="A201" s="418" t="str">
        <f>Lang!A437</f>
        <v>Rola autoadeziva de protectie sub coame IZOVENT - 0,24 x 5m</v>
      </c>
      <c r="B201" s="893"/>
      <c r="C201" s="893"/>
      <c r="D201" s="147">
        <f>IF(Select!$E$23=1,G201,IF(Select!$E$23=2,H201,IF(Select!$E$23=3,I201)))</f>
        <v>4.55</v>
      </c>
      <c r="F201" s="242">
        <v>5.69</v>
      </c>
      <c r="G201" s="147">
        <f>ROUND(F201*(1-'Disc Dep'!$C$113),2)</f>
        <v>4.55</v>
      </c>
      <c r="H201" s="147">
        <f>ROUND(G201*(1+'Adaos Distr'!$C$113),2)</f>
        <v>4.55</v>
      </c>
      <c r="I201" s="147">
        <f>ROUND(H201*(1+'Adaos RESELLER'!$C$113),2)</f>
        <v>4.55</v>
      </c>
      <c r="P201" s="238">
        <f t="shared" ref="P201:V201" si="42">ROUND(P176*1.03,2)</f>
        <v>3.08</v>
      </c>
      <c r="Q201" s="238">
        <f t="shared" si="42"/>
        <v>4.74</v>
      </c>
      <c r="R201" s="238">
        <f t="shared" si="42"/>
        <v>2.56</v>
      </c>
      <c r="S201" s="238">
        <f t="shared" si="42"/>
        <v>3.94</v>
      </c>
      <c r="T201" s="238">
        <f t="shared" si="42"/>
        <v>0</v>
      </c>
      <c r="U201" s="238">
        <f t="shared" si="42"/>
        <v>3.39</v>
      </c>
      <c r="V201" s="238">
        <f t="shared" si="42"/>
        <v>5.33</v>
      </c>
    </row>
    <row r="202" spans="1:22" ht="17.399999999999999" thickBot="1">
      <c r="A202" s="418" t="str">
        <f>Lang!A438</f>
        <v>Rola adeziva IZOBUTYL (pentru   CLICK )- 15mm x 60m</v>
      </c>
      <c r="B202" s="893"/>
      <c r="C202" s="893"/>
      <c r="D202" s="147">
        <f>IF(Select!$E$23=1,G202,IF(Select!$E$23=2,H202,IF(Select!$E$23=3,I202)))</f>
        <v>11.56</v>
      </c>
      <c r="F202" s="242">
        <v>14.45</v>
      </c>
      <c r="G202" s="147">
        <f>ROUND(F202*(1-'Disc Dep'!$C$113),2)</f>
        <v>11.56</v>
      </c>
      <c r="H202" s="147">
        <f>ROUND(G202*(1+'Adaos Distr'!$C$113),2)</f>
        <v>11.56</v>
      </c>
      <c r="I202" s="147">
        <f>ROUND(H202*(1+'Adaos RESELLER'!$C$113),2)</f>
        <v>11.56</v>
      </c>
      <c r="P202" s="238">
        <f t="shared" ref="P202:V202" si="43">ROUND(P177*1.03,2)</f>
        <v>3.63</v>
      </c>
      <c r="Q202" s="238">
        <f t="shared" si="43"/>
        <v>4.71</v>
      </c>
      <c r="R202" s="238">
        <f t="shared" si="43"/>
        <v>3</v>
      </c>
      <c r="S202" s="238">
        <f t="shared" si="43"/>
        <v>3.85</v>
      </c>
      <c r="T202" s="238">
        <f t="shared" si="43"/>
        <v>0</v>
      </c>
      <c r="U202" s="238">
        <f t="shared" si="43"/>
        <v>4.05</v>
      </c>
      <c r="V202" s="238">
        <f t="shared" si="43"/>
        <v>5.35</v>
      </c>
    </row>
    <row r="203" spans="1:22" ht="17.399999999999999" thickBot="1">
      <c r="A203" s="418" t="str">
        <f>Lang!A439</f>
        <v>BANDA EXPANDABILA IZOLANT 30X8/4.3 m</v>
      </c>
      <c r="B203" s="893"/>
      <c r="C203" s="893"/>
      <c r="D203" s="147">
        <f>IF(Select!$E$23=1,G203,IF(Select!$E$23=2,H203,IF(Select!$E$23=3,I203)))</f>
        <v>10.82</v>
      </c>
      <c r="F203" s="242">
        <v>13.52</v>
      </c>
      <c r="G203" s="147">
        <f>ROUND(F203*(1-'Disc Dep'!$C$113),2)</f>
        <v>10.82</v>
      </c>
      <c r="H203" s="147">
        <f>ROUND(G203*(1+'Adaos Distr'!$C$113),2)</f>
        <v>10.82</v>
      </c>
      <c r="I203" s="147">
        <f>ROUND(H203*(1+'Adaos RESELLER'!$C$113),2)</f>
        <v>10.82</v>
      </c>
      <c r="P203" s="238">
        <f t="shared" ref="P203:V203" si="44">ROUND(P178*1.03,2)</f>
        <v>10.8</v>
      </c>
      <c r="Q203" s="238">
        <f t="shared" si="44"/>
        <v>14.26</v>
      </c>
      <c r="R203" s="238">
        <f t="shared" si="44"/>
        <v>9</v>
      </c>
      <c r="S203" s="238">
        <f t="shared" si="44"/>
        <v>11.58</v>
      </c>
      <c r="T203" s="238">
        <f t="shared" si="44"/>
        <v>0</v>
      </c>
      <c r="U203" s="238">
        <f t="shared" si="44"/>
        <v>12.16</v>
      </c>
      <c r="V203" s="238">
        <f t="shared" si="44"/>
        <v>16.05</v>
      </c>
    </row>
    <row r="204" spans="1:22" ht="17.399999999999999" thickBot="1">
      <c r="A204" s="418" t="str">
        <f>Lang!A440</f>
        <v>Banda etansare Wtb Imperator ( coama ), lungime 1100 mm</v>
      </c>
      <c r="B204" s="893"/>
      <c r="C204" s="893"/>
      <c r="D204" s="147">
        <f>IF(Select!$E$23=1,G204,IF(Select!$E$23=2,H204,IF(Select!$E$23=3,I204)))</f>
        <v>0.88</v>
      </c>
      <c r="F204" s="242">
        <v>1.1000000000000001</v>
      </c>
      <c r="G204" s="147">
        <f>ROUND(F204*(1-'Disc Dep'!$C$113),2)</f>
        <v>0.88</v>
      </c>
      <c r="H204" s="147">
        <f>ROUND(G204*(1+'Adaos Distr'!$C$113),2)</f>
        <v>0.88</v>
      </c>
      <c r="I204" s="147">
        <f>ROUND(H204*(1+'Adaos RESELLER'!$C$113),2)</f>
        <v>0.88</v>
      </c>
      <c r="P204" s="238">
        <f t="shared" ref="P204:V204" si="45">ROUND(P179*1.03,2)</f>
        <v>1.1299999999999999</v>
      </c>
      <c r="Q204" s="238">
        <f t="shared" si="45"/>
        <v>1.49</v>
      </c>
      <c r="R204" s="238">
        <f t="shared" si="45"/>
        <v>1.01</v>
      </c>
      <c r="S204" s="238">
        <f t="shared" si="45"/>
        <v>1.35</v>
      </c>
      <c r="T204" s="238">
        <f t="shared" si="45"/>
        <v>0</v>
      </c>
      <c r="U204" s="238">
        <f t="shared" si="45"/>
        <v>1.26</v>
      </c>
      <c r="V204" s="238">
        <f t="shared" si="45"/>
        <v>1.65</v>
      </c>
    </row>
    <row r="205" spans="1:22" ht="17.399999999999999" thickBot="1">
      <c r="A205" s="418" t="str">
        <f>Lang!A441</f>
        <v>Banda universala autoadeziva (dolie), lungime 1000 mm</v>
      </c>
      <c r="B205" s="893"/>
      <c r="C205" s="893"/>
      <c r="D205" s="147">
        <f>IF(Select!$E$23=1,G205,IF(Select!$E$23=2,H205,IF(Select!$E$23=3,I205)))</f>
        <v>0.31</v>
      </c>
      <c r="F205" s="242">
        <v>0.39</v>
      </c>
      <c r="G205" s="147">
        <f>ROUND(F205*(1-'Disc Dep'!$C$113),2)</f>
        <v>0.31</v>
      </c>
      <c r="H205" s="147">
        <f>ROUND(G205*(1+'Adaos Distr'!$C$113),2)</f>
        <v>0.31</v>
      </c>
      <c r="I205" s="147">
        <f>ROUND(H205*(1+'Adaos RESELLER'!$C$113),2)</f>
        <v>0.31</v>
      </c>
      <c r="P205" s="238">
        <f t="shared" ref="P205:V205" si="46">ROUND(P180*1.03,2)</f>
        <v>28.69</v>
      </c>
      <c r="Q205" s="238">
        <f t="shared" si="46"/>
        <v>28.69</v>
      </c>
      <c r="R205" s="238">
        <f t="shared" si="46"/>
        <v>21.86</v>
      </c>
      <c r="S205" s="238">
        <f t="shared" si="46"/>
        <v>21.86</v>
      </c>
      <c r="T205" s="238">
        <f t="shared" si="46"/>
        <v>0</v>
      </c>
      <c r="U205" s="238">
        <f t="shared" si="46"/>
        <v>28.69</v>
      </c>
      <c r="V205" s="238">
        <f t="shared" si="46"/>
        <v>28.69</v>
      </c>
    </row>
    <row r="206" spans="1:22" ht="17.399999999999999" thickBot="1">
      <c r="A206" s="418" t="str">
        <f>Lang!A442</f>
        <v>Banda etansare Wtb Clasic ETM (coama),  lungime 1100 mm</v>
      </c>
      <c r="B206" s="893"/>
      <c r="C206" s="893"/>
      <c r="D206" s="147">
        <f>IF(Select!$E$23=1,G206,IF(Select!$E$23=2,H206,IF(Select!$E$23=3,I206)))</f>
        <v>0.74</v>
      </c>
      <c r="F206" s="242">
        <v>0.92</v>
      </c>
      <c r="G206" s="147">
        <f>ROUND(F206*(1-'Disc Dep'!$C$113),2)</f>
        <v>0.74</v>
      </c>
      <c r="H206" s="147">
        <f>ROUND(G206*(1+'Adaos Distr'!$C$113),2)</f>
        <v>0.74</v>
      </c>
      <c r="I206" s="147">
        <f>ROUND(H206*(1+'Adaos RESELLER'!$C$113),2)</f>
        <v>0.74</v>
      </c>
      <c r="P206" s="238">
        <f t="shared" ref="P206:V207" si="47">ROUND(P181*1.03,2)</f>
        <v>3.08</v>
      </c>
      <c r="Q206" s="238">
        <f t="shared" si="47"/>
        <v>4.84</v>
      </c>
      <c r="R206" s="238">
        <f t="shared" si="47"/>
        <v>2.56</v>
      </c>
      <c r="S206" s="238">
        <f t="shared" si="47"/>
        <v>3.94</v>
      </c>
      <c r="T206" s="238">
        <f t="shared" si="47"/>
        <v>0</v>
      </c>
      <c r="U206" s="238">
        <f t="shared" si="47"/>
        <v>3.39</v>
      </c>
      <c r="V206" s="238">
        <f t="shared" si="47"/>
        <v>5.33</v>
      </c>
    </row>
    <row r="207" spans="1:22" ht="17.399999999999999" thickBot="1">
      <c r="A207" s="418" t="str">
        <f>Lang!A443</f>
        <v>Banda etansare Wtb Gladiator /Plus ETM (coama),  lungime 1100 mm</v>
      </c>
      <c r="B207" s="893"/>
      <c r="C207" s="893"/>
      <c r="D207" s="147">
        <f>IF(Select!$E$23=1,G207,IF(Select!$E$23=2,H207,IF(Select!$E$23=3,I207)))</f>
        <v>0.74</v>
      </c>
      <c r="F207" s="242">
        <v>0.92</v>
      </c>
      <c r="G207" s="147">
        <f>ROUND(F207*(1-'Disc Dep'!$C$113),2)</f>
        <v>0.74</v>
      </c>
      <c r="H207" s="147">
        <f>ROUND(G207*(1+'Adaos Distr'!$C$113),2)</f>
        <v>0.74</v>
      </c>
      <c r="I207" s="147">
        <f>ROUND(H207*(1+'Adaos RESELLER'!$C$113),2)</f>
        <v>0.74</v>
      </c>
      <c r="P207" s="238">
        <f>ROUND(P182*1.03,2)</f>
        <v>20.61</v>
      </c>
      <c r="Q207" s="238">
        <f t="shared" si="47"/>
        <v>20.82</v>
      </c>
      <c r="R207" s="238">
        <f t="shared" si="47"/>
        <v>17.53</v>
      </c>
      <c r="S207" s="238">
        <f t="shared" si="47"/>
        <v>18.23</v>
      </c>
      <c r="T207" s="238">
        <f t="shared" si="47"/>
        <v>0</v>
      </c>
      <c r="U207" s="238">
        <f t="shared" si="47"/>
        <v>0</v>
      </c>
      <c r="V207" s="238">
        <f t="shared" si="47"/>
        <v>0</v>
      </c>
    </row>
    <row r="208" spans="1:22" ht="17.399999999999999" thickBot="1">
      <c r="A208" s="418" t="str">
        <f>Lang!A444</f>
        <v>Banda etansare Wtb Cardinal (coama),  lungime 1100 mm</v>
      </c>
      <c r="B208" s="893"/>
      <c r="C208" s="893"/>
      <c r="D208" s="147">
        <f>IF(Select!$E$23=1,G208,IF(Select!$E$23=2,H208,IF(Select!$E$23=3,I208)))</f>
        <v>0.74</v>
      </c>
      <c r="F208" s="242">
        <v>0.92</v>
      </c>
      <c r="G208" s="147">
        <f>ROUND(F208*(1-'Disc Dep'!$C$113),2)</f>
        <v>0.74</v>
      </c>
      <c r="H208" s="147">
        <f>ROUND(G208*(1+'Adaos Distr'!$C$113),2)</f>
        <v>0.74</v>
      </c>
      <c r="I208" s="147">
        <f>ROUND(H208*(1+'Adaos RESELLER'!$C$113),2)</f>
        <v>0.74</v>
      </c>
    </row>
    <row r="209" spans="1:9" ht="17.399999999999999" thickBot="1">
      <c r="A209" s="418" t="str">
        <f>Lang!A445</f>
        <v>Banda etansare Wtb Colosseum ETM (coama),  lungime 1100 mm</v>
      </c>
      <c r="B209" s="893"/>
      <c r="C209" s="893"/>
      <c r="D209" s="147">
        <f>IF(Select!$E$23=1,G209,IF(Select!$E$23=2,H209,IF(Select!$E$23=3,I209)))</f>
        <v>0.88</v>
      </c>
      <c r="F209" s="242">
        <v>1.1000000000000001</v>
      </c>
      <c r="G209" s="147">
        <f>ROUND(F209*(1-'Disc Dep'!$C$113),2)</f>
        <v>0.88</v>
      </c>
      <c r="H209" s="147">
        <f>ROUND(G209*(1+'Adaos Distr'!$C$113),2)</f>
        <v>0.88</v>
      </c>
      <c r="I209" s="147">
        <f>ROUND(H209*(1+'Adaos RESELLER'!$C$113),2)</f>
        <v>0.88</v>
      </c>
    </row>
    <row r="210" spans="1:9" ht="17.399999999999999" thickBot="1">
      <c r="A210" s="418" t="str">
        <f>Lang!A446</f>
        <v>Banda etansare W18</v>
      </c>
      <c r="B210" s="893"/>
      <c r="C210" s="893"/>
      <c r="D210" s="147">
        <f>IF(Select!$E$23=1,G210,IF(Select!$E$23=2,H210,IF(Select!$E$23=3,I210)))</f>
        <v>0.7</v>
      </c>
      <c r="F210" s="242">
        <v>0.88</v>
      </c>
      <c r="G210" s="147">
        <f>ROUND(F210*(1-'Disc Dep'!$C$113),2)</f>
        <v>0.7</v>
      </c>
      <c r="H210" s="147">
        <f>ROUND(G210*(1+'Adaos Distr'!$C$113),2)</f>
        <v>0.7</v>
      </c>
      <c r="I210" s="147">
        <f>ROUND(H210*(1+'Adaos RESELLER'!$C$113),2)</f>
        <v>0.7</v>
      </c>
    </row>
    <row r="211" spans="1:9" ht="17.399999999999999" thickBot="1">
      <c r="A211" s="418" t="str">
        <f>Lang!A447</f>
        <v>Banda etansare W35</v>
      </c>
      <c r="B211" s="893"/>
      <c r="C211" s="893"/>
      <c r="D211" s="147">
        <f>IF(Select!$E$23=1,G211,IF(Select!$E$23=2,H211,IF(Select!$E$23=3,I211)))</f>
        <v>1.06</v>
      </c>
      <c r="F211" s="242">
        <v>1.32</v>
      </c>
      <c r="G211" s="147">
        <f>ROUND(F211*(1-'Disc Dep'!$C$113),2)</f>
        <v>1.06</v>
      </c>
      <c r="H211" s="147">
        <f>ROUND(G211*(1+'Adaos Distr'!$C$113),2)</f>
        <v>1.06</v>
      </c>
      <c r="I211" s="147">
        <f>ROUND(H211*(1+'Adaos RESELLER'!$C$113),2)</f>
        <v>1.06</v>
      </c>
    </row>
    <row r="212" spans="1:9" ht="17.399999999999999" thickBot="1">
      <c r="A212" s="418" t="str">
        <f>Lang!A448</f>
        <v>Banda etansare W60 Coama</v>
      </c>
      <c r="B212" s="894"/>
      <c r="C212" s="894"/>
      <c r="D212" s="147">
        <f>IF(Select!$E$23=1,G212,IF(Select!$E$23=2,H212,IF(Select!$E$23=3,I212)))</f>
        <v>1.76</v>
      </c>
      <c r="F212" s="242">
        <v>2.2000000000000002</v>
      </c>
      <c r="G212" s="147">
        <f>ROUND(F212*(1-'Disc Dep'!$C$113),2)</f>
        <v>1.76</v>
      </c>
      <c r="H212" s="147">
        <f>ROUND(G212*(1+'Adaos Distr'!$C$113),2)</f>
        <v>1.76</v>
      </c>
      <c r="I212" s="147">
        <f>ROUND(H212*(1+'Adaos RESELLER'!$C$113),2)</f>
        <v>1.76</v>
      </c>
    </row>
    <row r="213" spans="1:9" ht="17.399999999999999" thickBot="1">
      <c r="A213" s="418" t="str">
        <f>Lang!A449</f>
        <v>Piepten plastic anti-pasari 1000x60 mm</v>
      </c>
      <c r="B213" s="894"/>
      <c r="C213" s="894"/>
      <c r="D213" s="147">
        <f>IF(Select!$E$23=1,G213,IF(Select!$E$23=2,H213,IF(Select!$E$23=3,I213)))</f>
        <v>0.72</v>
      </c>
      <c r="F213" s="243">
        <v>0.9</v>
      </c>
      <c r="G213" s="147">
        <f>ROUND(F213*(1-'Disc Dep'!$C$113),2)</f>
        <v>0.72</v>
      </c>
      <c r="H213" s="147">
        <f>ROUND(G213*(1+'Adaos Distr'!$C$113),2)</f>
        <v>0.72</v>
      </c>
      <c r="I213" s="147">
        <f>ROUND(H213*(1+'Adaos RESELLER'!$C$113),2)</f>
        <v>0.72</v>
      </c>
    </row>
    <row r="214" spans="1:9" ht="17.399999999999999" thickBot="1">
      <c r="A214" s="418" t="str">
        <f>Lang!A450</f>
        <v>Silicon etansare Wetterbest</v>
      </c>
      <c r="B214" s="894"/>
      <c r="C214" s="894"/>
      <c r="D214" s="147">
        <f>IF(Select!$E$23=1,G214,IF(Select!$E$23=2,H214,IF(Select!$E$23=3,I214)))</f>
        <v>5.0599999999999996</v>
      </c>
      <c r="F214" s="243">
        <v>6.32</v>
      </c>
      <c r="G214" s="147">
        <f>ROUND(F214*(1-'Disc Dep'!$C$113),2)</f>
        <v>5.0599999999999996</v>
      </c>
      <c r="H214" s="147">
        <f>ROUND(G214*(1+'Adaos Distr'!$C$113),2)</f>
        <v>5.0599999999999996</v>
      </c>
      <c r="I214" s="147">
        <f>ROUND(H214*(1+'Adaos RESELLER'!$C$113),2)</f>
        <v>5.0599999999999996</v>
      </c>
    </row>
    <row r="215" spans="1:9" ht="17.399999999999999" thickBot="1">
      <c r="A215" s="418" t="str">
        <f>Lang!A451</f>
        <v>Mastic etansare Wetterbest</v>
      </c>
      <c r="B215" s="894"/>
      <c r="C215" s="894"/>
      <c r="D215" s="147">
        <f>IF(Select!$E$23=1,G215,IF(Select!$E$23=2,H215,IF(Select!$E$23=3,I215)))</f>
        <v>5.46</v>
      </c>
      <c r="F215" s="243">
        <v>6.82</v>
      </c>
      <c r="G215" s="147">
        <f>ROUND(F215*(1-'Disc Dep'!$C$113),2)</f>
        <v>5.46</v>
      </c>
      <c r="H215" s="147">
        <f>ROUND(G215*(1+'Adaos Distr'!$C$113),2)</f>
        <v>5.46</v>
      </c>
      <c r="I215" s="147">
        <f>ROUND(H215*(1+'Adaos RESELLER'!$C$113),2)</f>
        <v>5.46</v>
      </c>
    </row>
    <row r="216" spans="1:9" ht="17.399999999999999" thickBot="1">
      <c r="A216" s="418" t="str">
        <f>Lang!A452</f>
        <v>Pistol pentru silicon Albastru</v>
      </c>
      <c r="B216" s="893"/>
      <c r="C216" s="893"/>
      <c r="D216" s="147">
        <f>IF(Select!$E$23=1,G216,IF(Select!$E$23=2,H216,IF(Select!$E$23=3,I216)))</f>
        <v>2.81</v>
      </c>
      <c r="F216" s="242">
        <v>3.51</v>
      </c>
      <c r="G216" s="147">
        <f>ROUND(F216*(1-'Disc Dep'!$C$113),2)</f>
        <v>2.81</v>
      </c>
      <c r="H216" s="147">
        <f>ROUND(G216*(1+'Adaos Distr'!$C$113),2)</f>
        <v>2.81</v>
      </c>
      <c r="I216" s="147">
        <f>ROUND(H216*(1+'Adaos RESELLER'!$C$113),2)</f>
        <v>2.81</v>
      </c>
    </row>
    <row r="217" spans="1:9" ht="17.399999999999999" thickBot="1">
      <c r="A217" s="418" t="str">
        <f>Lang!A453</f>
        <v>Pistol pentru silicon Galben</v>
      </c>
      <c r="B217" s="893"/>
      <c r="C217" s="893"/>
      <c r="D217" s="147">
        <f>IF(Select!$E$23=1,G217,IF(Select!$E$23=2,H217,IF(Select!$E$23=3,I217)))</f>
        <v>5.19</v>
      </c>
      <c r="F217" s="242">
        <v>6.49</v>
      </c>
      <c r="G217" s="147">
        <f>ROUND(F217*(1-'Disc Dep'!$C$113),2)</f>
        <v>5.19</v>
      </c>
      <c r="H217" s="147">
        <f>ROUND(G217*(1+'Adaos Distr'!$C$113),2)</f>
        <v>5.19</v>
      </c>
      <c r="I217" s="147">
        <f>ROUND(H217*(1+'Adaos RESELLER'!$C$113),2)</f>
        <v>5.19</v>
      </c>
    </row>
    <row r="218" spans="1:9" ht="17.399999999999999" thickBot="1">
      <c r="A218" s="418" t="str">
        <f>Lang!A454</f>
        <v>Pistol pentru silicon Negru</v>
      </c>
      <c r="B218" s="893"/>
      <c r="C218" s="893"/>
      <c r="D218" s="147">
        <f>IF(Select!$E$23=1,G218,IF(Select!$E$23=2,H218,IF(Select!$E$23=3,I218)))</f>
        <v>18.02</v>
      </c>
      <c r="F218" s="242">
        <v>22.53</v>
      </c>
      <c r="G218" s="147">
        <f>ROUND(F218*(1-'Disc Dep'!$C$113),2)</f>
        <v>18.02</v>
      </c>
      <c r="H218" s="147">
        <f>ROUND(G218*(1+'Adaos Distr'!$C$113),2)</f>
        <v>18.02</v>
      </c>
      <c r="I218" s="147">
        <f>ROUND(H218*(1+'Adaos RESELLER'!$C$113),2)</f>
        <v>18.02</v>
      </c>
    </row>
    <row r="219" spans="1:9" ht="17.399999999999999" thickBot="1">
      <c r="A219" s="418" t="str">
        <f>Lang!A455</f>
        <v>Vopsea retus+pensula 20 ml</v>
      </c>
      <c r="B219" s="893"/>
      <c r="C219" s="893"/>
      <c r="D219" s="147">
        <f>IF(Select!$E$23=1,G219,IF(Select!$E$23=2,H219,IF(Select!$E$23=3,I219)))</f>
        <v>2.35</v>
      </c>
      <c r="F219" s="242">
        <v>2.94</v>
      </c>
      <c r="G219" s="147">
        <f>ROUND(F219*(1-'Disc Dep'!$C$113),2)</f>
        <v>2.35</v>
      </c>
      <c r="H219" s="147">
        <f>ROUND(G219*(1+'Adaos Distr'!$C$113),2)</f>
        <v>2.35</v>
      </c>
      <c r="I219" s="147">
        <f>ROUND(H219*(1+'Adaos RESELLER'!$C$113),2)</f>
        <v>2.35</v>
      </c>
    </row>
    <row r="220" spans="1:9" ht="17.399999999999999" thickBot="1">
      <c r="A220" s="418" t="str">
        <f>Lang!A456</f>
        <v>**Ventilatie Acoperis CLASIC RAL 7024, 8017 si 9005 ( alte RAL-uri comanda )</v>
      </c>
      <c r="B220" s="894"/>
      <c r="C220" s="894"/>
      <c r="D220" s="147">
        <f>IF(Select!$E$23=1,G220,IF(Select!$E$23=2,H220,IF(Select!$E$23=3,I220)))</f>
        <v>42</v>
      </c>
      <c r="F220" s="242">
        <v>52.5</v>
      </c>
      <c r="G220" s="147">
        <f>ROUND(F220*(1-'Disc Dep'!$C$113),2)</f>
        <v>42</v>
      </c>
      <c r="H220" s="147">
        <f>ROUND(G220*(1+'Adaos Distr'!$C$113),2)</f>
        <v>42</v>
      </c>
      <c r="I220" s="147">
        <f>ROUND(H220*(1+'Adaos RESELLER'!$C$113),2)</f>
        <v>42</v>
      </c>
    </row>
    <row r="221" spans="1:9" ht="17.399999999999999" thickBot="1">
      <c r="A221" s="418" t="str">
        <f>Lang!A457</f>
        <v>**Ventilatie Invelitori plate RAL 7024 si 9005 ( alte RAL-uri comanda )</v>
      </c>
      <c r="B221" s="894"/>
      <c r="C221" s="894"/>
      <c r="D221" s="147">
        <f>IF(Select!$E$23=1,G221,IF(Select!$E$23=2,H221,IF(Select!$E$23=3,I221)))</f>
        <v>42</v>
      </c>
      <c r="F221" s="242">
        <v>52.5</v>
      </c>
      <c r="G221" s="147">
        <f>ROUND(F221*(1-'Disc Dep'!$C$113),2)</f>
        <v>42</v>
      </c>
      <c r="H221" s="147">
        <f>ROUND(G221*(1+'Adaos Distr'!$C$113),2)</f>
        <v>42</v>
      </c>
      <c r="I221" s="147">
        <f>ROUND(H221*(1+'Adaos RESELLER'!$C$113),2)</f>
        <v>42</v>
      </c>
    </row>
    <row r="222" spans="1:9" ht="17.399999999999999" thickBot="1">
      <c r="A222" s="418" t="str">
        <f>Lang!A458</f>
        <v>Ventilatie Acoperis COLOSSEUM</v>
      </c>
      <c r="B222" s="893"/>
      <c r="C222" s="893"/>
      <c r="D222" s="147">
        <f>IF(Select!$E$23=1,G222,IF(Select!$E$23=2,H222,IF(Select!$E$23=3,I222)))</f>
        <v>44.08</v>
      </c>
      <c r="F222" s="242">
        <v>55.1</v>
      </c>
      <c r="G222" s="147">
        <f>ROUND(F222*(1-'Disc Dep'!$C$113),2)</f>
        <v>44.08</v>
      </c>
      <c r="H222" s="147">
        <f>ROUND(G222*(1+'Adaos Distr'!$C$113),2)</f>
        <v>44.08</v>
      </c>
      <c r="I222" s="147">
        <f>ROUND(H222*(1+'Adaos RESELLER'!$C$113),2)</f>
        <v>44.08</v>
      </c>
    </row>
    <row r="223" spans="1:9" ht="17.399999999999999" thickBot="1">
      <c r="A223" s="418" t="str">
        <f>Lang!A459</f>
        <v>Ventilatie Acoperis GLADIATOR</v>
      </c>
      <c r="B223" s="893"/>
      <c r="C223" s="893"/>
      <c r="D223" s="147">
        <f>IF(Select!$E$23=1,G223,IF(Select!$E$23=2,H223,IF(Select!$E$23=3,I223)))</f>
        <v>44.08</v>
      </c>
      <c r="F223" s="242">
        <f>F222</f>
        <v>55.1</v>
      </c>
      <c r="G223" s="147">
        <f>ROUND(F223*(1-'Disc Dep'!$C$113),2)</f>
        <v>44.08</v>
      </c>
      <c r="H223" s="147">
        <f>ROUND(G223*(1+'Adaos Distr'!$C$113),2)</f>
        <v>44.08</v>
      </c>
      <c r="I223" s="147">
        <f>ROUND(H223*(1+'Adaos RESELLER'!$C$113),2)</f>
        <v>44.08</v>
      </c>
    </row>
    <row r="224" spans="1:9" ht="17.399999999999999" thickBot="1">
      <c r="A224" s="418" t="str">
        <f>Lang!A460</f>
        <v>Ventilatie Acoperis PLUS</v>
      </c>
      <c r="B224" s="893"/>
      <c r="C224" s="893"/>
      <c r="D224" s="147">
        <f>IF(Select!$E$23=1,G224,IF(Select!$E$23=2,H224,IF(Select!$E$23=3,I224)))</f>
        <v>44.08</v>
      </c>
      <c r="F224" s="242">
        <f>F223</f>
        <v>55.1</v>
      </c>
      <c r="G224" s="147">
        <f>ROUND(F224*(1-'Disc Dep'!$C$113),2)</f>
        <v>44.08</v>
      </c>
      <c r="H224" s="147">
        <f>ROUND(G224*(1+'Adaos Distr'!$C$113),2)</f>
        <v>44.08</v>
      </c>
      <c r="I224" s="147">
        <f>ROUND(H224*(1+'Adaos RESELLER'!$C$113),2)</f>
        <v>44.08</v>
      </c>
    </row>
    <row r="225" spans="1:9" ht="17.399999999999999" thickBot="1">
      <c r="A225" s="418" t="str">
        <f>Lang!A461</f>
        <v>Ventilatie Acoperis CARDINAL</v>
      </c>
      <c r="B225" s="893"/>
      <c r="C225" s="893"/>
      <c r="D225" s="147">
        <f>IF(Select!$E$23=1,G225,IF(Select!$E$23=2,H225,IF(Select!$E$23=3,I225)))</f>
        <v>44.08</v>
      </c>
      <c r="F225" s="242">
        <f>F224</f>
        <v>55.1</v>
      </c>
      <c r="G225" s="147">
        <f>ROUND(F225*(1-'Disc Dep'!$C$113),2)</f>
        <v>44.08</v>
      </c>
      <c r="H225" s="147">
        <f>ROUND(G225*(1+'Adaos Distr'!$C$113),2)</f>
        <v>44.08</v>
      </c>
      <c r="I225" s="147">
        <f>ROUND(H225*(1+'Adaos RESELLER'!$C$113),2)</f>
        <v>44.08</v>
      </c>
    </row>
    <row r="226" spans="1:9" ht="17.399999999999999" thickBot="1">
      <c r="A226" s="418" t="str">
        <f>Lang!A462</f>
        <v>Racord flexibil aerisire</v>
      </c>
      <c r="B226" s="893"/>
      <c r="C226" s="893"/>
      <c r="D226" s="147">
        <f>IF(Select!$E$23=1,G226,IF(Select!$E$23=2,H226,IF(Select!$E$23=3,I226)))</f>
        <v>10.1</v>
      </c>
      <c r="F226" s="242">
        <v>12.62</v>
      </c>
      <c r="G226" s="147">
        <f>ROUND(F226*(1-'Disc Dep'!$C$113),2)</f>
        <v>10.1</v>
      </c>
      <c r="H226" s="147">
        <f>ROUND(G226*(1+'Adaos Distr'!$C$113),2)</f>
        <v>10.1</v>
      </c>
      <c r="I226" s="147">
        <f>ROUND(H226*(1+'Adaos RESELLER'!$C$113),2)</f>
        <v>10.1</v>
      </c>
    </row>
    <row r="227" spans="1:9" ht="17.399999999999999" thickBot="1">
      <c r="A227" s="418" t="str">
        <f>Lang!A463</f>
        <v>Manson etansare MF 1 ( 6-60mm )</v>
      </c>
      <c r="B227" s="416"/>
      <c r="C227" s="416"/>
      <c r="D227" s="147">
        <f>IF(Select!$E$23=1,G227,IF(Select!$E$23=2,H227,IF(Select!$E$23=3,I227)))</f>
        <v>6.5</v>
      </c>
      <c r="F227" s="242">
        <v>8.1300000000000008</v>
      </c>
      <c r="G227" s="147">
        <f>ROUND(F227*(1-'Disc Dep'!$C$113),2)</f>
        <v>6.5</v>
      </c>
      <c r="H227" s="147">
        <f>ROUND(G227*(1+'Adaos Distr'!$C$113),2)</f>
        <v>6.5</v>
      </c>
      <c r="I227" s="147">
        <f>ROUND(H227*(1+'Adaos RESELLER'!$C$113),2)</f>
        <v>6.5</v>
      </c>
    </row>
    <row r="228" spans="1:9" ht="17.399999999999999" thickBot="1">
      <c r="A228" s="418" t="str">
        <f>Lang!A464</f>
        <v>Manson etansare MF 2 ( 32-82 mm )</v>
      </c>
      <c r="B228" s="416"/>
      <c r="C228" s="416"/>
      <c r="D228" s="147">
        <f>IF(Select!$E$23=1,G228,IF(Select!$E$23=2,H228,IF(Select!$E$23=3,I228)))</f>
        <v>9.8800000000000008</v>
      </c>
      <c r="F228" s="242">
        <v>12.35</v>
      </c>
      <c r="G228" s="147">
        <f>ROUND(F228*(1-'Disc Dep'!$C$113),2)</f>
        <v>9.8800000000000008</v>
      </c>
      <c r="H228" s="147">
        <f>ROUND(G228*(1+'Adaos Distr'!$C$113),2)</f>
        <v>9.8800000000000008</v>
      </c>
      <c r="I228" s="147">
        <f>ROUND(H228*(1+'Adaos RESELLER'!$C$113),2)</f>
        <v>9.8800000000000008</v>
      </c>
    </row>
    <row r="229" spans="1:9" ht="17.399999999999999" thickBot="1">
      <c r="A229" s="418" t="str">
        <f>Lang!A465</f>
        <v>Manson etansare MF 3 ( 6-110 mm)</v>
      </c>
      <c r="B229" s="416"/>
      <c r="C229" s="416"/>
      <c r="D229" s="147">
        <f>IF(Select!$E$23=1,G229,IF(Select!$E$23=2,H229,IF(Select!$E$23=3,I229)))</f>
        <v>9.8800000000000008</v>
      </c>
      <c r="F229" s="242">
        <v>12.35</v>
      </c>
      <c r="G229" s="147">
        <f>ROUND(F229*(1-'Disc Dep'!$C$113),2)</f>
        <v>9.8800000000000008</v>
      </c>
      <c r="H229" s="147">
        <f>ROUND(G229*(1+'Adaos Distr'!$C$113),2)</f>
        <v>9.8800000000000008</v>
      </c>
      <c r="I229" s="147">
        <f>ROUND(H229*(1+'Adaos RESELLER'!$C$113),2)</f>
        <v>9.8800000000000008</v>
      </c>
    </row>
    <row r="230" spans="1:9" ht="17.399999999999999" thickBot="1">
      <c r="A230" s="418" t="str">
        <f>Lang!A466</f>
        <v>Manson etansare MF 4 ( 75-150mm )</v>
      </c>
      <c r="B230" s="416"/>
      <c r="C230" s="416"/>
      <c r="D230" s="147">
        <f>IF(Select!$E$23=1,G230,IF(Select!$E$23=2,H230,IF(Select!$E$23=3,I230)))</f>
        <v>14.42</v>
      </c>
      <c r="F230" s="242">
        <v>18.03</v>
      </c>
      <c r="G230" s="147">
        <f>ROUND(F230*(1-'Disc Dep'!$C$113),2)</f>
        <v>14.42</v>
      </c>
      <c r="H230" s="147">
        <f>ROUND(G230*(1+'Adaos Distr'!$C$113),2)</f>
        <v>14.42</v>
      </c>
      <c r="I230" s="147">
        <f>ROUND(H230*(1+'Adaos RESELLER'!$C$113),2)</f>
        <v>14.42</v>
      </c>
    </row>
    <row r="231" spans="1:9" ht="17.399999999999999" thickBot="1">
      <c r="A231" s="418" t="str">
        <f>Lang!A467</f>
        <v>Manson etansare MF 5 ( 102-175mm )</v>
      </c>
      <c r="B231" s="416"/>
      <c r="C231" s="416"/>
      <c r="D231" s="147">
        <f>IF(Select!$E$23=1,G231,IF(Select!$E$23=2,H231,IF(Select!$E$23=3,I231)))</f>
        <v>16.579999999999998</v>
      </c>
      <c r="F231" s="242">
        <v>20.73</v>
      </c>
      <c r="G231" s="147">
        <f>ROUND(F231*(1-'Disc Dep'!$C$113),2)</f>
        <v>16.579999999999998</v>
      </c>
      <c r="H231" s="147">
        <f>ROUND(G231*(1+'Adaos Distr'!$C$113),2)</f>
        <v>16.579999999999998</v>
      </c>
      <c r="I231" s="147">
        <f>ROUND(H231*(1+'Adaos RESELLER'!$C$113),2)</f>
        <v>16.579999999999998</v>
      </c>
    </row>
    <row r="232" spans="1:9" ht="17.399999999999999" thickBot="1">
      <c r="A232" s="418" t="str">
        <f>Lang!A468</f>
        <v>Manson etansare MF 6 ( 125-230mm )</v>
      </c>
      <c r="B232" s="416"/>
      <c r="C232" s="416"/>
      <c r="D232" s="147">
        <f>IF(Select!$E$23=1,G232,IF(Select!$E$23=2,H232,IF(Select!$E$23=3,I232)))</f>
        <v>28.84</v>
      </c>
      <c r="F232" s="242">
        <v>36.049999999999997</v>
      </c>
      <c r="G232" s="147">
        <f>ROUND(F232*(1-'Disc Dep'!$C$113),2)</f>
        <v>28.84</v>
      </c>
      <c r="H232" s="147">
        <f>ROUND(G232*(1+'Adaos Distr'!$C$113),2)</f>
        <v>28.84</v>
      </c>
      <c r="I232" s="147">
        <f>ROUND(H232*(1+'Adaos RESELLER'!$C$113),2)</f>
        <v>28.84</v>
      </c>
    </row>
    <row r="233" spans="1:9" ht="17.399999999999999" thickBot="1">
      <c r="A233" s="418" t="str">
        <f>Lang!A469</f>
        <v>Manson etansare MF 8(175-330)</v>
      </c>
      <c r="B233" s="416"/>
      <c r="C233" s="416"/>
      <c r="D233" s="147">
        <f>IF(Select!$E$23=1,G233,IF(Select!$E$23=2,H233,IF(Select!$E$23=3,I233)))</f>
        <v>45.42</v>
      </c>
      <c r="F233" s="242">
        <v>56.78</v>
      </c>
      <c r="G233" s="147">
        <f>ROUND(F233*(1-'Disc Dep'!$C$113),2)</f>
        <v>45.42</v>
      </c>
      <c r="H233" s="147">
        <f>ROUND(G233*(1+'Adaos Distr'!$C$113),2)</f>
        <v>45.42</v>
      </c>
      <c r="I233" s="147">
        <f>ROUND(H233*(1+'Adaos RESELLER'!$C$113),2)</f>
        <v>45.42</v>
      </c>
    </row>
    <row r="234" spans="1:9" ht="17.399999999999999" thickBot="1">
      <c r="A234" s="418" t="str">
        <f>Lang!A470</f>
        <v>Manson etansare MF 9(240-475)</v>
      </c>
      <c r="B234" s="416"/>
      <c r="C234" s="416"/>
      <c r="D234" s="147">
        <f>IF(Select!$E$23=1,G234,IF(Select!$E$23=2,H234,IF(Select!$E$23=3,I234)))</f>
        <v>52.63</v>
      </c>
      <c r="F234" s="242">
        <v>65.790000000000006</v>
      </c>
      <c r="G234" s="147">
        <f>ROUND(F234*(1-'Disc Dep'!$C$113),2)</f>
        <v>52.63</v>
      </c>
      <c r="H234" s="147">
        <f>ROUND(G234*(1+'Adaos Distr'!$C$113),2)</f>
        <v>52.63</v>
      </c>
      <c r="I234" s="147">
        <f>ROUND(H234*(1+'Adaos RESELLER'!$C$113),2)</f>
        <v>52.63</v>
      </c>
    </row>
    <row r="235" spans="1:9" ht="17.399999999999999" thickBot="1">
      <c r="A235" s="418" t="str">
        <f>Lang!A471</f>
        <v>Banda etansare JIS 35 NEGATIV</v>
      </c>
      <c r="B235" s="416"/>
      <c r="C235" s="416"/>
      <c r="D235" s="147">
        <f>IF(Select!$E$23=1,G235,IF(Select!$E$23=2,H235,IF(Select!$E$23=3,I235)))</f>
        <v>1.06</v>
      </c>
      <c r="F235" s="242">
        <v>1.32</v>
      </c>
      <c r="G235" s="147">
        <f>ROUND(F235*(1-'Disc Dep'!$C$113),2)</f>
        <v>1.06</v>
      </c>
      <c r="H235" s="147">
        <f>ROUND(G235*(1+'Adaos Distr'!$C$113),2)</f>
        <v>1.06</v>
      </c>
      <c r="I235" s="147">
        <f>ROUND(H235*(1+'Adaos RESELLER'!$C$113),2)</f>
        <v>1.06</v>
      </c>
    </row>
    <row r="236" spans="1:9" ht="17.399999999999999" thickBot="1">
      <c r="A236" s="418" t="str">
        <f>Lang!A472</f>
        <v>Banda etansare JIS 45 NEGATIV</v>
      </c>
      <c r="B236" s="416"/>
      <c r="C236" s="416"/>
      <c r="D236" s="147">
        <f>IF(Select!$E$23=1,G236,IF(Select!$E$23=2,H236,IF(Select!$E$23=3,I236)))</f>
        <v>1.06</v>
      </c>
      <c r="F236" s="242">
        <v>1.32</v>
      </c>
      <c r="G236" s="147">
        <f>ROUND(F236*(1-'Disc Dep'!$C$113),2)</f>
        <v>1.06</v>
      </c>
      <c r="H236" s="147">
        <f>ROUND(G236*(1+'Adaos Distr'!$C$113),2)</f>
        <v>1.06</v>
      </c>
      <c r="I236" s="147">
        <f>ROUND(H236*(1+'Adaos RESELLER'!$C$113),2)</f>
        <v>1.06</v>
      </c>
    </row>
    <row r="237" spans="1:9" ht="16.8">
      <c r="A237" s="77"/>
      <c r="B237" s="416"/>
      <c r="C237" s="416"/>
      <c r="F237" s="242"/>
    </row>
    <row r="238" spans="1:9" ht="16.8">
      <c r="A238" s="77"/>
      <c r="B238" s="416"/>
      <c r="C238" s="416"/>
      <c r="F238" s="242"/>
    </row>
    <row r="239" spans="1:9" ht="16.8">
      <c r="A239" s="77"/>
      <c r="B239" s="416"/>
      <c r="C239" s="416"/>
      <c r="F239" s="242"/>
    </row>
    <row r="240" spans="1:9" ht="16.8">
      <c r="A240" s="77"/>
      <c r="B240" s="416"/>
      <c r="C240" s="416"/>
      <c r="F240" s="242"/>
    </row>
    <row r="241" spans="1:9" ht="16.8">
      <c r="A241" s="77"/>
      <c r="B241" s="416"/>
      <c r="C241" s="416"/>
      <c r="F241" s="242"/>
    </row>
    <row r="242" spans="1:9" ht="16.8">
      <c r="A242" s="77"/>
      <c r="B242" s="416"/>
      <c r="C242" s="416"/>
      <c r="F242" s="242"/>
    </row>
    <row r="243" spans="1:9" ht="16.8">
      <c r="A243" s="77"/>
      <c r="B243" s="416"/>
      <c r="C243" s="416"/>
      <c r="F243" s="242"/>
    </row>
    <row r="244" spans="1:9" ht="16.8">
      <c r="A244" s="77"/>
      <c r="B244" s="416"/>
      <c r="C244" s="416"/>
      <c r="F244" s="242"/>
    </row>
    <row r="245" spans="1:9" ht="16.8">
      <c r="A245" s="77"/>
      <c r="B245" s="416"/>
      <c r="C245" s="416"/>
      <c r="F245" s="242"/>
    </row>
    <row r="246" spans="1:9">
      <c r="A246" s="194" t="s">
        <v>36</v>
      </c>
      <c r="D246" s="147">
        <f>IF(Select!$E$23=1,G246,IF(Select!$E$23=2,H246,IF(Select!$E$23=3,I246)))</f>
        <v>0</v>
      </c>
      <c r="F246" s="147">
        <v>0</v>
      </c>
      <c r="G246" s="147">
        <f>ROUND(F246*(1-'Disc Dep'!$C$113),2)</f>
        <v>0</v>
      </c>
      <c r="H246" s="147">
        <f>ROUND(G246*(1+'Adaos Distr'!$C$113),2)</f>
        <v>0</v>
      </c>
      <c r="I246" s="147">
        <f>ROUND(H246*(1+'Adaos RESELLER'!$C$113),2)</f>
        <v>0</v>
      </c>
    </row>
    <row r="248" spans="1:9">
      <c r="A248" s="168" t="s">
        <v>92</v>
      </c>
      <c r="B248" s="168"/>
      <c r="F248" s="160"/>
    </row>
    <row r="249" spans="1:9">
      <c r="A249" s="169" t="str">
        <f>Lang!A152</f>
        <v>Surub 4,8*20 Zn</v>
      </c>
      <c r="B249" s="169"/>
      <c r="D249" s="147">
        <f>IF(Select!$E$23=1,G249,IF(Select!$E$23=2,H249,IF(Select!$E$23=3,I249)))</f>
        <v>5.79</v>
      </c>
      <c r="F249" s="239">
        <v>7.24</v>
      </c>
      <c r="G249" s="147">
        <f>ROUND(F249*(1-'Disc Dep'!$C$114),2)</f>
        <v>5.79</v>
      </c>
      <c r="H249" s="147">
        <f>ROUND(G249*(1+'Adaos Distr'!$C$114),2)</f>
        <v>5.79</v>
      </c>
      <c r="I249" s="147">
        <f>ROUND(H249*(1+'Adaos RESELLER'!$C$114),2)</f>
        <v>5.79</v>
      </c>
    </row>
    <row r="250" spans="1:9">
      <c r="A250" s="169" t="str">
        <f>Lang!A153</f>
        <v>Surub 4,8*35 Zn</v>
      </c>
      <c r="B250" s="169"/>
      <c r="D250" s="147">
        <f>IF(Select!$E$23=1,G250,IF(Select!$E$23=2,H250,IF(Select!$E$23=3,I250)))</f>
        <v>5.79</v>
      </c>
      <c r="F250" s="239">
        <v>7.24</v>
      </c>
      <c r="G250" s="147">
        <f>ROUND(F250*(1-'Disc Dep'!$C$114),2)</f>
        <v>5.79</v>
      </c>
      <c r="H250" s="147">
        <f>ROUND(G250*(1+'Adaos Distr'!$C$114),2)</f>
        <v>5.79</v>
      </c>
      <c r="I250" s="147">
        <f>ROUND(H250*(1+'Adaos RESELLER'!$C$114),2)</f>
        <v>5.79</v>
      </c>
    </row>
    <row r="251" spans="1:9">
      <c r="A251" s="169" t="str">
        <f>Lang!A154</f>
        <v>Surub 4,8*20 RAL</v>
      </c>
      <c r="B251" s="170"/>
      <c r="D251" s="147">
        <f>IF(Select!$E$23=1,G251,IF(Select!$E$23=2,H251,IF(Select!$E$23=3,I251)))</f>
        <v>5.86</v>
      </c>
      <c r="F251" s="239">
        <v>7.33</v>
      </c>
      <c r="G251" s="147">
        <f>ROUND(F251*(1-'Disc Dep'!$C$114),2)</f>
        <v>5.86</v>
      </c>
      <c r="H251" s="147">
        <f>ROUND(G251*(1+'Adaos Distr'!$C$114),2)</f>
        <v>5.86</v>
      </c>
      <c r="I251" s="147">
        <f>ROUND(H251*(1+'Adaos RESELLER'!$C$114),2)</f>
        <v>5.86</v>
      </c>
    </row>
    <row r="252" spans="1:9">
      <c r="A252" s="169" t="str">
        <f>Lang!A155</f>
        <v>Surub 4,8*35 RAL</v>
      </c>
      <c r="B252" s="170"/>
      <c r="D252" s="147">
        <f>IF(Select!$E$23=1,G252,IF(Select!$E$23=2,H252,IF(Select!$E$23=3,I252)))</f>
        <v>5.86</v>
      </c>
      <c r="F252" s="239">
        <v>7.33</v>
      </c>
      <c r="G252" s="147">
        <f>ROUND(F252*(1-'Disc Dep'!$C$114),2)</f>
        <v>5.86</v>
      </c>
      <c r="H252" s="147">
        <f>ROUND(G252*(1+'Adaos Distr'!$C$114),2)</f>
        <v>5.86</v>
      </c>
      <c r="I252" s="147">
        <f>ROUND(H252*(1+'Adaos RESELLER'!$C$114),2)</f>
        <v>5.86</v>
      </c>
    </row>
    <row r="253" spans="1:9">
      <c r="A253" s="169" t="str">
        <f>Lang!A156</f>
        <v>Surub 4,8*50 Zn</v>
      </c>
      <c r="B253" s="169"/>
      <c r="D253" s="147">
        <f>IF(Select!$E$23=1,G253,IF(Select!$E$23=2,H253,IF(Select!$E$23=3,I253)))</f>
        <v>4.6900000000000004</v>
      </c>
      <c r="F253" s="239">
        <v>5.86</v>
      </c>
      <c r="G253" s="147">
        <f>ROUND(F253*(1-'Disc Dep'!$C$114),2)</f>
        <v>4.6900000000000004</v>
      </c>
      <c r="H253" s="147">
        <f>ROUND(G253*(1+'Adaos Distr'!$C$114),2)</f>
        <v>4.6900000000000004</v>
      </c>
      <c r="I253" s="147">
        <f>ROUND(H253*(1+'Adaos RESELLER'!$C$114),2)</f>
        <v>4.6900000000000004</v>
      </c>
    </row>
    <row r="254" spans="1:9">
      <c r="A254" s="169" t="str">
        <f>Lang!A157</f>
        <v>Surub 4,8*50 RAL - 250 Buc/cutie</v>
      </c>
      <c r="B254" s="169"/>
      <c r="D254" s="147">
        <f>IF(Select!$E$23=1,G254,IF(Select!$E$23=2,H254,IF(Select!$E$23=3,I254)))</f>
        <v>4.9800000000000004</v>
      </c>
      <c r="F254" s="239">
        <v>6.22</v>
      </c>
      <c r="G254" s="147">
        <f>ROUND(F254*(1-'Disc Dep'!$C$114),2)</f>
        <v>4.9800000000000004</v>
      </c>
      <c r="H254" s="147">
        <f>ROUND(G254*(1+'Adaos Distr'!$C$114),2)</f>
        <v>4.9800000000000004</v>
      </c>
      <c r="I254" s="147">
        <f>ROUND(H254*(1+'Adaos RESELLER'!$C$114),2)</f>
        <v>4.9800000000000004</v>
      </c>
    </row>
    <row r="255" spans="1:9">
      <c r="A255" s="169" t="str">
        <f>Lang!A158</f>
        <v>Surub 4,8*70 Zn</v>
      </c>
      <c r="B255" s="169"/>
      <c r="D255" s="147">
        <f>IF(Select!$E$23=1,G255,IF(Select!$E$23=2,H255,IF(Select!$E$23=3,I255)))</f>
        <v>6.09</v>
      </c>
      <c r="F255" s="239">
        <v>7.61</v>
      </c>
      <c r="G255" s="147">
        <f>ROUND(F255*(1-'Disc Dep'!$C$114),2)</f>
        <v>6.09</v>
      </c>
      <c r="H255" s="147">
        <f>ROUND(G255*(1+'Adaos Distr'!$C$114),2)</f>
        <v>6.09</v>
      </c>
      <c r="I255" s="147">
        <f>ROUND(H255*(1+'Adaos RESELLER'!$C$114),2)</f>
        <v>6.09</v>
      </c>
    </row>
    <row r="256" spans="1:9">
      <c r="A256" s="169" t="str">
        <f>Lang!A159</f>
        <v>Surub 4,8*70 RAL - 100 Buc/cutie</v>
      </c>
      <c r="B256" s="169"/>
      <c r="D256" s="147">
        <f>IF(Select!$E$23=1,G256,IF(Select!$E$23=2,H256,IF(Select!$E$23=3,I256)))</f>
        <v>6.33</v>
      </c>
      <c r="F256" s="239">
        <v>7.91</v>
      </c>
      <c r="G256" s="147">
        <f>ROUND(F256*(1-'Disc Dep'!$C$114),2)</f>
        <v>6.33</v>
      </c>
      <c r="H256" s="147">
        <f>ROUND(G256*(1+'Adaos Distr'!$C$114),2)</f>
        <v>6.33</v>
      </c>
      <c r="I256" s="147">
        <f>ROUND(H256*(1+'Adaos RESELLER'!$C$114),2)</f>
        <v>6.33</v>
      </c>
    </row>
    <row r="257" spans="1:9">
      <c r="A257" s="169" t="str">
        <f>Lang!A160</f>
        <v xml:space="preserve">Surub Click 4.2 x 32 pt fixare in astereala </v>
      </c>
      <c r="B257" s="169"/>
      <c r="D257" s="147">
        <f>IF(Select!$E$23=1,G257,IF(Select!$E$23=2,H257,IF(Select!$E$23=3,I257)))</f>
        <v>9.9</v>
      </c>
      <c r="F257" s="239">
        <v>12.38</v>
      </c>
      <c r="G257" s="147">
        <f>ROUND(F257*(1-'Disc Dep'!$C$114),2)</f>
        <v>9.9</v>
      </c>
      <c r="H257" s="147">
        <f>ROUND(G257*(1+'Adaos Distr'!$C$114),2)</f>
        <v>9.9</v>
      </c>
      <c r="I257" s="147">
        <f>ROUND(H257*(1+'Adaos RESELLER'!$C$114),2)</f>
        <v>9.9</v>
      </c>
    </row>
    <row r="258" spans="1:9">
      <c r="A258" s="161" t="s">
        <v>2209</v>
      </c>
      <c r="B258" s="161"/>
      <c r="D258" s="147">
        <f>IF(Select!$E$23=1,G258,IF(Select!$E$23=2,H258,IF(Select!$E$23=3,I258)))</f>
        <v>5</v>
      </c>
      <c r="F258" s="239">
        <v>6.25</v>
      </c>
      <c r="G258" s="147">
        <f>ROUND(F258*(1-'Disc Dep'!$C$114),2)</f>
        <v>5</v>
      </c>
      <c r="H258" s="147">
        <f>ROUND(G258*(1+'Adaos Distr'!$C$114),2)</f>
        <v>5</v>
      </c>
      <c r="I258" s="147">
        <f>ROUND(H258*(1+'Adaos RESELLER'!$C$114),2)</f>
        <v>5</v>
      </c>
    </row>
    <row r="259" spans="1:9">
      <c r="A259" s="161" t="s">
        <v>2210</v>
      </c>
      <c r="B259" s="161"/>
      <c r="D259" s="147">
        <f>IF(Select!$E$23=1,G259,IF(Select!$E$23=2,H259,IF(Select!$E$23=3,I259)))</f>
        <v>5.36</v>
      </c>
      <c r="F259" s="239">
        <v>6.7</v>
      </c>
      <c r="G259" s="147">
        <f>ROUND(F259*(1-'Disc Dep'!$C$114),2)</f>
        <v>5.36</v>
      </c>
      <c r="H259" s="147">
        <f>ROUND(G259*(1+'Adaos Distr'!$C$114),2)</f>
        <v>5.36</v>
      </c>
      <c r="I259" s="147">
        <f>ROUND(H259*(1+'Adaos RESELLER'!$C$114),2)</f>
        <v>5.36</v>
      </c>
    </row>
    <row r="260" spans="1:9">
      <c r="A260" s="169" t="str">
        <f>Lang!A162</f>
        <v>Surub 4.8*19 CF 3mm Zn</v>
      </c>
      <c r="B260" s="169"/>
      <c r="D260" s="147">
        <f>IF(Select!$E$23=1,G260,IF(Select!$E$23=2,H260,IF(Select!$E$23=3,I260)))</f>
        <v>6.76</v>
      </c>
      <c r="F260" s="239">
        <v>8.4499999999999993</v>
      </c>
      <c r="G260" s="147">
        <f>ROUND(F260*(1-'Disc Dep'!$C$114),2)</f>
        <v>6.76</v>
      </c>
      <c r="H260" s="147">
        <f>ROUND(G260*(1+'Adaos Distr'!$C$114),2)</f>
        <v>6.76</v>
      </c>
      <c r="I260" s="147">
        <f>ROUND(H260*(1+'Adaos RESELLER'!$C$114),2)</f>
        <v>6.76</v>
      </c>
    </row>
    <row r="261" spans="1:9">
      <c r="A261" s="169" t="str">
        <f>Lang!A163</f>
        <v>Surub 4.8*19 CF3 RAL</v>
      </c>
      <c r="B261" s="170"/>
      <c r="D261" s="147">
        <f>IF(Select!$E$23=1,G261,IF(Select!$E$23=2,H261,IF(Select!$E$23=3,I261)))</f>
        <v>6.79</v>
      </c>
      <c r="F261" s="239">
        <v>8.49</v>
      </c>
      <c r="G261" s="147">
        <f>ROUND(F261*(1-'Disc Dep'!$C$114),2)</f>
        <v>6.79</v>
      </c>
      <c r="H261" s="147">
        <f>ROUND(G261*(1+'Adaos Distr'!$C$114),2)</f>
        <v>6.79</v>
      </c>
      <c r="I261" s="147">
        <f>ROUND(H261*(1+'Adaos RESELLER'!$C$114),2)</f>
        <v>6.79</v>
      </c>
    </row>
    <row r="262" spans="1:9">
      <c r="A262" s="169" t="str">
        <f>Lang!A165</f>
        <v>Cheie tubulara 8mm</v>
      </c>
      <c r="B262" s="161"/>
      <c r="D262" s="147">
        <f>IF(Select!$E$23=1,G262,IF(Select!$E$23=2,H262,IF(Select!$E$23=3,I262)))</f>
        <v>2.2400000000000002</v>
      </c>
      <c r="F262" s="239">
        <v>2.8</v>
      </c>
      <c r="G262" s="147">
        <f>ROUND(F262*(1-'Disc Dep'!$C$114),2)</f>
        <v>2.2400000000000002</v>
      </c>
      <c r="H262" s="147">
        <f>ROUND(G262*(1+'Adaos Distr'!$C$114),2)</f>
        <v>2.2400000000000002</v>
      </c>
      <c r="I262" s="147">
        <f>ROUND(H262*(1+'Adaos RESELLER'!$C$114),2)</f>
        <v>2.2400000000000002</v>
      </c>
    </row>
    <row r="263" spans="1:9" ht="16.8">
      <c r="A263" s="165"/>
      <c r="B263" s="165"/>
      <c r="F263" s="166"/>
    </row>
    <row r="264" spans="1:9">
      <c r="B264" s="167"/>
    </row>
    <row r="265" spans="1:9">
      <c r="A265" s="147" t="s">
        <v>139</v>
      </c>
      <c r="B265" s="147" t="s">
        <v>140</v>
      </c>
      <c r="C265" s="147">
        <f>IF(Select!$E$23=1,E265,IF(Select!$E$23=2,F265,IF(Select!$E$23=3,G265)))</f>
        <v>7.45</v>
      </c>
      <c r="D265" s="197">
        <v>10.07</v>
      </c>
      <c r="E265" s="147">
        <f>ROUND(D265*(1-'Disc Dep'!$C$120),2)</f>
        <v>7.45</v>
      </c>
      <c r="F265" s="147">
        <f>ROUND(E265*(1+'Adaos Distr'!$C$120),2)</f>
        <v>7.45</v>
      </c>
      <c r="G265" s="147">
        <f>ROUND(F265*(1+'Adaos RESELLER'!$C$120),2)</f>
        <v>7.45</v>
      </c>
      <c r="I265" s="147">
        <f>D265*1.2</f>
        <v>12.084</v>
      </c>
    </row>
    <row r="266" spans="1:9">
      <c r="B266" s="147" t="s">
        <v>261</v>
      </c>
      <c r="C266" s="147">
        <f>IF(Select!$E$23=1,E266,IF(Select!$E$23=2,F266,IF(Select!$E$23=3,G266)))</f>
        <v>7.45</v>
      </c>
      <c r="D266" s="197">
        <v>10.07</v>
      </c>
      <c r="E266" s="147">
        <f>ROUND(D266*(1-'Disc Dep'!$C$120),2)</f>
        <v>7.45</v>
      </c>
      <c r="F266" s="147">
        <f>ROUND(E266*(1+'Adaos Distr'!$C$120),2)</f>
        <v>7.45</v>
      </c>
      <c r="G266" s="147">
        <f>ROUND(F266*(1+'Adaos RESELLER'!$C$120),2)</f>
        <v>7.45</v>
      </c>
    </row>
    <row r="267" spans="1:9">
      <c r="B267" s="147" t="s">
        <v>156</v>
      </c>
      <c r="C267" s="147">
        <f>IF(Select!$E$23=1,E267,IF(Select!$E$23=2,F267,IF(Select!$E$23=3,G267)))</f>
        <v>7.69</v>
      </c>
      <c r="D267" s="197">
        <v>10.39</v>
      </c>
      <c r="E267" s="147">
        <f>ROUND(D267*(1-'Disc Dep'!$C$120),2)</f>
        <v>7.69</v>
      </c>
      <c r="F267" s="147">
        <f>ROUND(E267*(1+'Adaos Distr'!$C$120),2)</f>
        <v>7.69</v>
      </c>
      <c r="G267" s="147">
        <f>ROUND(F267*(1+'Adaos RESELLER'!$C$120),2)</f>
        <v>7.69</v>
      </c>
    </row>
    <row r="268" spans="1:9">
      <c r="B268" s="147" t="s">
        <v>489</v>
      </c>
      <c r="C268" s="147">
        <f>IF(Select!$E$23=1,E268,IF(Select!$E$23=2,F268,IF(Select!$E$23=3,G268)))</f>
        <v>10.45</v>
      </c>
      <c r="D268" s="197">
        <v>14.12</v>
      </c>
      <c r="E268" s="147">
        <f>ROUND(D268*(1-'Disc Dep'!$C$120),2)</f>
        <v>10.45</v>
      </c>
      <c r="F268" s="147">
        <f>ROUND(E268*(1+'Adaos Distr'!$C$120),2)</f>
        <v>10.45</v>
      </c>
      <c r="G268" s="147">
        <f>ROUND(F268*(1+'Adaos RESELLER'!$C$120),2)</f>
        <v>10.45</v>
      </c>
    </row>
    <row r="269" spans="1:9">
      <c r="B269" s="147" t="s">
        <v>427</v>
      </c>
      <c r="C269" s="147">
        <f>IF(Select!$E$23=1,E269,IF(Select!$E$23=2,F269,IF(Select!$E$23=3,G269)))</f>
        <v>9.49</v>
      </c>
      <c r="D269" s="197">
        <v>12.83</v>
      </c>
      <c r="E269" s="147">
        <f>ROUND(D269*(1-'Disc Dep'!$C$120),2)</f>
        <v>9.49</v>
      </c>
      <c r="F269" s="147">
        <f>ROUND(E269*(1+'Adaos Distr'!$C$120),2)</f>
        <v>9.49</v>
      </c>
      <c r="G269" s="147">
        <f>ROUND(F269*(1+'Adaos RESELLER'!$C$120),2)</f>
        <v>9.49</v>
      </c>
    </row>
    <row r="270" spans="1:9">
      <c r="A270" s="147" t="s">
        <v>500</v>
      </c>
      <c r="B270" s="147" t="s">
        <v>140</v>
      </c>
      <c r="C270" s="147">
        <f>IF(Select!$E$23=1,E270,IF(Select!$E$23=2,F270,IF(Select!$E$23=3,G270)))</f>
        <v>8.64</v>
      </c>
      <c r="D270" s="197">
        <v>11.68</v>
      </c>
      <c r="E270" s="147">
        <f>ROUND(D270*(1-'Disc Dep'!$C$120),2)</f>
        <v>8.64</v>
      </c>
      <c r="F270" s="147">
        <f>ROUND(E270*(1+'Adaos Distr'!$C$120),2)</f>
        <v>8.64</v>
      </c>
      <c r="G270" s="147">
        <f>ROUND(F270*(1+'Adaos RESELLER'!$C$120),2)</f>
        <v>8.64</v>
      </c>
    </row>
    <row r="271" spans="1:9">
      <c r="B271" s="147" t="s">
        <v>261</v>
      </c>
      <c r="C271" s="147">
        <f>IF(Select!$E$23=1,E271,IF(Select!$E$23=2,F271,IF(Select!$E$23=3,G271)))</f>
        <v>8.64</v>
      </c>
      <c r="D271" s="197">
        <v>11.68</v>
      </c>
      <c r="E271" s="147">
        <f>ROUND(D271*(1-'Disc Dep'!$C$120),2)</f>
        <v>8.64</v>
      </c>
      <c r="F271" s="147">
        <f>ROUND(E271*(1+'Adaos Distr'!$C$120),2)</f>
        <v>8.64</v>
      </c>
      <c r="G271" s="147">
        <f>ROUND(F271*(1+'Adaos RESELLER'!$C$120),2)</f>
        <v>8.64</v>
      </c>
    </row>
    <row r="272" spans="1:9">
      <c r="B272" s="147" t="s">
        <v>156</v>
      </c>
      <c r="C272" s="147">
        <f>IF(Select!$E$23=1,E272,IF(Select!$E$23=2,F272,IF(Select!$E$23=3,G272)))</f>
        <v>8.8800000000000008</v>
      </c>
      <c r="D272" s="197">
        <v>12</v>
      </c>
      <c r="E272" s="147">
        <f>ROUND(D272*(1-'Disc Dep'!$C$120),2)</f>
        <v>8.8800000000000008</v>
      </c>
      <c r="F272" s="147">
        <f>ROUND(E272*(1+'Adaos Distr'!$C$120),2)</f>
        <v>8.8800000000000008</v>
      </c>
      <c r="G272" s="147">
        <f>ROUND(F272*(1+'Adaos RESELLER'!$C$120),2)</f>
        <v>8.8800000000000008</v>
      </c>
    </row>
    <row r="273" spans="1:26">
      <c r="B273" s="147" t="s">
        <v>489</v>
      </c>
      <c r="C273" s="147">
        <f>IF(Select!$E$23=1,E273,IF(Select!$E$23=2,F273,IF(Select!$E$23=3,G273)))</f>
        <v>11.64</v>
      </c>
      <c r="D273" s="197">
        <v>15.73</v>
      </c>
      <c r="E273" s="147">
        <f>ROUND(D273*(1-'Disc Dep'!$C$120),2)</f>
        <v>11.64</v>
      </c>
      <c r="F273" s="147">
        <f>ROUND(E273*(1+'Adaos Distr'!$C$120),2)</f>
        <v>11.64</v>
      </c>
      <c r="G273" s="147">
        <f>ROUND(F273*(1+'Adaos RESELLER'!$C$120),2)</f>
        <v>11.64</v>
      </c>
    </row>
    <row r="274" spans="1:26">
      <c r="B274" s="147" t="s">
        <v>427</v>
      </c>
      <c r="C274" s="147">
        <f>IF(Select!$E$23=1,E274,IF(Select!$E$23=2,F274,IF(Select!$E$23=3,G274)))</f>
        <v>10.69</v>
      </c>
      <c r="D274" s="197">
        <v>14.44</v>
      </c>
      <c r="E274" s="147">
        <f>ROUND(D274*(1-'Disc Dep'!$C$120),2)</f>
        <v>10.69</v>
      </c>
      <c r="F274" s="147">
        <f>ROUND(E274*(1+'Adaos Distr'!$C$120),2)</f>
        <v>10.69</v>
      </c>
      <c r="G274" s="147">
        <f>ROUND(F274*(1+'Adaos RESELLER'!$C$120),2)</f>
        <v>10.69</v>
      </c>
    </row>
    <row r="275" spans="1:26">
      <c r="A275" s="147" t="s">
        <v>499</v>
      </c>
      <c r="B275" s="147" t="s">
        <v>311</v>
      </c>
      <c r="C275" s="147">
        <f>IF(Select!$E$23=1,E275,IF(Select!$E$23=2,F275,IF(Select!$E$23=3,G275)))</f>
        <v>7.83</v>
      </c>
      <c r="D275" s="197">
        <v>10.58</v>
      </c>
      <c r="E275" s="147">
        <f>ROUND(D275*(1-'Disc Dep'!$C$123),2)</f>
        <v>7.83</v>
      </c>
      <c r="F275" s="147">
        <f>ROUND(E275*(1+'Adaos Distr'!$C$123),2)</f>
        <v>7.83</v>
      </c>
      <c r="G275" s="147">
        <f>ROUND(F275*(1+'Adaos RESELLER'!$C$123),2)</f>
        <v>7.83</v>
      </c>
    </row>
    <row r="276" spans="1:26">
      <c r="B276" s="147" t="s">
        <v>140</v>
      </c>
      <c r="C276" s="147">
        <f>IF(Select!$E$23=1,E276,IF(Select!$E$23=2,F276,IF(Select!$E$23=3,G276)))</f>
        <v>8.36</v>
      </c>
      <c r="D276" s="197">
        <v>11.3</v>
      </c>
      <c r="E276" s="147">
        <f>ROUND(D276*(1-'Disc Dep'!$C$123),2)</f>
        <v>8.36</v>
      </c>
      <c r="F276" s="147">
        <f>ROUND(E276*(1+'Adaos Distr'!$C$123),2)</f>
        <v>8.36</v>
      </c>
      <c r="G276" s="147">
        <f>ROUND(F276*(1+'Adaos RESELLER'!$C$123),2)</f>
        <v>8.36</v>
      </c>
    </row>
    <row r="277" spans="1:26">
      <c r="B277" s="147" t="s">
        <v>261</v>
      </c>
      <c r="C277" s="147">
        <f>IF(Select!$E$23=1,E277,IF(Select!$E$23=2,F277,IF(Select!$E$23=3,G277)))</f>
        <v>8.34</v>
      </c>
      <c r="D277" s="197">
        <v>11.27</v>
      </c>
      <c r="E277" s="147">
        <f>ROUND(D277*(1-'Disc Dep'!$C$123),2)</f>
        <v>8.34</v>
      </c>
      <c r="F277" s="147">
        <f>ROUND(E277*(1+'Adaos Distr'!$C$123),2)</f>
        <v>8.34</v>
      </c>
      <c r="G277" s="147">
        <f>ROUND(F277*(1+'Adaos RESELLER'!$C$123),2)</f>
        <v>8.34</v>
      </c>
    </row>
    <row r="278" spans="1:26">
      <c r="B278" s="147" t="s">
        <v>156</v>
      </c>
      <c r="C278" s="147">
        <f>IF(Select!$E$23=1,E278,IF(Select!$E$23=2,F278,IF(Select!$E$23=3,G278)))</f>
        <v>8.8699999999999992</v>
      </c>
      <c r="D278" s="197">
        <v>11.99</v>
      </c>
      <c r="E278" s="147">
        <f>ROUND(D278*(1-'Disc Dep'!$C$123),2)</f>
        <v>8.8699999999999992</v>
      </c>
      <c r="F278" s="147">
        <f>ROUND(E278*(1+'Adaos Distr'!$C$123),2)</f>
        <v>8.8699999999999992</v>
      </c>
      <c r="G278" s="147">
        <f>ROUND(F278*(1+'Adaos RESELLER'!$C$123),2)</f>
        <v>8.8699999999999992</v>
      </c>
    </row>
    <row r="279" spans="1:26">
      <c r="B279" s="147" t="s">
        <v>489</v>
      </c>
      <c r="C279" s="147">
        <f>IF(Select!$E$23=1,E279,IF(Select!$E$23=2,F279,IF(Select!$E$23=3,G279)))</f>
        <v>11.32</v>
      </c>
      <c r="D279" s="197">
        <v>15.3</v>
      </c>
      <c r="E279" s="147">
        <f>ROUND(D279*(1-'Disc Dep'!$C$123),2)</f>
        <v>11.32</v>
      </c>
      <c r="F279" s="147">
        <f>ROUND(E279*(1+'Adaos Distr'!$C$123),2)</f>
        <v>11.32</v>
      </c>
      <c r="G279" s="147">
        <f>ROUND(F279*(1+'Adaos RESELLER'!$C$123),2)</f>
        <v>11.32</v>
      </c>
    </row>
    <row r="280" spans="1:26">
      <c r="B280" s="147" t="s">
        <v>427</v>
      </c>
      <c r="C280" s="147">
        <f>IF(Select!$E$23=1,E280,IF(Select!$E$23=2,F280,IF(Select!$E$23=3,G280)))</f>
        <v>10.29</v>
      </c>
      <c r="D280" s="197">
        <v>13.9</v>
      </c>
      <c r="E280" s="147">
        <f>ROUND(D280*(1-'Disc Dep'!$C$123),2)</f>
        <v>10.29</v>
      </c>
      <c r="F280" s="147">
        <f>ROUND(E280*(1+'Adaos Distr'!$C$123),2)</f>
        <v>10.29</v>
      </c>
      <c r="G280" s="147">
        <f>ROUND(F280*(1+'Adaos RESELLER'!$C$123),2)</f>
        <v>10.29</v>
      </c>
    </row>
    <row r="281" spans="1:26">
      <c r="B281" s="147" t="s">
        <v>490</v>
      </c>
      <c r="C281" s="147">
        <f>IF(Select!$E$23=1,E281,IF(Select!$E$23=2,F281,IF(Select!$E$23=3,G281)))</f>
        <v>0</v>
      </c>
      <c r="D281" s="197">
        <v>0</v>
      </c>
      <c r="E281" s="147">
        <f>ROUND(D281*(1-'Disc Dep'!$C$123),2)</f>
        <v>0</v>
      </c>
      <c r="F281" s="147">
        <f>ROUND(E281*(1+'Adaos Distr'!$C$123),2)</f>
        <v>0</v>
      </c>
      <c r="G281" s="147">
        <f>ROUND(F281*(1+'Adaos RESELLER'!$C$123),2)</f>
        <v>0</v>
      </c>
    </row>
    <row r="282" spans="1:26">
      <c r="B282" s="147" t="s">
        <v>491</v>
      </c>
      <c r="C282" s="147">
        <f>IF(Select!$E$23=1,E282,IF(Select!$E$23=2,F282,IF(Select!$E$23=3,G282)))</f>
        <v>0</v>
      </c>
      <c r="D282" s="197">
        <v>0</v>
      </c>
      <c r="E282" s="147">
        <f>ROUND(D282*(1-'Disc Dep'!$C$123),2)</f>
        <v>0</v>
      </c>
      <c r="F282" s="147">
        <f>ROUND(E282*(1+'Adaos Distr'!$C$123),2)</f>
        <v>0</v>
      </c>
      <c r="G282" s="147">
        <f>ROUND(F282*(1+'Adaos RESELLER'!$C$123),2)</f>
        <v>0</v>
      </c>
    </row>
    <row r="283" spans="1:26">
      <c r="A283" s="147" t="s">
        <v>501</v>
      </c>
      <c r="B283" s="147" t="s">
        <v>498</v>
      </c>
      <c r="C283" s="147">
        <f>IF(Select!$E$23=1,E283,IF(Select!$E$23=2,F283,IF(Select!$E$23=3,G283)))</f>
        <v>13.75</v>
      </c>
      <c r="D283" s="197">
        <v>18.579999999999998</v>
      </c>
      <c r="E283" s="147">
        <f>ROUND(D283*(1-'Disc Dep'!$C$123),2)</f>
        <v>13.75</v>
      </c>
      <c r="F283" s="147">
        <f>ROUND(E283*(1+'Adaos Distr'!$C$123),2)</f>
        <v>13.75</v>
      </c>
      <c r="G283" s="147">
        <f>ROUND(F283*(1+'Adaos RESELLER'!$C$123),2)</f>
        <v>13.75</v>
      </c>
    </row>
    <row r="284" spans="1:26">
      <c r="A284" s="147" t="s">
        <v>502</v>
      </c>
      <c r="B284" s="147" t="s">
        <v>498</v>
      </c>
      <c r="C284" s="147">
        <f>IF(Select!$E$23=1,E284,IF(Select!$E$23=2,F284,IF(Select!$E$23=3,G284)))</f>
        <v>13.75</v>
      </c>
      <c r="D284" s="197">
        <v>18.579999999999998</v>
      </c>
      <c r="E284" s="147">
        <f>ROUND(D284*(1-'Disc Dep'!$C$123),2)</f>
        <v>13.75</v>
      </c>
      <c r="F284" s="147">
        <f>ROUND(E284*(1+'Adaos Distr'!$C$123),2)</f>
        <v>13.75</v>
      </c>
      <c r="G284" s="147">
        <f>ROUND(F284*(1+'Adaos RESELLER'!$C$123),2)</f>
        <v>13.75</v>
      </c>
    </row>
    <row r="286" spans="1:26">
      <c r="B286" s="892" t="s">
        <v>244</v>
      </c>
      <c r="C286" s="892"/>
      <c r="D286" s="892"/>
      <c r="E286" s="892"/>
      <c r="F286" s="892"/>
      <c r="G286" s="895" t="s">
        <v>306</v>
      </c>
      <c r="H286" s="895"/>
      <c r="I286" s="895"/>
      <c r="J286" s="895"/>
      <c r="K286" s="895"/>
      <c r="L286" s="892">
        <v>1</v>
      </c>
      <c r="M286" s="892"/>
      <c r="N286" s="892"/>
      <c r="O286" s="892"/>
      <c r="P286" s="892"/>
      <c r="Q286" s="892">
        <v>2</v>
      </c>
      <c r="R286" s="892"/>
      <c r="S286" s="892"/>
      <c r="T286" s="892"/>
      <c r="U286" s="892"/>
      <c r="V286" s="892">
        <v>3</v>
      </c>
      <c r="W286" s="892"/>
      <c r="X286" s="892"/>
      <c r="Y286" s="892"/>
      <c r="Z286" s="892"/>
    </row>
    <row r="287" spans="1:26">
      <c r="B287" s="160" t="s">
        <v>503</v>
      </c>
      <c r="C287" s="160" t="s">
        <v>494</v>
      </c>
      <c r="D287" s="160" t="s">
        <v>142</v>
      </c>
      <c r="E287" s="147" t="s">
        <v>496</v>
      </c>
      <c r="F287" s="147" t="s">
        <v>504</v>
      </c>
      <c r="G287" s="196" t="s">
        <v>503</v>
      </c>
      <c r="H287" s="196" t="s">
        <v>494</v>
      </c>
      <c r="I287" s="196" t="s">
        <v>142</v>
      </c>
      <c r="J287" s="197" t="s">
        <v>496</v>
      </c>
      <c r="K287" s="197" t="s">
        <v>504</v>
      </c>
      <c r="L287" s="160" t="s">
        <v>503</v>
      </c>
      <c r="M287" s="160" t="s">
        <v>494</v>
      </c>
      <c r="N287" s="160" t="s">
        <v>142</v>
      </c>
      <c r="O287" s="147" t="s">
        <v>496</v>
      </c>
      <c r="P287" s="147" t="s">
        <v>504</v>
      </c>
      <c r="Q287" s="160" t="s">
        <v>503</v>
      </c>
      <c r="R287" s="160" t="s">
        <v>494</v>
      </c>
      <c r="S287" s="160" t="s">
        <v>142</v>
      </c>
      <c r="T287" s="147" t="s">
        <v>496</v>
      </c>
      <c r="U287" s="147" t="s">
        <v>504</v>
      </c>
      <c r="V287" s="160" t="s">
        <v>503</v>
      </c>
      <c r="W287" s="160" t="s">
        <v>494</v>
      </c>
      <c r="X287" s="160" t="s">
        <v>142</v>
      </c>
      <c r="Y287" s="147" t="s">
        <v>496</v>
      </c>
      <c r="Z287" s="147" t="s">
        <v>504</v>
      </c>
    </row>
    <row r="288" spans="1:26">
      <c r="A288" s="147" t="str">
        <f>Lang!A384</f>
        <v>Coama dreapta mare</v>
      </c>
      <c r="B288" s="160">
        <f>IF(Select!$E$23=1,L288,IF(Select!$E$23=2,Q288,IF(Select!$E$23=3,V288)))</f>
        <v>6.14</v>
      </c>
      <c r="C288" s="160">
        <f>IF(Select!$E$23=1,M288,IF(Select!$E$23=2,R288,IF(Select!$E$23=3,W288)))</f>
        <v>5.97</v>
      </c>
      <c r="D288" s="160">
        <f>IF(Select!$E$23=1,N288,IF(Select!$E$23=2,S288,IF(Select!$E$23=3,X288)))</f>
        <v>6.2</v>
      </c>
      <c r="E288" s="160">
        <f>IF(Select!$E$23=1,O288,IF(Select!$E$23=2,T288,IF(Select!$E$23=3,Y288)))</f>
        <v>8.61</v>
      </c>
      <c r="F288" s="160">
        <f>IF(Select!$E$23=1,P288,IF(Select!$E$23=2,U288,IF(Select!$E$23=3,Z288)))</f>
        <v>7.83</v>
      </c>
      <c r="G288" s="197">
        <v>8.3000000000000007</v>
      </c>
      <c r="H288" s="197">
        <v>8.07</v>
      </c>
      <c r="I288" s="197">
        <v>8.3800000000000008</v>
      </c>
      <c r="J288" s="197">
        <v>11.64</v>
      </c>
      <c r="K288" s="197">
        <v>10.58</v>
      </c>
      <c r="L288" s="147">
        <f>ROUND(G288*(1-'Disc Dep'!$C$121),2)</f>
        <v>6.14</v>
      </c>
      <c r="M288" s="147">
        <f>ROUND(H288*(1-'Disc Dep'!$C$121),2)</f>
        <v>5.97</v>
      </c>
      <c r="N288" s="147">
        <f>ROUND(I288*(1-'Disc Dep'!$C$121),2)</f>
        <v>6.2</v>
      </c>
      <c r="O288" s="147">
        <f>ROUND(J288*(1-'Disc Dep'!$C$121),2)</f>
        <v>8.61</v>
      </c>
      <c r="P288" s="147">
        <f>ROUND(K288*(1-'Disc Dep'!$C$121),2)</f>
        <v>7.83</v>
      </c>
      <c r="Q288" s="147">
        <f>ROUND(L288*(1+'Adaos Distr'!$C$121),2)</f>
        <v>6.14</v>
      </c>
      <c r="R288" s="147">
        <f>ROUND(M288*(1+'Adaos Distr'!$C$121),2)</f>
        <v>5.97</v>
      </c>
      <c r="S288" s="147">
        <f>ROUND(N288*(1+'Adaos Distr'!$C$121),2)</f>
        <v>6.2</v>
      </c>
      <c r="T288" s="147">
        <f>ROUND(O288*(1+'Adaos Distr'!$C$121),2)</f>
        <v>8.61</v>
      </c>
      <c r="U288" s="147">
        <f>ROUND(P288*(1+'Adaos Distr'!$C$121),2)</f>
        <v>7.83</v>
      </c>
      <c r="V288" s="147">
        <f>ROUND(Q288*(1+'Adaos RESELLER'!$C$121),2)</f>
        <v>6.14</v>
      </c>
      <c r="W288" s="147">
        <f>ROUND(R288*(1+'Adaos RESELLER'!$C$121),2)</f>
        <v>5.97</v>
      </c>
      <c r="X288" s="147">
        <f>ROUND(S288*(1+'Adaos RESELLER'!$C$121),2)</f>
        <v>6.2</v>
      </c>
      <c r="Y288" s="147">
        <f>ROUND(T288*(1+'Adaos RESELLER'!$C$121),2)</f>
        <v>8.61</v>
      </c>
      <c r="Z288" s="147">
        <f>ROUND(U288*(1+'Adaos RESELLER'!$C$121),2)</f>
        <v>7.83</v>
      </c>
    </row>
    <row r="289" spans="1:26">
      <c r="A289" s="147" t="str">
        <f>Lang!A385</f>
        <v xml:space="preserve">Racord calcan Click </v>
      </c>
      <c r="B289" s="348">
        <f>IF(Select!$E$23=1,L289,IF(Select!$E$23=2,Q289,IF(Select!$E$23=3,V289)))</f>
        <v>4.5999999999999996</v>
      </c>
      <c r="C289" s="348">
        <f>IF(Select!$E$23=1,M289,IF(Select!$E$23=2,R289,IF(Select!$E$23=3,W289)))</f>
        <v>4.4800000000000004</v>
      </c>
      <c r="D289" s="160">
        <f>IF(Select!$E$23=1,N289,IF(Select!$E$23=2,S289,IF(Select!$E$23=3,X289)))</f>
        <v>4.6500000000000004</v>
      </c>
      <c r="E289" s="160">
        <f>IF(Select!$E$23=1,O289,IF(Select!$E$23=2,T289,IF(Select!$E$23=3,Y289)))</f>
        <v>6.47</v>
      </c>
      <c r="F289" s="160">
        <f>IF(Select!$E$23=1,P289,IF(Select!$E$23=2,U289,IF(Select!$E$23=3,Z289)))</f>
        <v>5.87</v>
      </c>
      <c r="G289" s="197">
        <v>6.22</v>
      </c>
      <c r="H289" s="197">
        <v>6.05</v>
      </c>
      <c r="I289" s="197">
        <v>6.29</v>
      </c>
      <c r="J289" s="197">
        <v>8.74</v>
      </c>
      <c r="K289" s="197">
        <v>7.93</v>
      </c>
      <c r="L289" s="147">
        <f>ROUND(G289*(1-'Disc Dep'!$C$121),2)</f>
        <v>4.5999999999999996</v>
      </c>
      <c r="M289" s="147">
        <f>ROUND(H289*(1-'Disc Dep'!$C$121),2)</f>
        <v>4.4800000000000004</v>
      </c>
      <c r="N289" s="147">
        <f>ROUND(I289*(1-'Disc Dep'!$C$121),2)</f>
        <v>4.6500000000000004</v>
      </c>
      <c r="O289" s="147">
        <f>ROUND(J289*(1-'Disc Dep'!$C$121),2)</f>
        <v>6.47</v>
      </c>
      <c r="P289" s="147">
        <f>ROUND(K289*(1-'Disc Dep'!$C$121),2)</f>
        <v>5.87</v>
      </c>
      <c r="Q289" s="147">
        <f>ROUND(L289*(1+'Adaos Distr'!$C$121),2)</f>
        <v>4.5999999999999996</v>
      </c>
      <c r="R289" s="147">
        <f>ROUND(M289*(1+'Adaos Distr'!$C$121),2)</f>
        <v>4.4800000000000004</v>
      </c>
      <c r="S289" s="147">
        <f>ROUND(N289*(1+'Adaos Distr'!$C$121),2)</f>
        <v>4.6500000000000004</v>
      </c>
      <c r="T289" s="147">
        <f>ROUND(O289*(1+'Adaos Distr'!$C$121),2)</f>
        <v>6.47</v>
      </c>
      <c r="U289" s="147">
        <f>ROUND(P289*(1+'Adaos Distr'!$C$121),2)</f>
        <v>5.87</v>
      </c>
      <c r="V289" s="147">
        <f>ROUND(Q289*(1+'Adaos RESELLER'!$C$121),2)</f>
        <v>4.5999999999999996</v>
      </c>
      <c r="W289" s="147">
        <f>ROUND(R289*(1+'Adaos RESELLER'!$C$121),2)</f>
        <v>4.4800000000000004</v>
      </c>
      <c r="X289" s="147">
        <f>ROUND(S289*(1+'Adaos RESELLER'!$C$121),2)</f>
        <v>4.6500000000000004</v>
      </c>
      <c r="Y289" s="147">
        <f>ROUND(T289*(1+'Adaos RESELLER'!$C$121),2)</f>
        <v>6.47</v>
      </c>
      <c r="Z289" s="147">
        <f>ROUND(U289*(1+'Adaos RESELLER'!$C$121),2)</f>
        <v>5.87</v>
      </c>
    </row>
    <row r="290" spans="1:26">
      <c r="A290" s="147" t="str">
        <f>Lang!A386</f>
        <v>Dolie</v>
      </c>
      <c r="B290" s="348">
        <f>IF(Select!$E$23=1,L290,IF(Select!$E$23=2,Q290,IF(Select!$E$23=3,V290)))</f>
        <v>6.13</v>
      </c>
      <c r="C290" s="348">
        <f>IF(Select!$E$23=1,M290,IF(Select!$E$23=2,R290,IF(Select!$E$23=3,W290)))</f>
        <v>5.97</v>
      </c>
      <c r="D290" s="160">
        <f>IF(Select!$E$23=1,N290,IF(Select!$E$23=2,S290,IF(Select!$E$23=3,X290)))</f>
        <v>6.2</v>
      </c>
      <c r="E290" s="160">
        <f>IF(Select!$E$23=1,O290,IF(Select!$E$23=2,T290,IF(Select!$E$23=3,Y290)))</f>
        <v>8.61</v>
      </c>
      <c r="F290" s="160">
        <f>IF(Select!$E$23=1,P290,IF(Select!$E$23=2,U290,IF(Select!$E$23=3,Z290)))</f>
        <v>7.83</v>
      </c>
      <c r="G290" s="197">
        <v>8.2899999999999991</v>
      </c>
      <c r="H290" s="197">
        <v>8.07</v>
      </c>
      <c r="I290" s="197">
        <v>8.3800000000000008</v>
      </c>
      <c r="J290" s="197">
        <v>11.64</v>
      </c>
      <c r="K290" s="197">
        <v>10.58</v>
      </c>
      <c r="L290" s="147">
        <f>ROUND(G290*(1-'Disc Dep'!$C$121),2)</f>
        <v>6.13</v>
      </c>
      <c r="M290" s="147">
        <f>ROUND(H290*(1-'Disc Dep'!$C$121),2)</f>
        <v>5.97</v>
      </c>
      <c r="N290" s="147">
        <f>ROUND(I290*(1-'Disc Dep'!$C$121),2)</f>
        <v>6.2</v>
      </c>
      <c r="O290" s="147">
        <f>ROUND(J290*(1-'Disc Dep'!$C$121),2)</f>
        <v>8.61</v>
      </c>
      <c r="P290" s="147">
        <f>ROUND(K290*(1-'Disc Dep'!$C$121),2)</f>
        <v>7.83</v>
      </c>
      <c r="Q290" s="147">
        <f>ROUND(L290*(1+'Adaos Distr'!$C$121),2)</f>
        <v>6.13</v>
      </c>
      <c r="R290" s="147">
        <f>ROUND(M290*(1+'Adaos Distr'!$C$121),2)</f>
        <v>5.97</v>
      </c>
      <c r="S290" s="147">
        <f>ROUND(N290*(1+'Adaos Distr'!$C$121),2)</f>
        <v>6.2</v>
      </c>
      <c r="T290" s="147">
        <f>ROUND(O290*(1+'Adaos Distr'!$C$121),2)</f>
        <v>8.61</v>
      </c>
      <c r="U290" s="147">
        <f>ROUND(P290*(1+'Adaos Distr'!$C$121),2)</f>
        <v>7.83</v>
      </c>
      <c r="V290" s="147">
        <f>ROUND(Q290*(1+'Adaos RESELLER'!$C$121),2)</f>
        <v>6.13</v>
      </c>
      <c r="W290" s="147">
        <f>ROUND(R290*(1+'Adaos RESELLER'!$C$121),2)</f>
        <v>5.97</v>
      </c>
      <c r="X290" s="147">
        <f>ROUND(S290*(1+'Adaos RESELLER'!$C$121),2)</f>
        <v>6.2</v>
      </c>
      <c r="Y290" s="147">
        <f>ROUND(T290*(1+'Adaos RESELLER'!$C$121),2)</f>
        <v>8.61</v>
      </c>
      <c r="Z290" s="147">
        <f>ROUND(U290*(1+'Adaos RESELLER'!$C$121),2)</f>
        <v>7.83</v>
      </c>
    </row>
    <row r="291" spans="1:26">
      <c r="A291" s="147" t="str">
        <f>Lang!A387</f>
        <v>Pazie  Click</v>
      </c>
      <c r="B291" s="348">
        <f>IF(Select!$E$23=1,L291,IF(Select!$E$23=2,Q291,IF(Select!$E$23=3,V291)))</f>
        <v>4.5999999999999996</v>
      </c>
      <c r="C291" s="348">
        <f>IF(Select!$E$23=1,M291,IF(Select!$E$23=2,R291,IF(Select!$E$23=3,W291)))</f>
        <v>4.4800000000000004</v>
      </c>
      <c r="D291" s="160">
        <f>IF(Select!$E$23=1,N291,IF(Select!$E$23=2,S291,IF(Select!$E$23=3,X291)))</f>
        <v>4.6500000000000004</v>
      </c>
      <c r="E291" s="160">
        <f>IF(Select!$E$23=1,O291,IF(Select!$E$23=2,T291,IF(Select!$E$23=3,Y291)))</f>
        <v>6.47</v>
      </c>
      <c r="F291" s="160">
        <f>IF(Select!$E$23=1,P291,IF(Select!$E$23=2,U291,IF(Select!$E$23=3,Z291)))</f>
        <v>5.87</v>
      </c>
      <c r="G291" s="197">
        <v>6.22</v>
      </c>
      <c r="H291" s="197">
        <v>6.05</v>
      </c>
      <c r="I291" s="197">
        <v>6.29</v>
      </c>
      <c r="J291" s="197">
        <v>8.74</v>
      </c>
      <c r="K291" s="197">
        <v>7.93</v>
      </c>
      <c r="L291" s="147">
        <f>ROUND(G291*(1-'Disc Dep'!$C$121),2)</f>
        <v>4.5999999999999996</v>
      </c>
      <c r="M291" s="147">
        <f>ROUND(H291*(1-'Disc Dep'!$C$121),2)</f>
        <v>4.4800000000000004</v>
      </c>
      <c r="N291" s="147">
        <f>ROUND(I291*(1-'Disc Dep'!$C$121),2)</f>
        <v>4.6500000000000004</v>
      </c>
      <c r="O291" s="147">
        <f>ROUND(J291*(1-'Disc Dep'!$C$121),2)</f>
        <v>6.47</v>
      </c>
      <c r="P291" s="147">
        <f>ROUND(K291*(1-'Disc Dep'!$C$121),2)</f>
        <v>5.87</v>
      </c>
      <c r="Q291" s="147">
        <f>ROUND(L291*(1+'Adaos Distr'!$C$121),2)</f>
        <v>4.5999999999999996</v>
      </c>
      <c r="R291" s="147">
        <f>ROUND(M291*(1+'Adaos Distr'!$C$121),2)</f>
        <v>4.4800000000000004</v>
      </c>
      <c r="S291" s="147">
        <f>ROUND(N291*(1+'Adaos Distr'!$C$121),2)</f>
        <v>4.6500000000000004</v>
      </c>
      <c r="T291" s="147">
        <f>ROUND(O291*(1+'Adaos Distr'!$C$121),2)</f>
        <v>6.47</v>
      </c>
      <c r="U291" s="147">
        <f>ROUND(P291*(1+'Adaos Distr'!$C$121),2)</f>
        <v>5.87</v>
      </c>
      <c r="V291" s="147">
        <f>ROUND(Q291*(1+'Adaos RESELLER'!$C$121),2)</f>
        <v>4.5999999999999996</v>
      </c>
      <c r="W291" s="147">
        <f>ROUND(R291*(1+'Adaos RESELLER'!$C$121),2)</f>
        <v>4.4800000000000004</v>
      </c>
      <c r="X291" s="147">
        <f>ROUND(S291*(1+'Adaos RESELLER'!$C$121),2)</f>
        <v>4.6500000000000004</v>
      </c>
      <c r="Y291" s="147">
        <f>ROUND(T291*(1+'Adaos RESELLER'!$C$121),2)</f>
        <v>6.47</v>
      </c>
      <c r="Z291" s="147">
        <f>ROUND(U291*(1+'Adaos RESELLER'!$C$121),2)</f>
        <v>5.87</v>
      </c>
    </row>
    <row r="292" spans="1:26">
      <c r="A292" s="147" t="str">
        <f>Lang!A388</f>
        <v>Racord Perete Click</v>
      </c>
      <c r="B292" s="348">
        <f>IF(Select!$E$23=1,L292,IF(Select!$E$23=2,Q292,IF(Select!$E$23=3,V292)))</f>
        <v>4.5999999999999996</v>
      </c>
      <c r="C292" s="348">
        <f>IF(Select!$E$23=1,M292,IF(Select!$E$23=2,R292,IF(Select!$E$23=3,W292)))</f>
        <v>4.4800000000000004</v>
      </c>
      <c r="D292" s="160">
        <f>IF(Select!$E$23=1,N292,IF(Select!$E$23=2,S292,IF(Select!$E$23=3,X292)))</f>
        <v>4.6500000000000004</v>
      </c>
      <c r="E292" s="160">
        <f>IF(Select!$E$23=1,O292,IF(Select!$E$23=2,T292,IF(Select!$E$23=3,Y292)))</f>
        <v>6.47</v>
      </c>
      <c r="F292" s="160">
        <f>IF(Select!$E$23=1,P292,IF(Select!$E$23=2,U292,IF(Select!$E$23=3,Z292)))</f>
        <v>5.87</v>
      </c>
      <c r="G292" s="197">
        <v>6.22</v>
      </c>
      <c r="H292" s="197">
        <v>6.05</v>
      </c>
      <c r="I292" s="197">
        <v>6.29</v>
      </c>
      <c r="J292" s="197">
        <v>8.74</v>
      </c>
      <c r="K292" s="197">
        <v>7.93</v>
      </c>
      <c r="L292" s="147">
        <f>ROUND(G292*(1-'Disc Dep'!$C$121),2)</f>
        <v>4.5999999999999996</v>
      </c>
      <c r="M292" s="147">
        <f>ROUND(H292*(1-'Disc Dep'!$C$121),2)</f>
        <v>4.4800000000000004</v>
      </c>
      <c r="N292" s="147">
        <f>ROUND(I292*(1-'Disc Dep'!$C$121),2)</f>
        <v>4.6500000000000004</v>
      </c>
      <c r="O292" s="147">
        <f>ROUND(J292*(1-'Disc Dep'!$C$121),2)</f>
        <v>6.47</v>
      </c>
      <c r="P292" s="147">
        <f>ROUND(K292*(1-'Disc Dep'!$C$121),2)</f>
        <v>5.87</v>
      </c>
      <c r="Q292" s="147">
        <f>ROUND(L292*(1+'Adaos Distr'!$C$121),2)</f>
        <v>4.5999999999999996</v>
      </c>
      <c r="R292" s="147">
        <f>ROUND(M292*(1+'Adaos Distr'!$C$121),2)</f>
        <v>4.4800000000000004</v>
      </c>
      <c r="S292" s="147">
        <f>ROUND(N292*(1+'Adaos Distr'!$C$121),2)</f>
        <v>4.6500000000000004</v>
      </c>
      <c r="T292" s="147">
        <f>ROUND(O292*(1+'Adaos Distr'!$C$121),2)</f>
        <v>6.47</v>
      </c>
      <c r="U292" s="147">
        <f>ROUND(P292*(1+'Adaos Distr'!$C$121),2)</f>
        <v>5.87</v>
      </c>
      <c r="V292" s="147">
        <f>ROUND(Q292*(1+'Adaos RESELLER'!$C$121),2)</f>
        <v>4.5999999999999996</v>
      </c>
      <c r="W292" s="147">
        <f>ROUND(R292*(1+'Adaos RESELLER'!$C$121),2)</f>
        <v>4.4800000000000004</v>
      </c>
      <c r="X292" s="147">
        <f>ROUND(S292*(1+'Adaos RESELLER'!$C$121),2)</f>
        <v>4.6500000000000004</v>
      </c>
      <c r="Y292" s="147">
        <f>ROUND(T292*(1+'Adaos RESELLER'!$C$121),2)</f>
        <v>6.47</v>
      </c>
      <c r="Z292" s="147">
        <f>ROUND(U292*(1+'Adaos RESELLER'!$C$121),2)</f>
        <v>5.87</v>
      </c>
    </row>
    <row r="293" spans="1:26">
      <c r="A293" s="147" t="str">
        <f>Lang!A389</f>
        <v xml:space="preserve">Semicoama </v>
      </c>
      <c r="B293" s="348">
        <f>IF(Select!$E$23=1,L293,IF(Select!$E$23=2,Q293,IF(Select!$E$23=3,V293)))</f>
        <v>6.14</v>
      </c>
      <c r="C293" s="348">
        <f>IF(Select!$E$23=1,M293,IF(Select!$E$23=2,R293,IF(Select!$E$23=3,W293)))</f>
        <v>5.97</v>
      </c>
      <c r="D293" s="160">
        <f>IF(Select!$E$23=1,N293,IF(Select!$E$23=2,S293,IF(Select!$E$23=3,X293)))</f>
        <v>6.2</v>
      </c>
      <c r="E293" s="160">
        <f>IF(Select!$E$23=1,O293,IF(Select!$E$23=2,T293,IF(Select!$E$23=3,Y293)))</f>
        <v>8.61</v>
      </c>
      <c r="F293" s="160">
        <f>IF(Select!$E$23=1,P293,IF(Select!$E$23=2,U293,IF(Select!$E$23=3,Z293)))</f>
        <v>7.83</v>
      </c>
      <c r="G293" s="197">
        <v>8.3000000000000007</v>
      </c>
      <c r="H293" s="197">
        <v>8.07</v>
      </c>
      <c r="I293" s="197">
        <v>8.3800000000000008</v>
      </c>
      <c r="J293" s="197">
        <v>11.64</v>
      </c>
      <c r="K293" s="197">
        <v>10.58</v>
      </c>
      <c r="L293" s="147">
        <f>ROUND(G293*(1-'Disc Dep'!$C$121),2)</f>
        <v>6.14</v>
      </c>
      <c r="M293" s="147">
        <f>ROUND(H293*(1-'Disc Dep'!$C$121),2)</f>
        <v>5.97</v>
      </c>
      <c r="N293" s="147">
        <f>ROUND(I293*(1-'Disc Dep'!$C$121),2)</f>
        <v>6.2</v>
      </c>
      <c r="O293" s="147">
        <f>ROUND(J293*(1-'Disc Dep'!$C$121),2)</f>
        <v>8.61</v>
      </c>
      <c r="P293" s="147">
        <f>ROUND(K293*(1-'Disc Dep'!$C$121),2)</f>
        <v>7.83</v>
      </c>
      <c r="Q293" s="147">
        <f>ROUND(L293*(1+'Adaos Distr'!$C$121),2)</f>
        <v>6.14</v>
      </c>
      <c r="R293" s="147">
        <f>ROUND(M293*(1+'Adaos Distr'!$C$121),2)</f>
        <v>5.97</v>
      </c>
      <c r="S293" s="147">
        <f>ROUND(N293*(1+'Adaos Distr'!$C$121),2)</f>
        <v>6.2</v>
      </c>
      <c r="T293" s="147">
        <f>ROUND(O293*(1+'Adaos Distr'!$C$121),2)</f>
        <v>8.61</v>
      </c>
      <c r="U293" s="147">
        <f>ROUND(P293*(1+'Adaos Distr'!$C$121),2)</f>
        <v>7.83</v>
      </c>
      <c r="V293" s="147">
        <f>ROUND(Q293*(1+'Adaos RESELLER'!$C$121),2)</f>
        <v>6.14</v>
      </c>
      <c r="W293" s="147">
        <f>ROUND(R293*(1+'Adaos RESELLER'!$C$121),2)</f>
        <v>5.97</v>
      </c>
      <c r="X293" s="147">
        <f>ROUND(S293*(1+'Adaos RESELLER'!$C$121),2)</f>
        <v>6.2</v>
      </c>
      <c r="Y293" s="147">
        <f>ROUND(T293*(1+'Adaos RESELLER'!$C$121),2)</f>
        <v>8.61</v>
      </c>
      <c r="Z293" s="147">
        <f>ROUND(U293*(1+'Adaos RESELLER'!$C$121),2)</f>
        <v>7.83</v>
      </c>
    </row>
    <row r="294" spans="1:26">
      <c r="A294" s="147" t="str">
        <f>Lang!A390</f>
        <v>Sort  Click streasina</v>
      </c>
      <c r="B294" s="348">
        <f>IF(Select!$E$23=1,L294,IF(Select!$E$23=2,Q294,IF(Select!$E$23=3,V294)))</f>
        <v>3.54</v>
      </c>
      <c r="C294" s="348">
        <f>IF(Select!$E$23=1,M294,IF(Select!$E$23=2,R294,IF(Select!$E$23=3,W294)))</f>
        <v>3.54</v>
      </c>
      <c r="D294" s="160">
        <f>IF(Select!$E$23=1,N294,IF(Select!$E$23=2,S294,IF(Select!$E$23=3,X294)))</f>
        <v>3.8</v>
      </c>
      <c r="E294" s="160">
        <f>IF(Select!$E$23=1,O294,IF(Select!$E$23=2,T294,IF(Select!$E$23=3,Y294)))</f>
        <v>5.08</v>
      </c>
      <c r="F294" s="160">
        <f>IF(Select!$E$23=1,P294,IF(Select!$E$23=2,U294,IF(Select!$E$23=3,Z294)))</f>
        <v>4.6500000000000004</v>
      </c>
      <c r="G294" s="197">
        <v>4.79</v>
      </c>
      <c r="H294" s="197">
        <v>4.79</v>
      </c>
      <c r="I294" s="197">
        <v>5.14</v>
      </c>
      <c r="J294" s="197">
        <v>6.87</v>
      </c>
      <c r="K294" s="197">
        <v>6.28</v>
      </c>
      <c r="L294" s="147">
        <f>ROUND(G294*(1-'Disc Dep'!$C$121),2)</f>
        <v>3.54</v>
      </c>
      <c r="M294" s="147">
        <f>ROUND(H294*(1-'Disc Dep'!$C$121),2)</f>
        <v>3.54</v>
      </c>
      <c r="N294" s="147">
        <f>ROUND(I294*(1-'Disc Dep'!$C$121),2)</f>
        <v>3.8</v>
      </c>
      <c r="O294" s="147">
        <f>ROUND(J294*(1-'Disc Dep'!$C$121),2)</f>
        <v>5.08</v>
      </c>
      <c r="P294" s="147">
        <f>ROUND(K294*(1-'Disc Dep'!$C$121),2)</f>
        <v>4.6500000000000004</v>
      </c>
      <c r="Q294" s="147">
        <f>ROUND(L294*(1+'Adaos Distr'!$C$121),2)</f>
        <v>3.54</v>
      </c>
      <c r="R294" s="147">
        <f>ROUND(M294*(1+'Adaos Distr'!$C$121),2)</f>
        <v>3.54</v>
      </c>
      <c r="S294" s="147">
        <f>ROUND(N294*(1+'Adaos Distr'!$C$121),2)</f>
        <v>3.8</v>
      </c>
      <c r="T294" s="147">
        <f>ROUND(O294*(1+'Adaos Distr'!$C$121),2)</f>
        <v>5.08</v>
      </c>
      <c r="U294" s="147">
        <f>ROUND(P294*(1+'Adaos Distr'!$C$121),2)</f>
        <v>4.6500000000000004</v>
      </c>
      <c r="V294" s="147">
        <f>ROUND(Q294*(1+'Adaos RESELLER'!$C$121),2)</f>
        <v>3.54</v>
      </c>
      <c r="W294" s="147">
        <f>ROUND(R294*(1+'Adaos RESELLER'!$C$121),2)</f>
        <v>3.54</v>
      </c>
      <c r="X294" s="147">
        <f>ROUND(S294*(1+'Adaos RESELLER'!$C$121),2)</f>
        <v>3.8</v>
      </c>
      <c r="Y294" s="147">
        <f>ROUND(T294*(1+'Adaos RESELLER'!$C$121),2)</f>
        <v>5.08</v>
      </c>
      <c r="Z294" s="147">
        <f>ROUND(U294*(1+'Adaos RESELLER'!$C$121),2)</f>
        <v>4.6500000000000004</v>
      </c>
    </row>
    <row r="295" spans="1:26">
      <c r="A295" s="147" t="str">
        <f>Lang!A391</f>
        <v>Sort imbinare Click</v>
      </c>
      <c r="B295" s="348">
        <f>IF(Select!$E$23=1,L295,IF(Select!$E$23=2,Q295,IF(Select!$E$23=3,V295)))</f>
        <v>1.18</v>
      </c>
      <c r="C295" s="348">
        <f>IF(Select!$E$23=1,M295,IF(Select!$E$23=2,R295,IF(Select!$E$23=3,W295)))</f>
        <v>1.18</v>
      </c>
      <c r="D295" s="160">
        <f>IF(Select!$E$23=1,N295,IF(Select!$E$23=2,S295,IF(Select!$E$23=3,X295)))</f>
        <v>1.32</v>
      </c>
      <c r="E295" s="160">
        <f>IF(Select!$E$23=1,O295,IF(Select!$E$23=2,T295,IF(Select!$E$23=3,Y295)))</f>
        <v>1.75</v>
      </c>
      <c r="F295" s="160">
        <f>IF(Select!$E$23=1,P295,IF(Select!$E$23=2,U295,IF(Select!$E$23=3,Z295)))</f>
        <v>1.6</v>
      </c>
      <c r="G295" s="197">
        <v>1.6</v>
      </c>
      <c r="H295" s="197">
        <v>1.6</v>
      </c>
      <c r="I295" s="197">
        <v>1.78</v>
      </c>
      <c r="J295" s="197">
        <v>2.36</v>
      </c>
      <c r="K295" s="197">
        <v>2.16</v>
      </c>
      <c r="L295" s="147">
        <f>ROUND(G295*(1-'Disc Dep'!$C$121),2)</f>
        <v>1.18</v>
      </c>
      <c r="M295" s="147">
        <f>ROUND(H295*(1-'Disc Dep'!$C$121),2)</f>
        <v>1.18</v>
      </c>
      <c r="N295" s="147">
        <f>ROUND(I295*(1-'Disc Dep'!$C$121),2)</f>
        <v>1.32</v>
      </c>
      <c r="O295" s="147">
        <f>ROUND(J295*(1-'Disc Dep'!$C$121),2)</f>
        <v>1.75</v>
      </c>
      <c r="P295" s="147">
        <f>ROUND(K295*(1-'Disc Dep'!$C$121),2)</f>
        <v>1.6</v>
      </c>
      <c r="Q295" s="147">
        <f>ROUND(L295*(1+'Adaos Distr'!$C$121),2)</f>
        <v>1.18</v>
      </c>
      <c r="R295" s="147">
        <f>ROUND(M295*(1+'Adaos Distr'!$C$121),2)</f>
        <v>1.18</v>
      </c>
      <c r="S295" s="147">
        <f>ROUND(N295*(1+'Adaos Distr'!$C$121),2)</f>
        <v>1.32</v>
      </c>
      <c r="T295" s="147">
        <f>ROUND(O295*(1+'Adaos Distr'!$C$121),2)</f>
        <v>1.75</v>
      </c>
      <c r="U295" s="147">
        <f>ROUND(P295*(1+'Adaos Distr'!$C$121),2)</f>
        <v>1.6</v>
      </c>
      <c r="V295" s="147">
        <f>ROUND(Q295*(1+'Adaos RESELLER'!$C$121),2)</f>
        <v>1.18</v>
      </c>
      <c r="W295" s="147">
        <f>ROUND(R295*(1+'Adaos RESELLER'!$C$121),2)</f>
        <v>1.18</v>
      </c>
      <c r="X295" s="147">
        <f>ROUND(S295*(1+'Adaos RESELLER'!$C$121),2)</f>
        <v>1.32</v>
      </c>
      <c r="Y295" s="147">
        <f>ROUND(T295*(1+'Adaos RESELLER'!$C$121),2)</f>
        <v>1.75</v>
      </c>
      <c r="Z295" s="147">
        <f>ROUND(U295*(1+'Adaos RESELLER'!$C$121),2)</f>
        <v>1.6</v>
      </c>
    </row>
    <row r="296" spans="1:26">
      <c r="A296" s="147" t="str">
        <f>Lang!A392</f>
        <v>Piesa imbinare Click</v>
      </c>
      <c r="B296" s="348">
        <f>IF(Select!$E$23=1,L296,IF(Select!$E$23=2,Q296,IF(Select!$E$23=3,V296)))</f>
        <v>0.81</v>
      </c>
      <c r="C296" s="348">
        <f>IF(Select!$E$23=1,M296,IF(Select!$E$23=2,R296,IF(Select!$E$23=3,W296)))</f>
        <v>0.81</v>
      </c>
      <c r="D296" s="160">
        <f>IF(Select!$E$23=1,N296,IF(Select!$E$23=2,S296,IF(Select!$E$23=3,X296)))</f>
        <v>0.88</v>
      </c>
      <c r="E296" s="160">
        <f>IF(Select!$E$23=1,O296,IF(Select!$E$23=2,T296,IF(Select!$E$23=3,Y296)))</f>
        <v>1.17</v>
      </c>
      <c r="F296" s="160">
        <f>IF(Select!$E$23=1,P296,IF(Select!$E$23=2,U296,IF(Select!$E$23=3,Z296)))</f>
        <v>1.07</v>
      </c>
      <c r="G296" s="197">
        <v>1.1000000000000001</v>
      </c>
      <c r="H296" s="197">
        <v>1.1000000000000001</v>
      </c>
      <c r="I296" s="197">
        <v>1.19</v>
      </c>
      <c r="J296" s="197">
        <v>1.58</v>
      </c>
      <c r="K296" s="197">
        <v>1.44</v>
      </c>
      <c r="L296" s="147">
        <f>ROUND(G296*(1-'Disc Dep'!$C$121),2)</f>
        <v>0.81</v>
      </c>
      <c r="M296" s="147">
        <f>ROUND(H296*(1-'Disc Dep'!$C$121),2)</f>
        <v>0.81</v>
      </c>
      <c r="N296" s="147">
        <f>ROUND(I296*(1-'Disc Dep'!$C$121),2)</f>
        <v>0.88</v>
      </c>
      <c r="O296" s="147">
        <f>ROUND(J296*(1-'Disc Dep'!$C$121),2)</f>
        <v>1.17</v>
      </c>
      <c r="P296" s="147">
        <f>ROUND(K296*(1-'Disc Dep'!$C$121),2)</f>
        <v>1.07</v>
      </c>
      <c r="Q296" s="147">
        <f>ROUND(L296*(1+'Adaos Distr'!$C$121),2)</f>
        <v>0.81</v>
      </c>
      <c r="R296" s="147">
        <f>ROUND(M296*(1+'Adaos Distr'!$C$121),2)</f>
        <v>0.81</v>
      </c>
      <c r="S296" s="147">
        <f>ROUND(N296*(1+'Adaos Distr'!$C$121),2)</f>
        <v>0.88</v>
      </c>
      <c r="T296" s="147">
        <f>ROUND(O296*(1+'Adaos Distr'!$C$121),2)</f>
        <v>1.17</v>
      </c>
      <c r="U296" s="147">
        <f>ROUND(P296*(1+'Adaos Distr'!$C$121),2)</f>
        <v>1.07</v>
      </c>
      <c r="V296" s="147">
        <f>ROUND(Q296*(1+'Adaos RESELLER'!$C$121),2)</f>
        <v>0.81</v>
      </c>
      <c r="W296" s="147">
        <f>ROUND(R296*(1+'Adaos RESELLER'!$C$121),2)</f>
        <v>0.81</v>
      </c>
      <c r="X296" s="147">
        <f>ROUND(S296*(1+'Adaos RESELLER'!$C$121),2)</f>
        <v>0.88</v>
      </c>
      <c r="Y296" s="147">
        <f>ROUND(T296*(1+'Adaos RESELLER'!$C$121),2)</f>
        <v>1.17</v>
      </c>
      <c r="Z296" s="147">
        <f>ROUND(U296*(1+'Adaos RESELLER'!$C$121),2)</f>
        <v>1.07</v>
      </c>
    </row>
    <row r="297" spans="1:26">
      <c r="A297" s="147" t="str">
        <f>Lang!A393</f>
        <v>Rupere panta interior</v>
      </c>
      <c r="B297" s="348">
        <f>IF(Select!$E$23=1,L297,IF(Select!$E$23=2,Q297,IF(Select!$E$23=3,V297)))</f>
        <v>4.5999999999999996</v>
      </c>
      <c r="C297" s="348">
        <f>IF(Select!$E$23=1,M297,IF(Select!$E$23=2,R297,IF(Select!$E$23=3,W297)))</f>
        <v>4.4800000000000004</v>
      </c>
      <c r="D297" s="160">
        <f>IF(Select!$E$23=1,N297,IF(Select!$E$23=2,S297,IF(Select!$E$23=3,X297)))</f>
        <v>4.6500000000000004</v>
      </c>
      <c r="E297" s="160">
        <f>IF(Select!$E$23=1,O297,IF(Select!$E$23=2,T297,IF(Select!$E$23=3,Y297)))</f>
        <v>6.47</v>
      </c>
      <c r="F297" s="160">
        <f>IF(Select!$E$23=1,P297,IF(Select!$E$23=2,U297,IF(Select!$E$23=3,Z297)))</f>
        <v>5.87</v>
      </c>
      <c r="G297" s="197">
        <v>6.22</v>
      </c>
      <c r="H297" s="197">
        <v>6.05</v>
      </c>
      <c r="I297" s="197">
        <v>6.29</v>
      </c>
      <c r="J297" s="197">
        <v>8.74</v>
      </c>
      <c r="K297" s="197">
        <v>7.93</v>
      </c>
      <c r="L297" s="147">
        <f>ROUND(G297*(1-'Disc Dep'!$C$121),2)</f>
        <v>4.5999999999999996</v>
      </c>
      <c r="M297" s="147">
        <f>ROUND(H297*(1-'Disc Dep'!$C$121),2)</f>
        <v>4.4800000000000004</v>
      </c>
      <c r="N297" s="147">
        <f>ROUND(I297*(1-'Disc Dep'!$C$121),2)</f>
        <v>4.6500000000000004</v>
      </c>
      <c r="O297" s="147">
        <f>ROUND(J297*(1-'Disc Dep'!$C$121),2)</f>
        <v>6.47</v>
      </c>
      <c r="P297" s="147">
        <f>ROUND(K297*(1-'Disc Dep'!$C$121),2)</f>
        <v>5.87</v>
      </c>
      <c r="Q297" s="147">
        <f>ROUND(L297*(1+'Adaos Distr'!$C$121),2)</f>
        <v>4.5999999999999996</v>
      </c>
      <c r="R297" s="147">
        <f>ROUND(M297*(1+'Adaos Distr'!$C$121),2)</f>
        <v>4.4800000000000004</v>
      </c>
      <c r="S297" s="147">
        <f>ROUND(N297*(1+'Adaos Distr'!$C$121),2)</f>
        <v>4.6500000000000004</v>
      </c>
      <c r="T297" s="147">
        <f>ROUND(O297*(1+'Adaos Distr'!$C$121),2)</f>
        <v>6.47</v>
      </c>
      <c r="U297" s="147">
        <f>ROUND(P297*(1+'Adaos Distr'!$C$121),2)</f>
        <v>5.87</v>
      </c>
      <c r="V297" s="147">
        <f>ROUND(Q297*(1+'Adaos RESELLER'!$C$121),2)</f>
        <v>4.5999999999999996</v>
      </c>
      <c r="W297" s="147">
        <f>ROUND(R297*(1+'Adaos RESELLER'!$C$121),2)</f>
        <v>4.4800000000000004</v>
      </c>
      <c r="X297" s="147">
        <f>ROUND(S297*(1+'Adaos RESELLER'!$C$121),2)</f>
        <v>4.6500000000000004</v>
      </c>
      <c r="Y297" s="147">
        <f>ROUND(T297*(1+'Adaos RESELLER'!$C$121),2)</f>
        <v>6.47</v>
      </c>
      <c r="Z297" s="147">
        <f>ROUND(U297*(1+'Adaos RESELLER'!$C$121),2)</f>
        <v>5.87</v>
      </c>
    </row>
    <row r="298" spans="1:26">
      <c r="A298" s="147" t="str">
        <f>Lang!A394</f>
        <v>Rupere panta exerior Click</v>
      </c>
      <c r="B298" s="348">
        <f>IF(Select!$E$23=1,L298,IF(Select!$E$23=2,Q298,IF(Select!$E$23=3,V298)))</f>
        <v>6.04</v>
      </c>
      <c r="C298" s="348">
        <f>IF(Select!$E$23=1,M298,IF(Select!$E$23=2,R298,IF(Select!$E$23=3,W298)))</f>
        <v>6.04</v>
      </c>
      <c r="D298" s="160">
        <f>IF(Select!$E$23=1,N298,IF(Select!$E$23=2,S298,IF(Select!$E$23=3,X298)))</f>
        <v>6.49</v>
      </c>
      <c r="E298" s="160">
        <f>IF(Select!$E$23=1,O298,IF(Select!$E$23=2,T298,IF(Select!$E$23=3,Y298)))</f>
        <v>8.69</v>
      </c>
      <c r="F298" s="160">
        <f>IF(Select!$E$23=1,P298,IF(Select!$E$23=2,U298,IF(Select!$E$23=3,Z298)))</f>
        <v>7.93</v>
      </c>
      <c r="G298" s="197">
        <v>8.16</v>
      </c>
      <c r="H298" s="197">
        <v>8.16</v>
      </c>
      <c r="I298" s="197">
        <v>8.77</v>
      </c>
      <c r="J298" s="197">
        <v>11.74</v>
      </c>
      <c r="K298" s="197">
        <v>10.72</v>
      </c>
      <c r="L298" s="147">
        <f>ROUND(G298*(1-'Disc Dep'!$C$121),2)</f>
        <v>6.04</v>
      </c>
      <c r="M298" s="147">
        <f>ROUND(H298*(1-'Disc Dep'!$C$121),2)</f>
        <v>6.04</v>
      </c>
      <c r="N298" s="147">
        <f>ROUND(I298*(1-'Disc Dep'!$C$121),2)</f>
        <v>6.49</v>
      </c>
      <c r="O298" s="147">
        <f>ROUND(J298*(1-'Disc Dep'!$C$121),2)</f>
        <v>8.69</v>
      </c>
      <c r="P298" s="147">
        <f>ROUND(K298*(1-'Disc Dep'!$C$121),2)</f>
        <v>7.93</v>
      </c>
      <c r="Q298" s="147">
        <f>ROUND(L298*(1+'Adaos Distr'!$C$121),2)</f>
        <v>6.04</v>
      </c>
      <c r="R298" s="147">
        <f>ROUND(M298*(1+'Adaos Distr'!$C$121),2)</f>
        <v>6.04</v>
      </c>
      <c r="S298" s="147">
        <f>ROUND(N298*(1+'Adaos Distr'!$C$121),2)</f>
        <v>6.49</v>
      </c>
      <c r="T298" s="147">
        <f>ROUND(O298*(1+'Adaos Distr'!$C$121),2)</f>
        <v>8.69</v>
      </c>
      <c r="U298" s="147">
        <f>ROUND(P298*(1+'Adaos Distr'!$C$121),2)</f>
        <v>7.93</v>
      </c>
      <c r="V298" s="147">
        <f>ROUND(Q298*(1+'Adaos RESELLER'!$C$121),2)</f>
        <v>6.04</v>
      </c>
      <c r="W298" s="147">
        <f>ROUND(R298*(1+'Adaos RESELLER'!$C$121),2)</f>
        <v>6.04</v>
      </c>
      <c r="X298" s="147">
        <f>ROUND(S298*(1+'Adaos RESELLER'!$C$121),2)</f>
        <v>6.49</v>
      </c>
      <c r="Y298" s="147">
        <f>ROUND(T298*(1+'Adaos RESELLER'!$C$121),2)</f>
        <v>8.69</v>
      </c>
      <c r="Z298" s="147">
        <f>ROUND(U298*(1+'Adaos RESELLER'!$C$121),2)</f>
        <v>7.93</v>
      </c>
    </row>
    <row r="299" spans="1:26">
      <c r="A299" s="147" t="str">
        <f>Lang!A395</f>
        <v>Suport inchideri Click</v>
      </c>
      <c r="B299" s="348">
        <f>IF(Select!$E$23=1,L299,IF(Select!$E$23=2,Q299,IF(Select!$E$23=3,V299)))</f>
        <v>1.75</v>
      </c>
      <c r="C299" s="348">
        <f>IF(Select!$E$23=1,M299,IF(Select!$E$23=2,R299,IF(Select!$E$23=3,W299)))</f>
        <v>1.75</v>
      </c>
      <c r="D299" s="348">
        <f>IF(Select!$E$23=1,N299,IF(Select!$E$23=2,S299,IF(Select!$E$23=3,X299)))</f>
        <v>1.97</v>
      </c>
      <c r="E299" s="348">
        <f>IF(Select!$E$23=1,O299,IF(Select!$E$23=2,T299,IF(Select!$E$23=3,Y299)))</f>
        <v>2.4900000000000002</v>
      </c>
      <c r="F299" s="348">
        <f>IF(Select!$E$23=1,P299,IF(Select!$E$23=2,U299,IF(Select!$E$23=3,Z299)))</f>
        <v>2.2599999999999998</v>
      </c>
      <c r="G299" s="197">
        <v>2.37</v>
      </c>
      <c r="H299" s="197">
        <v>2.37</v>
      </c>
      <c r="I299" s="197">
        <v>2.66</v>
      </c>
      <c r="J299" s="197">
        <v>3.36</v>
      </c>
      <c r="K299" s="197">
        <v>3.06</v>
      </c>
      <c r="L299" s="147">
        <f>ROUND(G299*(1-'Disc Dep'!$C$121),2)</f>
        <v>1.75</v>
      </c>
      <c r="M299" s="147">
        <f>ROUND(H299*(1-'Disc Dep'!$C$121),2)</f>
        <v>1.75</v>
      </c>
      <c r="N299" s="147">
        <f>ROUND(I299*(1-'Disc Dep'!$C$121),2)</f>
        <v>1.97</v>
      </c>
      <c r="O299" s="147">
        <f>ROUND(J299*(1-'Disc Dep'!$C$121),2)</f>
        <v>2.4900000000000002</v>
      </c>
      <c r="P299" s="147">
        <f>ROUND(K299*(1-'Disc Dep'!$C$121),2)</f>
        <v>2.2599999999999998</v>
      </c>
      <c r="Q299" s="147">
        <f>ROUND(L299*(1+'Adaos Distr'!$C$121),2)</f>
        <v>1.75</v>
      </c>
      <c r="R299" s="147">
        <f>ROUND(M299*(1+'Adaos Distr'!$C$121),2)</f>
        <v>1.75</v>
      </c>
      <c r="S299" s="147">
        <f>ROUND(N299*(1+'Adaos Distr'!$C$121),2)</f>
        <v>1.97</v>
      </c>
      <c r="T299" s="147">
        <f>ROUND(O299*(1+'Adaos Distr'!$C$121),2)</f>
        <v>2.4900000000000002</v>
      </c>
      <c r="U299" s="147">
        <f>ROUND(P299*(1+'Adaos Distr'!$C$121),2)</f>
        <v>2.2599999999999998</v>
      </c>
      <c r="V299" s="147">
        <f>ROUND(Q299*(1+'Adaos RESELLER'!$C$121),2)</f>
        <v>1.75</v>
      </c>
      <c r="W299" s="147">
        <f>ROUND(R299*(1+'Adaos RESELLER'!$C$121),2)</f>
        <v>1.75</v>
      </c>
      <c r="X299" s="147">
        <f>ROUND(S299*(1+'Adaos RESELLER'!$C$121),2)</f>
        <v>1.97</v>
      </c>
      <c r="Y299" s="147">
        <f>ROUND(T299*(1+'Adaos RESELLER'!$C$121),2)</f>
        <v>2.4900000000000002</v>
      </c>
      <c r="Z299" s="147">
        <f>ROUND(U299*(1+'Adaos RESELLER'!$C$121),2)</f>
        <v>2.2599999999999998</v>
      </c>
    </row>
    <row r="300" spans="1:26">
      <c r="A300" s="147" t="str">
        <f>Lang!A396</f>
        <v>Profil ventilatie coama Click(Negru/Gri)</v>
      </c>
      <c r="B300" s="161">
        <f>IF(Select!$E$23=1,L300,IF(Select!$E$23=2,Q300,IF(Select!$E$23=3,V300)))</f>
        <v>3.44</v>
      </c>
      <c r="C300" s="161">
        <f>B300</f>
        <v>3.44</v>
      </c>
      <c r="D300" s="161">
        <f>C300</f>
        <v>3.44</v>
      </c>
      <c r="E300" s="161">
        <f>D300</f>
        <v>3.44</v>
      </c>
      <c r="F300" s="161">
        <f>E300</f>
        <v>3.44</v>
      </c>
      <c r="G300" s="892">
        <v>4.3</v>
      </c>
      <c r="H300" s="892"/>
      <c r="I300" s="892"/>
      <c r="J300" s="892"/>
      <c r="K300" s="892"/>
      <c r="L300" s="892">
        <f>ROUND(G300*(1-'Disc Dep'!$C$113),2)</f>
        <v>3.44</v>
      </c>
      <c r="M300" s="892"/>
      <c r="N300" s="892"/>
      <c r="O300" s="892"/>
      <c r="P300" s="892"/>
      <c r="Q300" s="892">
        <f>ROUND(L300*(1+'Adaos Distr'!$C$113),2)</f>
        <v>3.44</v>
      </c>
      <c r="R300" s="892"/>
      <c r="S300" s="892"/>
      <c r="T300" s="892"/>
      <c r="U300" s="892"/>
      <c r="V300" s="892">
        <f>ROUND(Q300*(1+'Adaos RESELLER'!$C$113),2)</f>
        <v>3.44</v>
      </c>
      <c r="W300" s="892"/>
      <c r="X300" s="892"/>
      <c r="Y300" s="892"/>
      <c r="Z300" s="892"/>
    </row>
    <row r="301" spans="1:26">
      <c r="A301" s="147" t="str">
        <f>Lang!A397</f>
        <v>Banda fonica Click</v>
      </c>
      <c r="B301" s="161">
        <f>IF(Select!$E$23=1,L301,IF(Select!$E$23=2,Q301,IF(Select!$E$23=3,V301)))</f>
        <v>8.44</v>
      </c>
      <c r="C301" s="161">
        <f t="shared" ref="C301:F306" si="48">B301</f>
        <v>8.44</v>
      </c>
      <c r="D301" s="161">
        <f t="shared" si="48"/>
        <v>8.44</v>
      </c>
      <c r="E301" s="161">
        <f t="shared" si="48"/>
        <v>8.44</v>
      </c>
      <c r="F301" s="161">
        <f t="shared" si="48"/>
        <v>8.44</v>
      </c>
      <c r="G301" s="892">
        <v>10.55</v>
      </c>
      <c r="H301" s="892">
        <v>10.5</v>
      </c>
      <c r="I301" s="892">
        <v>10.5</v>
      </c>
      <c r="J301" s="892">
        <v>10.5</v>
      </c>
      <c r="K301" s="892">
        <v>10.5</v>
      </c>
      <c r="L301" s="892">
        <f>ROUND(G301*(1-'Disc Dep'!$C$113),2)</f>
        <v>8.44</v>
      </c>
      <c r="M301" s="892"/>
      <c r="N301" s="892"/>
      <c r="O301" s="892"/>
      <c r="P301" s="892"/>
      <c r="Q301" s="892">
        <f>ROUND(L301*(1+'Adaos Distr'!$C$113),2)</f>
        <v>8.44</v>
      </c>
      <c r="R301" s="892"/>
      <c r="S301" s="892"/>
      <c r="T301" s="892"/>
      <c r="U301" s="892"/>
      <c r="V301" s="892">
        <f>ROUND(Q301*(1+'Adaos RESELLER'!$C$113),2)</f>
        <v>8.44</v>
      </c>
      <c r="W301" s="892"/>
      <c r="X301" s="892"/>
      <c r="Y301" s="892"/>
      <c r="Z301" s="892"/>
    </row>
    <row r="302" spans="1:26">
      <c r="A302" s="147" t="str">
        <f>Lang!A398</f>
        <v>Suport Parazapada Click  ( Negru/Gri )</v>
      </c>
      <c r="B302" s="161">
        <f>IF(Select!$E$23=1,L302,IF(Select!$E$23=2,Q302,IF(Select!$E$23=3,V302)))</f>
        <v>10.97</v>
      </c>
      <c r="C302" s="161">
        <f t="shared" si="48"/>
        <v>10.97</v>
      </c>
      <c r="D302" s="161">
        <f t="shared" si="48"/>
        <v>10.97</v>
      </c>
      <c r="E302" s="161">
        <f t="shared" si="48"/>
        <v>10.97</v>
      </c>
      <c r="F302" s="161">
        <f t="shared" si="48"/>
        <v>10.97</v>
      </c>
      <c r="G302" s="892">
        <v>13.71</v>
      </c>
      <c r="H302" s="892">
        <v>10.56</v>
      </c>
      <c r="I302" s="892">
        <v>10.56</v>
      </c>
      <c r="J302" s="892">
        <v>10.56</v>
      </c>
      <c r="K302" s="892">
        <v>10.56</v>
      </c>
      <c r="L302" s="892">
        <f>ROUND(G302*(1-'Disc Dep'!$C$113),2)</f>
        <v>10.97</v>
      </c>
      <c r="M302" s="892"/>
      <c r="N302" s="892"/>
      <c r="O302" s="892"/>
      <c r="P302" s="892"/>
      <c r="Q302" s="892">
        <f>ROUND(L302*(1+'Adaos Distr'!$C$113),2)</f>
        <v>10.97</v>
      </c>
      <c r="R302" s="892"/>
      <c r="S302" s="892"/>
      <c r="T302" s="892"/>
      <c r="U302" s="892"/>
      <c r="V302" s="892">
        <f>ROUND(Q302*(1+'Adaos RESELLER'!$C$113),2)</f>
        <v>10.97</v>
      </c>
      <c r="W302" s="892"/>
      <c r="X302" s="892"/>
      <c r="Y302" s="892"/>
      <c r="Z302" s="892"/>
    </row>
    <row r="303" spans="1:26">
      <c r="A303" s="147" t="str">
        <f>Lang!A399</f>
        <v>Bara parazapada click 2m ( Negru/Gri )</v>
      </c>
      <c r="B303" s="161">
        <f>IF(Select!$E$23=1,L303,IF(Select!$E$23=2,Q303,IF(Select!$E$23=3,V303)))</f>
        <v>8.49</v>
      </c>
      <c r="C303" s="161">
        <f t="shared" si="48"/>
        <v>8.49</v>
      </c>
      <c r="D303" s="161">
        <f t="shared" si="48"/>
        <v>8.49</v>
      </c>
      <c r="E303" s="161">
        <f t="shared" si="48"/>
        <v>8.49</v>
      </c>
      <c r="F303" s="161">
        <f t="shared" si="48"/>
        <v>8.49</v>
      </c>
      <c r="G303" s="892">
        <v>10.61</v>
      </c>
      <c r="H303" s="892">
        <v>2.2999999999999998</v>
      </c>
      <c r="I303" s="892">
        <v>2.2999999999999998</v>
      </c>
      <c r="J303" s="892">
        <v>2.2999999999999998</v>
      </c>
      <c r="K303" s="892">
        <v>2.2999999999999998</v>
      </c>
      <c r="L303" s="892">
        <f>ROUND(G303*(1-'Disc Dep'!$C$113),2)</f>
        <v>8.49</v>
      </c>
      <c r="M303" s="892"/>
      <c r="N303" s="892"/>
      <c r="O303" s="892"/>
      <c r="P303" s="892"/>
      <c r="Q303" s="892">
        <f>ROUND(L303*(1+'Adaos Distr'!$C$113),2)</f>
        <v>8.49</v>
      </c>
      <c r="R303" s="892"/>
      <c r="S303" s="892"/>
      <c r="T303" s="892"/>
      <c r="U303" s="892"/>
      <c r="V303" s="892">
        <f>ROUND(Q303*(1+'Adaos RESELLER'!$C$113),2)</f>
        <v>8.49</v>
      </c>
      <c r="W303" s="892"/>
      <c r="X303" s="892"/>
      <c r="Y303" s="892"/>
      <c r="Z303" s="892"/>
    </row>
    <row r="304" spans="1:26">
      <c r="A304" s="147" t="str">
        <f>Lang!A400</f>
        <v>Conector bara ( Negru/Gri )</v>
      </c>
      <c r="B304" s="161">
        <f>IF(Select!$E$23=1,L304,IF(Select!$E$23=2,Q304,IF(Select!$E$23=3,V304)))</f>
        <v>2.4500000000000002</v>
      </c>
      <c r="C304" s="161">
        <f t="shared" si="48"/>
        <v>2.4500000000000002</v>
      </c>
      <c r="D304" s="161">
        <f t="shared" si="48"/>
        <v>2.4500000000000002</v>
      </c>
      <c r="E304" s="161">
        <f t="shared" si="48"/>
        <v>2.4500000000000002</v>
      </c>
      <c r="F304" s="161">
        <f t="shared" si="48"/>
        <v>2.4500000000000002</v>
      </c>
      <c r="G304" s="892">
        <v>3.06</v>
      </c>
      <c r="H304" s="892">
        <v>0.3</v>
      </c>
      <c r="I304" s="892">
        <v>0.3</v>
      </c>
      <c r="J304" s="892">
        <v>0.3</v>
      </c>
      <c r="K304" s="892">
        <v>0.3</v>
      </c>
      <c r="L304" s="892">
        <f>ROUND(G304*(1-'Disc Dep'!$C$113),2)</f>
        <v>2.4500000000000002</v>
      </c>
      <c r="M304" s="892"/>
      <c r="N304" s="892"/>
      <c r="O304" s="892"/>
      <c r="P304" s="892"/>
      <c r="Q304" s="892">
        <f>ROUND(L304*(1+'Adaos Distr'!$C$113),2)</f>
        <v>2.4500000000000002</v>
      </c>
      <c r="R304" s="892"/>
      <c r="S304" s="892"/>
      <c r="T304" s="892"/>
      <c r="U304" s="892"/>
      <c r="V304" s="892">
        <f>ROUND(Q304*(1+'Adaos RESELLER'!$C$113),2)</f>
        <v>2.4500000000000002</v>
      </c>
      <c r="W304" s="892"/>
      <c r="X304" s="892"/>
      <c r="Y304" s="892"/>
      <c r="Z304" s="892"/>
    </row>
    <row r="305" spans="1:26">
      <c r="A305" s="147" t="str">
        <f>Lang!A401</f>
        <v>Capac bara ( Negru/Gri )</v>
      </c>
      <c r="B305" s="161">
        <f>IF(Select!$E$23=1,L305,IF(Select!$E$23=2,Q305,IF(Select!$E$23=3,V305)))</f>
        <v>0.96</v>
      </c>
      <c r="C305" s="161">
        <f t="shared" si="48"/>
        <v>0.96</v>
      </c>
      <c r="D305" s="161">
        <f t="shared" si="48"/>
        <v>0.96</v>
      </c>
      <c r="E305" s="161">
        <f t="shared" si="48"/>
        <v>0.96</v>
      </c>
      <c r="F305" s="161">
        <f t="shared" si="48"/>
        <v>0.96</v>
      </c>
      <c r="G305" s="892">
        <v>1.2</v>
      </c>
      <c r="H305" s="892">
        <v>0.31</v>
      </c>
      <c r="I305" s="892">
        <v>0.31</v>
      </c>
      <c r="J305" s="892">
        <v>0.31</v>
      </c>
      <c r="K305" s="892">
        <v>0.31</v>
      </c>
      <c r="L305" s="892">
        <f>ROUND(G305*(1-'Disc Dep'!$C$113),2)</f>
        <v>0.96</v>
      </c>
      <c r="M305" s="892"/>
      <c r="N305" s="892"/>
      <c r="O305" s="892"/>
      <c r="P305" s="892"/>
      <c r="Q305" s="892">
        <f>ROUND(L305*(1+'Adaos Distr'!$C$113),2)</f>
        <v>0.96</v>
      </c>
      <c r="R305" s="892"/>
      <c r="S305" s="892"/>
      <c r="T305" s="892"/>
      <c r="U305" s="892"/>
      <c r="V305" s="892">
        <f>ROUND(Q305*(1+'Adaos RESELLER'!$C$113),2)</f>
        <v>0.96</v>
      </c>
      <c r="W305" s="892"/>
      <c r="X305" s="892"/>
      <c r="Y305" s="892"/>
      <c r="Z305" s="892"/>
    </row>
    <row r="306" spans="1:26">
      <c r="A306" s="147" t="str">
        <f>Lang!A402</f>
        <v>Blocator bara</v>
      </c>
      <c r="B306" s="161">
        <f>IF(Select!$E$23=1,L306,IF(Select!$E$23=2,Q306,IF(Select!$E$23=3,V306)))</f>
        <v>1.31</v>
      </c>
      <c r="C306" s="161">
        <f t="shared" si="48"/>
        <v>1.31</v>
      </c>
      <c r="D306" s="161">
        <f t="shared" si="48"/>
        <v>1.31</v>
      </c>
      <c r="E306" s="161">
        <f t="shared" si="48"/>
        <v>1.31</v>
      </c>
      <c r="F306" s="161">
        <f t="shared" si="48"/>
        <v>1.31</v>
      </c>
      <c r="G306" s="892">
        <v>1.64</v>
      </c>
      <c r="H306" s="892">
        <v>0.46</v>
      </c>
      <c r="I306" s="892">
        <v>0.46</v>
      </c>
      <c r="J306" s="892">
        <v>0.46</v>
      </c>
      <c r="K306" s="892">
        <v>0.46</v>
      </c>
      <c r="L306" s="892">
        <f>ROUND(G306*(1-'Disc Dep'!$C$113),2)</f>
        <v>1.31</v>
      </c>
      <c r="M306" s="892"/>
      <c r="N306" s="892"/>
      <c r="O306" s="892"/>
      <c r="P306" s="892"/>
      <c r="Q306" s="892">
        <f>ROUND(L306*(1+'Adaos Distr'!$C$113),2)</f>
        <v>1.31</v>
      </c>
      <c r="R306" s="892"/>
      <c r="S306" s="892"/>
      <c r="T306" s="892"/>
      <c r="U306" s="892"/>
      <c r="V306" s="892">
        <f>ROUND(Q306*(1+'Adaos RESELLER'!$C$113),2)</f>
        <v>1.31</v>
      </c>
      <c r="W306" s="892"/>
      <c r="X306" s="892"/>
      <c r="Y306" s="892"/>
      <c r="Z306" s="892"/>
    </row>
    <row r="307" spans="1:26">
      <c r="A307" s="147" t="s">
        <v>2200</v>
      </c>
      <c r="B307" s="161">
        <f>IF(Select!$E$23=1,L307,IF(Select!$E$23=2,Q307,IF(Select!$E$23=3,V307)))</f>
        <v>0.28000000000000003</v>
      </c>
      <c r="C307" s="161">
        <f t="shared" ref="C307:C308" si="49">B307</f>
        <v>0.28000000000000003</v>
      </c>
      <c r="D307" s="161">
        <f t="shared" ref="D307:D308" si="50">C307</f>
        <v>0.28000000000000003</v>
      </c>
      <c r="E307" s="161">
        <f t="shared" ref="E307:E308" si="51">D307</f>
        <v>0.28000000000000003</v>
      </c>
      <c r="F307" s="161">
        <f t="shared" ref="F307:F308" si="52">E307</f>
        <v>0.28000000000000003</v>
      </c>
      <c r="G307" s="892">
        <v>0.35</v>
      </c>
      <c r="H307" s="892">
        <v>0.46</v>
      </c>
      <c r="I307" s="892">
        <v>0.46</v>
      </c>
      <c r="J307" s="892">
        <v>0.46</v>
      </c>
      <c r="K307" s="892">
        <v>0.46</v>
      </c>
      <c r="L307" s="892">
        <f>ROUND(G307*(1-'Disc Dep'!$C$113),2)</f>
        <v>0.28000000000000003</v>
      </c>
      <c r="M307" s="892"/>
      <c r="N307" s="892"/>
      <c r="O307" s="892"/>
      <c r="P307" s="892"/>
      <c r="Q307" s="892">
        <f>ROUND(L307*(1+'Adaos Distr'!$C$113),2)</f>
        <v>0.28000000000000003</v>
      </c>
      <c r="R307" s="892"/>
      <c r="S307" s="892"/>
      <c r="T307" s="892"/>
      <c r="U307" s="892"/>
      <c r="V307" s="892">
        <f>ROUND(Q307*(1+'Adaos RESELLER'!$C$113),2)</f>
        <v>0.28000000000000003</v>
      </c>
      <c r="W307" s="892"/>
      <c r="X307" s="892"/>
      <c r="Y307" s="892"/>
      <c r="Z307" s="892"/>
    </row>
    <row r="308" spans="1:26">
      <c r="A308" s="147" t="s">
        <v>2201</v>
      </c>
      <c r="B308" s="161">
        <f>IF(Select!$E$23=1,L308,IF(Select!$E$23=2,Q308,IF(Select!$E$23=3,V308)))</f>
        <v>0.38</v>
      </c>
      <c r="C308" s="161">
        <f t="shared" si="49"/>
        <v>0.38</v>
      </c>
      <c r="D308" s="161">
        <f t="shared" si="50"/>
        <v>0.38</v>
      </c>
      <c r="E308" s="161">
        <f t="shared" si="51"/>
        <v>0.38</v>
      </c>
      <c r="F308" s="161">
        <f t="shared" si="52"/>
        <v>0.38</v>
      </c>
      <c r="G308" s="892">
        <v>0.48</v>
      </c>
      <c r="H308" s="892">
        <v>0.46</v>
      </c>
      <c r="I308" s="892">
        <v>0.46</v>
      </c>
      <c r="J308" s="892">
        <v>0.46</v>
      </c>
      <c r="K308" s="892">
        <v>0.46</v>
      </c>
      <c r="L308" s="892">
        <f>ROUND(G308*(1-'Disc Dep'!$C$113),2)</f>
        <v>0.38</v>
      </c>
      <c r="M308" s="892"/>
      <c r="N308" s="892"/>
      <c r="O308" s="892"/>
      <c r="P308" s="892"/>
      <c r="Q308" s="892">
        <f>ROUND(L308*(1+'Adaos Distr'!$C$113),2)</f>
        <v>0.38</v>
      </c>
      <c r="R308" s="892"/>
      <c r="S308" s="892"/>
      <c r="T308" s="892"/>
      <c r="U308" s="892"/>
      <c r="V308" s="892">
        <f>ROUND(Q308*(1+'Adaos RESELLER'!$C$113),2)</f>
        <v>0.38</v>
      </c>
      <c r="W308" s="892"/>
      <c r="X308" s="892"/>
      <c r="Y308" s="892"/>
      <c r="Z308" s="892"/>
    </row>
    <row r="309" spans="1:26">
      <c r="B309" s="161"/>
      <c r="C309" s="161"/>
      <c r="D309" s="161"/>
      <c r="E309" s="161"/>
      <c r="F309" s="161"/>
      <c r="G309" s="407"/>
      <c r="H309" s="407"/>
      <c r="I309" s="407"/>
      <c r="J309" s="407"/>
      <c r="K309" s="407"/>
      <c r="L309" s="407"/>
      <c r="M309" s="407"/>
      <c r="N309" s="407"/>
      <c r="O309" s="407"/>
      <c r="P309" s="407"/>
      <c r="Q309" s="407"/>
      <c r="R309" s="407"/>
      <c r="S309" s="407"/>
      <c r="T309" s="407"/>
      <c r="U309" s="407"/>
      <c r="V309" s="407"/>
      <c r="W309" s="407"/>
      <c r="X309" s="407"/>
      <c r="Y309" s="407"/>
      <c r="Z309" s="407"/>
    </row>
    <row r="310" spans="1:26">
      <c r="B310" s="161"/>
      <c r="C310" s="161"/>
      <c r="D310" s="161"/>
      <c r="E310" s="161"/>
      <c r="F310" s="161"/>
      <c r="G310" s="407"/>
      <c r="H310" s="407"/>
      <c r="I310" s="407"/>
      <c r="J310" s="407"/>
      <c r="K310" s="407"/>
      <c r="L310" s="407"/>
      <c r="M310" s="407"/>
      <c r="N310" s="407"/>
      <c r="O310" s="407"/>
      <c r="P310" s="407"/>
      <c r="Q310" s="407"/>
      <c r="R310" s="407"/>
      <c r="S310" s="407"/>
      <c r="T310" s="407"/>
      <c r="U310" s="407"/>
      <c r="V310" s="407"/>
      <c r="W310" s="407"/>
      <c r="X310" s="407"/>
      <c r="Y310" s="407"/>
      <c r="Z310" s="407"/>
    </row>
    <row r="311" spans="1:26">
      <c r="B311" s="161"/>
      <c r="C311" s="161"/>
      <c r="D311" s="161"/>
      <c r="E311" s="161"/>
      <c r="F311" s="161"/>
      <c r="G311" s="407"/>
      <c r="H311" s="407"/>
      <c r="I311" s="407"/>
      <c r="J311" s="407"/>
      <c r="K311" s="407"/>
      <c r="L311" s="407"/>
      <c r="M311" s="407"/>
      <c r="N311" s="407"/>
      <c r="O311" s="407"/>
      <c r="P311" s="407"/>
      <c r="Q311" s="407"/>
      <c r="R311" s="407"/>
      <c r="S311" s="407"/>
      <c r="T311" s="407"/>
      <c r="U311" s="407"/>
      <c r="V311" s="407"/>
      <c r="W311" s="407"/>
      <c r="X311" s="407"/>
      <c r="Y311" s="407"/>
      <c r="Z311" s="407"/>
    </row>
    <row r="314" spans="1:26" ht="16.8">
      <c r="A314" s="146" t="s">
        <v>542</v>
      </c>
      <c r="B314" s="171">
        <v>105</v>
      </c>
      <c r="C314" s="171">
        <f>IF(Select!$O$96=2,Info!D314,IF(Select!$O$96=3,Info!J314,0))</f>
        <v>1.21</v>
      </c>
      <c r="D314" s="147">
        <f>IF(Select!$E$23=1,F314,IF(Select!$E$23=2,G314,IF(Select!$E$23=3,H314)))</f>
        <v>1.57</v>
      </c>
      <c r="E314" s="242">
        <v>2.12</v>
      </c>
      <c r="F314" s="147">
        <f>ROUND(E314*(1-'Disc Dep'!$C$112),2)</f>
        <v>1.57</v>
      </c>
      <c r="G314" s="147">
        <f>ROUND(F314*(1+'Adaos Distr'!$C$110),2)</f>
        <v>1.57</v>
      </c>
      <c r="H314" s="147">
        <f>ROUND(G314*(1+'Adaos RESELLER'!$C$110),2)</f>
        <v>1.57</v>
      </c>
      <c r="J314" s="147">
        <f>IF(Select!$E$23=1,L314,IF(Select!$E$23=2,M314,IF(Select!$E$23=3,N314)))</f>
        <v>1.21</v>
      </c>
      <c r="K314" s="242">
        <v>1.63</v>
      </c>
      <c r="L314" s="147">
        <f>ROUND(K314*(1-'Disc Dep'!$C$112),2)</f>
        <v>1.21</v>
      </c>
      <c r="M314" s="147">
        <f>ROUND(L314*(1+'Adaos Distr'!$C$110),2)</f>
        <v>1.21</v>
      </c>
      <c r="N314" s="147">
        <f>ROUND(M314*(1+'Adaos RESELLER'!$C$110),2)</f>
        <v>1.21</v>
      </c>
      <c r="O314" s="510">
        <f>ROUND(E314*1.03,2)</f>
        <v>2.1800000000000002</v>
      </c>
    </row>
    <row r="315" spans="1:26" ht="16.8">
      <c r="A315" s="146" t="s">
        <v>505</v>
      </c>
      <c r="B315" s="171">
        <v>105</v>
      </c>
      <c r="C315" s="171">
        <f>IF(Select!$O$96=2,Info!D315,IF(Select!$O$96=3,Info!J315,0))</f>
        <v>0.6</v>
      </c>
      <c r="D315" s="147">
        <f>IF(Select!$E$23=1,F315,IF(Select!$E$23=2,G315,IF(Select!$E$23=3,H315)))</f>
        <v>0.82</v>
      </c>
      <c r="E315" s="242">
        <v>1.1100000000000001</v>
      </c>
      <c r="F315" s="147">
        <f>ROUND(E315*(1-'Disc Dep'!$C$112),2)</f>
        <v>0.82</v>
      </c>
      <c r="G315" s="147">
        <f>ROUND(F315*(1+'Adaos Distr'!$C$110),2)</f>
        <v>0.82</v>
      </c>
      <c r="H315" s="147">
        <f>ROUND(G315*(1+'Adaos RESELLER'!$C$110),2)</f>
        <v>0.82</v>
      </c>
      <c r="J315" s="147">
        <f>IF(Select!$E$23=1,L315,IF(Select!$E$23=2,M315,IF(Select!$E$23=3,N315)))</f>
        <v>0.6</v>
      </c>
      <c r="K315" s="242">
        <v>0.81</v>
      </c>
      <c r="L315" s="147">
        <f>ROUND(K315*(1-'Disc Dep'!$C$112),2)</f>
        <v>0.6</v>
      </c>
      <c r="M315" s="147">
        <f>ROUND(L315*(1+'Adaos Distr'!$C$110),2)</f>
        <v>0.6</v>
      </c>
      <c r="N315" s="147">
        <f>ROUND(M315*(1+'Adaos RESELLER'!$C$110),2)</f>
        <v>0.6</v>
      </c>
      <c r="O315" s="510">
        <f t="shared" ref="O315:O324" si="53">ROUND(E315*1.03,2)</f>
        <v>1.1399999999999999</v>
      </c>
    </row>
    <row r="316" spans="1:26" ht="16.8">
      <c r="A316" s="146" t="s">
        <v>311</v>
      </c>
      <c r="B316" s="171">
        <v>105</v>
      </c>
      <c r="C316" s="171">
        <f>IF(Select!$O$96=2,Info!D316,IF(Select!$O$96=3,Info!J316,0))</f>
        <v>0.75</v>
      </c>
      <c r="D316" s="147">
        <f>IF(Select!$E$23=1,F316,IF(Select!$E$23=2,G316,IF(Select!$E$23=3,H316)))</f>
        <v>1.03</v>
      </c>
      <c r="E316" s="242">
        <v>1.39</v>
      </c>
      <c r="F316" s="147">
        <f>ROUND(E316*(1-'Disc Dep'!$C$112),2)</f>
        <v>1.03</v>
      </c>
      <c r="G316" s="147">
        <f>ROUND(F316*(1+'Adaos Distr'!$C$110),2)</f>
        <v>1.03</v>
      </c>
      <c r="H316" s="147">
        <f>ROUND(G316*(1+'Adaos RESELLER'!$C$110),2)</f>
        <v>1.03</v>
      </c>
      <c r="J316" s="147">
        <f>IF(Select!$E$23=1,L316,IF(Select!$E$23=2,M316,IF(Select!$E$23=3,N316)))</f>
        <v>0.75</v>
      </c>
      <c r="K316" s="242">
        <v>1.02</v>
      </c>
      <c r="L316" s="147">
        <f>ROUND(K316*(1-'Disc Dep'!$C$112),2)</f>
        <v>0.75</v>
      </c>
      <c r="M316" s="147">
        <f>ROUND(L316*(1+'Adaos Distr'!$C$110),2)</f>
        <v>0.75</v>
      </c>
      <c r="N316" s="147">
        <f>ROUND(M316*(1+'Adaos RESELLER'!$C$110),2)</f>
        <v>0.75</v>
      </c>
      <c r="O316" s="510">
        <f t="shared" si="53"/>
        <v>1.43</v>
      </c>
    </row>
    <row r="317" spans="1:26" ht="16.8">
      <c r="A317" s="146" t="s">
        <v>155</v>
      </c>
      <c r="B317" s="171">
        <v>105</v>
      </c>
      <c r="C317" s="171">
        <f>IF(Select!$O$96=2,Info!D317,IF(Select!$O$96=3,Info!J317,0))</f>
        <v>0.81</v>
      </c>
      <c r="D317" s="147">
        <f>IF(Select!$E$23=1,F317,IF(Select!$E$23=2,G317,IF(Select!$E$23=3,H317)))</f>
        <v>1.07</v>
      </c>
      <c r="E317" s="242">
        <v>1.44</v>
      </c>
      <c r="F317" s="147">
        <f>ROUND(E317*(1-'Disc Dep'!$C$112),2)</f>
        <v>1.07</v>
      </c>
      <c r="G317" s="147">
        <f>ROUND(F317*(1+'Adaos Distr'!$C$110),2)</f>
        <v>1.07</v>
      </c>
      <c r="H317" s="147">
        <f>ROUND(G317*(1+'Adaos RESELLER'!$C$110),2)</f>
        <v>1.07</v>
      </c>
      <c r="J317" s="147">
        <f>IF(Select!$E$23=1,L317,IF(Select!$E$23=2,M317,IF(Select!$E$23=3,N317)))</f>
        <v>0.81</v>
      </c>
      <c r="K317" s="242">
        <v>1.1000000000000001</v>
      </c>
      <c r="L317" s="147">
        <f>ROUND(K317*(1-'Disc Dep'!$C$112),2)</f>
        <v>0.81</v>
      </c>
      <c r="M317" s="147">
        <f>ROUND(L317*(1+'Adaos Distr'!$C$110),2)</f>
        <v>0.81</v>
      </c>
      <c r="N317" s="147">
        <f>ROUND(M317*(1+'Adaos RESELLER'!$C$110),2)</f>
        <v>0.81</v>
      </c>
      <c r="O317" s="510">
        <f t="shared" si="53"/>
        <v>1.48</v>
      </c>
    </row>
    <row r="318" spans="1:26" ht="16.8">
      <c r="A318" s="146" t="s">
        <v>261</v>
      </c>
      <c r="B318" s="171">
        <v>105</v>
      </c>
      <c r="C318" s="171">
        <f>IF(Select!$O$96=2,Info!D318,IF(Select!$O$96=3,Info!J318,0))</f>
        <v>0.81</v>
      </c>
      <c r="D318" s="147">
        <f>IF(Select!$E$23=1,F318,IF(Select!$E$23=2,G318,IF(Select!$E$23=3,H318)))</f>
        <v>1.07</v>
      </c>
      <c r="E318" s="242">
        <v>1.44</v>
      </c>
      <c r="F318" s="147">
        <f>ROUND(E318*(1-'Disc Dep'!$C$112),2)</f>
        <v>1.07</v>
      </c>
      <c r="G318" s="147">
        <f>ROUND(F318*(1+'Adaos Distr'!$C$110),2)</f>
        <v>1.07</v>
      </c>
      <c r="H318" s="147">
        <f>ROUND(G318*(1+'Adaos RESELLER'!$C$110),2)</f>
        <v>1.07</v>
      </c>
      <c r="J318" s="147">
        <f>IF(Select!$E$23=1,L318,IF(Select!$E$23=2,M318,IF(Select!$E$23=3,N318)))</f>
        <v>0.81</v>
      </c>
      <c r="K318" s="242">
        <v>1.1000000000000001</v>
      </c>
      <c r="L318" s="147">
        <f>ROUND(K318*(1-'Disc Dep'!$C$112),2)</f>
        <v>0.81</v>
      </c>
      <c r="M318" s="147">
        <f>ROUND(L318*(1+'Adaos Distr'!$C$110),2)</f>
        <v>0.81</v>
      </c>
      <c r="N318" s="147">
        <f>ROUND(M318*(1+'Adaos RESELLER'!$C$110),2)</f>
        <v>0.81</v>
      </c>
      <c r="O318" s="510">
        <f t="shared" si="53"/>
        <v>1.48</v>
      </c>
    </row>
    <row r="319" spans="1:26" ht="16.8">
      <c r="A319" s="146" t="s">
        <v>156</v>
      </c>
      <c r="B319" s="171">
        <v>105</v>
      </c>
      <c r="C319" s="171">
        <f>IF(Select!$O$96=2,Info!D319,IF(Select!$O$96=3,Info!J319,0))</f>
        <v>0.96</v>
      </c>
      <c r="D319" s="147">
        <f>IF(Select!$E$23=1,F319,IF(Select!$E$23=2,G319,IF(Select!$E$23=3,H319)))</f>
        <v>1.26</v>
      </c>
      <c r="E319" s="242">
        <v>1.7</v>
      </c>
      <c r="F319" s="147">
        <f>ROUND(E319*(1-'Disc Dep'!$C$112),2)</f>
        <v>1.26</v>
      </c>
      <c r="G319" s="147">
        <f>ROUND(F319*(1+'Adaos Distr'!$C$110),2)</f>
        <v>1.26</v>
      </c>
      <c r="H319" s="147">
        <f>ROUND(G319*(1+'Adaos RESELLER'!$C$110),2)</f>
        <v>1.26</v>
      </c>
      <c r="J319" s="147">
        <f>IF(Select!$E$23=1,L319,IF(Select!$E$23=2,M319,IF(Select!$E$23=3,N319)))</f>
        <v>0.96</v>
      </c>
      <c r="K319" s="242">
        <v>1.3</v>
      </c>
      <c r="L319" s="147">
        <f>ROUND(K319*(1-'Disc Dep'!$C$112),2)</f>
        <v>0.96</v>
      </c>
      <c r="M319" s="147">
        <f>ROUND(L319*(1+'Adaos Distr'!$C$110),2)</f>
        <v>0.96</v>
      </c>
      <c r="N319" s="147">
        <f>ROUND(M319*(1+'Adaos RESELLER'!$C$110),2)</f>
        <v>0.96</v>
      </c>
      <c r="O319" s="510">
        <f t="shared" si="53"/>
        <v>1.75</v>
      </c>
    </row>
    <row r="320" spans="1:26" ht="16.8">
      <c r="A320" s="146" t="s">
        <v>427</v>
      </c>
      <c r="B320" s="171">
        <v>105</v>
      </c>
      <c r="C320" s="171">
        <f>IF(Select!$O$96=2,Info!D320,IF(Select!$O$96=3,Info!J320,0))</f>
        <v>1.19</v>
      </c>
      <c r="D320" s="147">
        <f>IF(Select!$E$23=1,F320,IF(Select!$E$23=2,G320,IF(Select!$E$23=3,H320)))</f>
        <v>1.57</v>
      </c>
      <c r="E320" s="242">
        <v>2.12</v>
      </c>
      <c r="F320" s="147">
        <f>ROUND(E320*(1-'Disc Dep'!$C$112),2)</f>
        <v>1.57</v>
      </c>
      <c r="G320" s="147">
        <f>ROUND(F320*(1+'Adaos Distr'!$C$110),2)</f>
        <v>1.57</v>
      </c>
      <c r="H320" s="147">
        <f>ROUND(G320*(1+'Adaos RESELLER'!$C$110),2)</f>
        <v>1.57</v>
      </c>
      <c r="J320" s="147">
        <f>IF(Select!$E$23=1,L320,IF(Select!$E$23=2,M320,IF(Select!$E$23=3,N320)))</f>
        <v>1.19</v>
      </c>
      <c r="K320" s="242">
        <v>1.61</v>
      </c>
      <c r="L320" s="147">
        <f>ROUND(K320*(1-'Disc Dep'!$C$112),2)</f>
        <v>1.19</v>
      </c>
      <c r="M320" s="147">
        <f>ROUND(L320*(1+'Adaos Distr'!$C$110),2)</f>
        <v>1.19</v>
      </c>
      <c r="N320" s="147">
        <f>ROUND(M320*(1+'Adaos RESELLER'!$C$110),2)</f>
        <v>1.19</v>
      </c>
      <c r="O320" s="510">
        <f t="shared" si="53"/>
        <v>2.1800000000000002</v>
      </c>
    </row>
    <row r="321" spans="1:66" ht="16.8">
      <c r="A321" s="146" t="s">
        <v>287</v>
      </c>
      <c r="B321" s="171">
        <v>105</v>
      </c>
      <c r="C321" s="171">
        <f>IF(Select!$O$96=2,Info!D321,IF(Select!$O$96=3,Info!J321,0))</f>
        <v>1.0900000000000001</v>
      </c>
      <c r="D321" s="147">
        <f>IF(Select!$E$23=1,F321,IF(Select!$E$23=2,G321,IF(Select!$E$23=3,H321)))</f>
        <v>1.49</v>
      </c>
      <c r="E321" s="242">
        <v>2.02</v>
      </c>
      <c r="F321" s="147">
        <f>ROUND(E321*(1-'Disc Dep'!$C$112),2)</f>
        <v>1.49</v>
      </c>
      <c r="G321" s="147">
        <f>ROUND(F321*(1+'Adaos Distr'!$C$110),2)</f>
        <v>1.49</v>
      </c>
      <c r="H321" s="147">
        <f>ROUND(G321*(1+'Adaos RESELLER'!$C$110),2)</f>
        <v>1.49</v>
      </c>
      <c r="J321" s="147">
        <f>IF(Select!$E$23=1,L321,IF(Select!$E$23=2,M321,IF(Select!$E$23=3,N321)))</f>
        <v>1.0900000000000001</v>
      </c>
      <c r="K321" s="242">
        <v>1.47</v>
      </c>
      <c r="L321" s="147">
        <f>ROUND(K321*(1-'Disc Dep'!$C$112),2)</f>
        <v>1.0900000000000001</v>
      </c>
      <c r="M321" s="147">
        <f>ROUND(L321*(1+'Adaos Distr'!$C$110),2)</f>
        <v>1.0900000000000001</v>
      </c>
      <c r="N321" s="147">
        <f>ROUND(M321*(1+'Adaos RESELLER'!$C$110),2)</f>
        <v>1.0900000000000001</v>
      </c>
      <c r="O321" s="510">
        <f t="shared" si="53"/>
        <v>2.08</v>
      </c>
    </row>
    <row r="322" spans="1:66" ht="16.8">
      <c r="A322" s="146" t="s">
        <v>543</v>
      </c>
      <c r="B322" s="171">
        <v>105</v>
      </c>
      <c r="C322" s="171">
        <f>IF(Select!$O$96=2,Info!D322,IF(Select!$O$96=3,Info!J322,0))</f>
        <v>1.3</v>
      </c>
      <c r="D322" s="147">
        <f>IF(Select!$E$23=1,F322,IF(Select!$E$23=2,G322,IF(Select!$E$23=3,H322)))</f>
        <v>1.85</v>
      </c>
      <c r="E322" s="242">
        <v>2.5</v>
      </c>
      <c r="F322" s="147">
        <f>ROUND(E322*(1-'Disc Dep'!$C$112),2)</f>
        <v>1.85</v>
      </c>
      <c r="G322" s="147">
        <f>ROUND(F322*(1+'Adaos Distr'!$C$110),2)</f>
        <v>1.85</v>
      </c>
      <c r="H322" s="147">
        <f>ROUND(G322*(1+'Adaos RESELLER'!$C$110),2)</f>
        <v>1.85</v>
      </c>
      <c r="J322" s="147">
        <f>IF(Select!$E$23=1,L322,IF(Select!$E$23=2,M322,IF(Select!$E$23=3,N322)))</f>
        <v>1.3</v>
      </c>
      <c r="K322" s="242">
        <v>1.76</v>
      </c>
      <c r="L322" s="147">
        <f>ROUND(K322*(1-'Disc Dep'!$C$112),2)</f>
        <v>1.3</v>
      </c>
      <c r="M322" s="147">
        <f>ROUND(L322*(1+'Adaos Distr'!$C$110),2)</f>
        <v>1.3</v>
      </c>
      <c r="N322" s="147">
        <f>ROUND(M322*(1+'Adaos RESELLER'!$C$110),2)</f>
        <v>1.3</v>
      </c>
      <c r="O322" s="510">
        <f t="shared" si="53"/>
        <v>2.58</v>
      </c>
    </row>
    <row r="323" spans="1:66" ht="16.8">
      <c r="A323" s="146" t="s">
        <v>544</v>
      </c>
      <c r="B323" s="171">
        <v>105</v>
      </c>
      <c r="C323" s="171">
        <f>IF(Select!$O$96=2,Info!D323,IF(Select!$O$96=3,Info!J323,0))</f>
        <v>1.2</v>
      </c>
      <c r="D323" s="147">
        <f>IF(Select!$E$23=1,F323,IF(Select!$E$23=2,G323,IF(Select!$E$23=3,H323)))</f>
        <v>1.71</v>
      </c>
      <c r="E323" s="242">
        <v>2.31</v>
      </c>
      <c r="F323" s="147">
        <f>ROUND(E323*(1-'Disc Dep'!$C$112),2)</f>
        <v>1.71</v>
      </c>
      <c r="G323" s="147">
        <f>ROUND(F323*(1+'Adaos Distr'!$C$110),2)</f>
        <v>1.71</v>
      </c>
      <c r="H323" s="147">
        <f>ROUND(G323*(1+'Adaos RESELLER'!$C$110),2)</f>
        <v>1.71</v>
      </c>
      <c r="J323" s="147">
        <f>IF(Select!$E$23=1,L323,IF(Select!$E$23=2,M323,IF(Select!$E$23=3,N323)))</f>
        <v>1.2</v>
      </c>
      <c r="K323" s="242">
        <v>1.62</v>
      </c>
      <c r="L323" s="147">
        <f>ROUND(K323*(1-'Disc Dep'!$C$112),2)</f>
        <v>1.2</v>
      </c>
      <c r="M323" s="147">
        <f>ROUND(L323*(1+'Adaos Distr'!$C$110),2)</f>
        <v>1.2</v>
      </c>
      <c r="N323" s="147">
        <f>ROUND(M323*(1+'Adaos RESELLER'!$C$110),2)</f>
        <v>1.2</v>
      </c>
      <c r="O323" s="510">
        <f t="shared" si="53"/>
        <v>2.38</v>
      </c>
    </row>
    <row r="324" spans="1:66">
      <c r="A324" s="147" t="s">
        <v>2230</v>
      </c>
      <c r="B324" s="171">
        <v>105</v>
      </c>
      <c r="C324" s="171">
        <f>IF(Select!$O$96=2,Info!D324,IF(Select!$O$96=3,Info!J324,0))</f>
        <v>1.21</v>
      </c>
      <c r="D324" s="147">
        <f>IF(Select!$E$23=1,F324,IF(Select!$E$23=2,G324,IF(Select!$E$23=3,H324)))</f>
        <v>1.57</v>
      </c>
      <c r="E324" s="147">
        <v>2.12</v>
      </c>
      <c r="F324" s="147">
        <f>ROUND(E324*(1-'Disc Dep'!$C$112),2)</f>
        <v>1.57</v>
      </c>
      <c r="G324" s="147">
        <f>ROUND(F324*(1+'Adaos Distr'!$C$110),2)</f>
        <v>1.57</v>
      </c>
      <c r="H324" s="147">
        <f>ROUND(G324*(1+'Adaos RESELLER'!$C$110),2)</f>
        <v>1.57</v>
      </c>
      <c r="J324" s="147">
        <f>IF(Select!$E$23=1,L324,IF(Select!$E$23=2,M324,IF(Select!$E$23=3,N324)))</f>
        <v>1.21</v>
      </c>
      <c r="K324" s="147">
        <v>1.63</v>
      </c>
      <c r="L324" s="147">
        <f>ROUND(K324*(1-'Disc Dep'!$C$112),2)</f>
        <v>1.21</v>
      </c>
      <c r="M324" s="147">
        <f>ROUND(L324*(1+'Adaos Distr'!$C$110),2)</f>
        <v>1.21</v>
      </c>
      <c r="N324" s="147">
        <f>ROUND(M324*(1+'Adaos RESELLER'!$C$110),2)</f>
        <v>1.21</v>
      </c>
      <c r="O324" s="510">
        <f t="shared" si="53"/>
        <v>2.1800000000000002</v>
      </c>
    </row>
    <row r="325" spans="1:66">
      <c r="B325" s="147">
        <f>IF(Select!$E$23=1,AB328,IF(Select!$E$23=2,AO328,IF(Select!$E$23=3,BB328)))</f>
        <v>198.22</v>
      </c>
    </row>
    <row r="326" spans="1:66">
      <c r="B326" s="892" t="s">
        <v>244</v>
      </c>
      <c r="C326" s="892"/>
      <c r="D326" s="892"/>
      <c r="E326" s="892"/>
      <c r="F326" s="892"/>
      <c r="G326" s="892"/>
      <c r="H326" s="892"/>
      <c r="I326" s="892"/>
      <c r="J326" s="892"/>
      <c r="K326" s="892"/>
      <c r="L326" s="892"/>
      <c r="M326" s="892"/>
      <c r="N326" s="892"/>
      <c r="O326" s="895" t="s">
        <v>306</v>
      </c>
      <c r="P326" s="895"/>
      <c r="Q326" s="895"/>
      <c r="R326" s="895"/>
      <c r="S326" s="895"/>
      <c r="T326" s="895"/>
      <c r="U326" s="895"/>
      <c r="V326" s="895"/>
      <c r="W326" s="895"/>
      <c r="X326" s="895"/>
      <c r="Y326" s="895"/>
      <c r="Z326" s="895"/>
      <c r="AA326" s="895"/>
      <c r="AB326" s="892">
        <v>1</v>
      </c>
      <c r="AC326" s="892"/>
      <c r="AD326" s="892"/>
      <c r="AE326" s="892"/>
      <c r="AF326" s="892"/>
      <c r="AG326" s="892"/>
      <c r="AH326" s="892"/>
      <c r="AI326" s="892"/>
      <c r="AJ326" s="892"/>
      <c r="AK326" s="892"/>
      <c r="AL326" s="892"/>
      <c r="AM326" s="892"/>
      <c r="AN326" s="892"/>
      <c r="AO326" s="892">
        <v>2</v>
      </c>
      <c r="AP326" s="892"/>
      <c r="AQ326" s="892"/>
      <c r="AR326" s="892"/>
      <c r="AS326" s="892"/>
      <c r="AT326" s="892"/>
      <c r="AU326" s="892"/>
      <c r="AV326" s="892"/>
      <c r="AW326" s="892"/>
      <c r="AX326" s="892"/>
      <c r="AY326" s="892"/>
      <c r="AZ326" s="892"/>
      <c r="BA326" s="892"/>
      <c r="BB326" s="892">
        <v>3</v>
      </c>
      <c r="BC326" s="892"/>
      <c r="BD326" s="892"/>
      <c r="BE326" s="892"/>
      <c r="BF326" s="892"/>
      <c r="BG326" s="892"/>
      <c r="BH326" s="892"/>
      <c r="BI326" s="892"/>
      <c r="BJ326" s="892"/>
      <c r="BK326" s="892"/>
      <c r="BL326" s="892"/>
      <c r="BM326" s="892"/>
      <c r="BN326" s="892"/>
    </row>
    <row r="327" spans="1:66" ht="15.6">
      <c r="B327" s="150" t="s">
        <v>126</v>
      </c>
      <c r="C327" s="150" t="s">
        <v>125</v>
      </c>
      <c r="D327" s="150" t="s">
        <v>124</v>
      </c>
      <c r="E327" s="150" t="s">
        <v>123</v>
      </c>
      <c r="F327" s="150" t="s">
        <v>122</v>
      </c>
      <c r="G327" s="150" t="s">
        <v>121</v>
      </c>
      <c r="H327" s="150" t="s">
        <v>120</v>
      </c>
      <c r="I327" s="150" t="s">
        <v>119</v>
      </c>
      <c r="J327" s="150" t="s">
        <v>118</v>
      </c>
      <c r="K327" s="150" t="s">
        <v>117</v>
      </c>
      <c r="L327" s="150" t="s">
        <v>116</v>
      </c>
      <c r="M327" s="150" t="s">
        <v>115</v>
      </c>
      <c r="N327" s="150" t="s">
        <v>114</v>
      </c>
      <c r="O327" s="198" t="s">
        <v>126</v>
      </c>
      <c r="P327" s="198" t="s">
        <v>125</v>
      </c>
      <c r="Q327" s="198" t="s">
        <v>124</v>
      </c>
      <c r="R327" s="198" t="s">
        <v>123</v>
      </c>
      <c r="S327" s="198" t="s">
        <v>122</v>
      </c>
      <c r="T327" s="198" t="s">
        <v>121</v>
      </c>
      <c r="U327" s="198" t="s">
        <v>120</v>
      </c>
      <c r="V327" s="198" t="s">
        <v>119</v>
      </c>
      <c r="W327" s="198" t="s">
        <v>118</v>
      </c>
      <c r="X327" s="198" t="s">
        <v>117</v>
      </c>
      <c r="Y327" s="198" t="s">
        <v>116</v>
      </c>
      <c r="Z327" s="198" t="s">
        <v>115</v>
      </c>
      <c r="AA327" s="198" t="s">
        <v>114</v>
      </c>
      <c r="AB327" s="150" t="s">
        <v>126</v>
      </c>
      <c r="AC327" s="150" t="s">
        <v>125</v>
      </c>
      <c r="AD327" s="150" t="s">
        <v>124</v>
      </c>
      <c r="AE327" s="150" t="s">
        <v>123</v>
      </c>
      <c r="AF327" s="150" t="s">
        <v>122</v>
      </c>
      <c r="AG327" s="150" t="s">
        <v>121</v>
      </c>
      <c r="AH327" s="150" t="s">
        <v>120</v>
      </c>
      <c r="AI327" s="150" t="s">
        <v>119</v>
      </c>
      <c r="AJ327" s="150" t="s">
        <v>118</v>
      </c>
      <c r="AK327" s="150" t="s">
        <v>117</v>
      </c>
      <c r="AL327" s="150" t="s">
        <v>116</v>
      </c>
      <c r="AM327" s="150" t="s">
        <v>115</v>
      </c>
      <c r="AN327" s="150" t="s">
        <v>114</v>
      </c>
      <c r="AO327" s="150" t="s">
        <v>126</v>
      </c>
      <c r="AP327" s="150" t="s">
        <v>125</v>
      </c>
      <c r="AQ327" s="150" t="s">
        <v>124</v>
      </c>
      <c r="AR327" s="150" t="s">
        <v>123</v>
      </c>
      <c r="AS327" s="150" t="s">
        <v>122</v>
      </c>
      <c r="AT327" s="150" t="s">
        <v>121</v>
      </c>
      <c r="AU327" s="150" t="s">
        <v>120</v>
      </c>
      <c r="AV327" s="150" t="s">
        <v>119</v>
      </c>
      <c r="AW327" s="150" t="s">
        <v>118</v>
      </c>
      <c r="AX327" s="150" t="s">
        <v>117</v>
      </c>
      <c r="AY327" s="150" t="s">
        <v>116</v>
      </c>
      <c r="AZ327" s="150" t="s">
        <v>115</v>
      </c>
      <c r="BA327" s="150" t="s">
        <v>114</v>
      </c>
      <c r="BB327" s="150" t="s">
        <v>126</v>
      </c>
      <c r="BC327" s="150" t="s">
        <v>125</v>
      </c>
      <c r="BD327" s="150" t="s">
        <v>124</v>
      </c>
      <c r="BE327" s="150" t="s">
        <v>123</v>
      </c>
      <c r="BF327" s="150" t="s">
        <v>122</v>
      </c>
      <c r="BG327" s="150" t="s">
        <v>121</v>
      </c>
      <c r="BH327" s="150" t="s">
        <v>120</v>
      </c>
      <c r="BI327" s="150" t="s">
        <v>119</v>
      </c>
      <c r="BJ327" s="150" t="s">
        <v>118</v>
      </c>
      <c r="BK327" s="150" t="s">
        <v>117</v>
      </c>
      <c r="BL327" s="150" t="s">
        <v>116</v>
      </c>
      <c r="BM327" s="150" t="s">
        <v>115</v>
      </c>
      <c r="BN327" s="150" t="s">
        <v>114</v>
      </c>
    </row>
    <row r="328" spans="1:66">
      <c r="A328" s="147" t="str">
        <f>Lang!A332</f>
        <v>Fereastra Dakea Good</v>
      </c>
      <c r="B328" s="147">
        <f>IF(Select!$E$23=1,AB328,IF(Select!$E$23=2,AO328,IF(Select!$E$23=3,BB328)))</f>
        <v>198.22</v>
      </c>
      <c r="C328" s="147">
        <f>IF(Select!$E$23=1,AC328,IF(Select!$E$23=2,AP328,IF(Select!$E$23=3,BC328)))</f>
        <v>209.88</v>
      </c>
      <c r="D328" s="147">
        <f>IF(Select!$E$23=1,AD328,IF(Select!$E$23=2,AQ328,IF(Select!$E$23=3,BD328)))</f>
        <v>218.36</v>
      </c>
      <c r="E328" s="147">
        <f>IF(Select!$E$23=1,AE328,IF(Select!$E$23=2,AR328,IF(Select!$E$23=3,BE328)))</f>
        <v>234.08</v>
      </c>
      <c r="F328" s="147">
        <f>IF(Select!$E$23=1,AF328,IF(Select!$E$23=2,AS328,IF(Select!$E$23=3,BF328)))</f>
        <v>244.2</v>
      </c>
      <c r="G328" s="147">
        <f>IF(Select!$E$23=1,AG328,IF(Select!$E$23=2,AT328,IF(Select!$E$23=3,BG328)))</f>
        <v>256.48</v>
      </c>
      <c r="H328" s="147">
        <f>IF(Select!$E$23=1,AH328,IF(Select!$E$23=2,AU328,IF(Select!$E$23=3,BH328)))</f>
        <v>280.60000000000002</v>
      </c>
      <c r="I328" s="147">
        <f>IF(Select!$E$23=1,AI328,IF(Select!$E$23=2,AV328,IF(Select!$E$23=3,BI328)))</f>
        <v>318.08</v>
      </c>
      <c r="J328" s="147">
        <f>IF(Select!$E$23=1,AJ328,IF(Select!$E$23=2,AW328,IF(Select!$E$23=3,BJ328)))</f>
        <v>305.76</v>
      </c>
      <c r="K328" s="147">
        <f>IF(Select!$E$23=1,AK328,IF(Select!$E$23=2,AX328,IF(Select!$E$23=3,BK328)))</f>
        <v>322.64</v>
      </c>
      <c r="L328" s="147">
        <f>IF(Select!$E$23=1,AL328,IF(Select!$E$23=2,AY328,IF(Select!$E$23=3,BL328)))</f>
        <v>358.21</v>
      </c>
      <c r="M328" s="147">
        <f>IF(Select!$E$23=1,AM328,IF(Select!$E$23=2,AZ328,IF(Select!$E$23=3,BM328)))</f>
        <v>333.72</v>
      </c>
      <c r="N328" s="147">
        <f>IF(Select!$E$23=1,AN328,IF(Select!$E$23=2,BA328,IF(Select!$E$23=3,BN328)))</f>
        <v>404.39</v>
      </c>
      <c r="O328" s="77">
        <v>247.78</v>
      </c>
      <c r="P328" s="77">
        <v>262.35000000000002</v>
      </c>
      <c r="Q328" s="77">
        <v>272.95</v>
      </c>
      <c r="R328" s="77">
        <v>292.60000000000002</v>
      </c>
      <c r="S328" s="77">
        <v>305.25</v>
      </c>
      <c r="T328" s="77">
        <v>320.60000000000002</v>
      </c>
      <c r="U328" s="77">
        <v>350.75</v>
      </c>
      <c r="V328" s="77">
        <v>397.6</v>
      </c>
      <c r="W328" s="77">
        <v>382.2</v>
      </c>
      <c r="X328" s="77">
        <v>403.3</v>
      </c>
      <c r="Y328" s="77">
        <v>447.76</v>
      </c>
      <c r="Z328" s="77">
        <v>417.15</v>
      </c>
      <c r="AA328" s="77">
        <v>505.49</v>
      </c>
      <c r="AB328" s="147">
        <f>ROUND(O328*(1-'Disc Dep'!$C$116),2)</f>
        <v>198.22</v>
      </c>
      <c r="AC328" s="147">
        <f>ROUND(P328*(1-'Disc Dep'!$C$116),2)</f>
        <v>209.88</v>
      </c>
      <c r="AD328" s="147">
        <f>ROUND(Q328*(1-'Disc Dep'!$C$116),2)</f>
        <v>218.36</v>
      </c>
      <c r="AE328" s="147">
        <f>ROUND(R328*(1-'Disc Dep'!$C$116),2)</f>
        <v>234.08</v>
      </c>
      <c r="AF328" s="147">
        <f>ROUND(S328*(1-'Disc Dep'!$C$116),2)</f>
        <v>244.2</v>
      </c>
      <c r="AG328" s="147">
        <f>ROUND(T328*(1-'Disc Dep'!$C$116),2)</f>
        <v>256.48</v>
      </c>
      <c r="AH328" s="147">
        <f>ROUND(U328*(1-'Disc Dep'!$C$116),2)</f>
        <v>280.60000000000002</v>
      </c>
      <c r="AI328" s="147">
        <f>ROUND(V328*(1-'Disc Dep'!$C$116),2)</f>
        <v>318.08</v>
      </c>
      <c r="AJ328" s="147">
        <f>ROUND(W328*(1-'Disc Dep'!$C$116),2)</f>
        <v>305.76</v>
      </c>
      <c r="AK328" s="147">
        <f>ROUND(X328*(1-'Disc Dep'!$C$116),2)</f>
        <v>322.64</v>
      </c>
      <c r="AL328" s="147">
        <f>ROUND(Y328*(1-'Disc Dep'!$C$116),2)</f>
        <v>358.21</v>
      </c>
      <c r="AM328" s="147">
        <f>ROUND(Z328*(1-'Disc Dep'!$C$116),2)</f>
        <v>333.72</v>
      </c>
      <c r="AN328" s="147">
        <f>ROUND(AA328*(1-'Disc Dep'!$C$116),2)</f>
        <v>404.39</v>
      </c>
      <c r="AO328" s="147">
        <f>ROUND(AB328*(1+'Adaos Distr'!$C$116),2)</f>
        <v>198.22</v>
      </c>
      <c r="AP328" s="147">
        <f>ROUND(AC328*(1+'Adaos Distr'!$C$116),2)</f>
        <v>209.88</v>
      </c>
      <c r="AQ328" s="147">
        <f>ROUND(AD328*(1+'Adaos Distr'!$C$116),2)</f>
        <v>218.36</v>
      </c>
      <c r="AR328" s="147">
        <f>ROUND(AE328*(1+'Adaos Distr'!$C$116),2)</f>
        <v>234.08</v>
      </c>
      <c r="AS328" s="147">
        <f>ROUND(AF328*(1+'Adaos Distr'!$C$116),2)</f>
        <v>244.2</v>
      </c>
      <c r="AT328" s="147">
        <f>ROUND(AG328*(1+'Adaos Distr'!$C$116),2)</f>
        <v>256.48</v>
      </c>
      <c r="AU328" s="147">
        <f>ROUND(AH328*(1+'Adaos Distr'!$C$116),2)</f>
        <v>280.60000000000002</v>
      </c>
      <c r="AV328" s="147">
        <f>ROUND(AI328*(1+'Adaos Distr'!$C$116),2)</f>
        <v>318.08</v>
      </c>
      <c r="AW328" s="147">
        <f>ROUND(AJ328*(1+'Adaos Distr'!$C$116),2)</f>
        <v>305.76</v>
      </c>
      <c r="AX328" s="147">
        <f>ROUND(AK328*(1+'Adaos Distr'!$C$116),2)</f>
        <v>322.64</v>
      </c>
      <c r="AY328" s="147">
        <f>ROUND(AL328*(1+'Adaos Distr'!$C$116),2)</f>
        <v>358.21</v>
      </c>
      <c r="AZ328" s="147">
        <f>ROUND(AM328*(1+'Adaos Distr'!$C$116),2)</f>
        <v>333.72</v>
      </c>
      <c r="BA328" s="147">
        <f>ROUND(AN328*(1+'Adaos Distr'!$C$116),2)</f>
        <v>404.39</v>
      </c>
      <c r="BB328" s="147">
        <f>ROUND(AO328*(1+'Adaos RESELLER'!$C$116),2)</f>
        <v>198.22</v>
      </c>
      <c r="BC328" s="147">
        <f>ROUND(AP328*(1+'Adaos RESELLER'!$C$116),2)</f>
        <v>209.88</v>
      </c>
      <c r="BD328" s="147">
        <f>ROUND(AQ328*(1+'Adaos RESELLER'!$C$116),2)</f>
        <v>218.36</v>
      </c>
      <c r="BE328" s="147">
        <f>ROUND(AR328*(1+'Adaos RESELLER'!$C$116),2)</f>
        <v>234.08</v>
      </c>
      <c r="BF328" s="147">
        <f>ROUND(AS328*(1+'Adaos RESELLER'!$C$116),2)</f>
        <v>244.2</v>
      </c>
      <c r="BG328" s="147">
        <f>ROUND(AT328*(1+'Adaos RESELLER'!$C$116),2)</f>
        <v>256.48</v>
      </c>
      <c r="BH328" s="147">
        <f>ROUND(AU328*(1+'Adaos RESELLER'!$C$116),2)</f>
        <v>280.60000000000002</v>
      </c>
      <c r="BI328" s="147">
        <f>ROUND(AV328*(1+'Adaos RESELLER'!$C$116),2)</f>
        <v>318.08</v>
      </c>
      <c r="BJ328" s="147">
        <f>ROUND(AW328*(1+'Adaos RESELLER'!$C$116),2)</f>
        <v>305.76</v>
      </c>
      <c r="BK328" s="147">
        <f>ROUND(AX328*(1+'Adaos RESELLER'!$C$116),2)</f>
        <v>322.64</v>
      </c>
      <c r="BL328" s="147">
        <f>ROUND(AY328*(1+'Adaos RESELLER'!$C$116),2)</f>
        <v>358.21</v>
      </c>
      <c r="BM328" s="147">
        <f>ROUND(AZ328*(1+'Adaos RESELLER'!$C$116),2)</f>
        <v>333.72</v>
      </c>
      <c r="BN328" s="147">
        <f>ROUND(BA328*(1+'Adaos RESELLER'!$C$116),2)</f>
        <v>404.39</v>
      </c>
    </row>
    <row r="329" spans="1:66">
      <c r="A329" s="147" t="str">
        <f>Lang!A333</f>
        <v>Fereastra Dakea Good PVC</v>
      </c>
      <c r="B329" s="147">
        <f>IF(Select!$E$23=1,AB329,IF(Select!$E$23=2,AO329,IF(Select!$E$23=3,BB329)))</f>
        <v>237.12</v>
      </c>
      <c r="C329" s="147">
        <f>IF(Select!$E$23=1,AC329,IF(Select!$E$23=2,AP329,IF(Select!$E$23=3,BC329)))</f>
        <v>269.23</v>
      </c>
      <c r="D329" s="147">
        <f>IF(Select!$E$23=1,AD329,IF(Select!$E$23=2,AQ329,IF(Select!$E$23=3,BD329)))</f>
        <v>299.75</v>
      </c>
      <c r="E329" s="147">
        <f>IF(Select!$E$23=1,AE329,IF(Select!$E$23=2,AR329,IF(Select!$E$23=3,BE329)))</f>
        <v>285.58</v>
      </c>
      <c r="F329" s="147">
        <f>IF(Select!$E$23=1,AF329,IF(Select!$E$23=2,AS329,IF(Select!$E$23=3,BF329)))</f>
        <v>304.7</v>
      </c>
      <c r="G329" s="147">
        <f>IF(Select!$E$23=1,AG329,IF(Select!$E$23=2,AT329,IF(Select!$E$23=3,BG329)))</f>
        <v>332.45</v>
      </c>
      <c r="H329" s="147">
        <f>IF(Select!$E$23=1,AH329,IF(Select!$E$23=2,AU329,IF(Select!$E$23=3,BH329)))</f>
        <v>354.2</v>
      </c>
      <c r="I329" s="147">
        <f>IF(Select!$E$23=1,AI329,IF(Select!$E$23=2,AV329,IF(Select!$E$23=3,BI329)))</f>
        <v>397.76</v>
      </c>
      <c r="J329" s="147">
        <f>IF(Select!$E$23=1,AJ329,IF(Select!$E$23=2,AW329,IF(Select!$E$23=3,BJ329)))</f>
        <v>361.88</v>
      </c>
      <c r="K329" s="147">
        <f>IF(Select!$E$23=1,AK329,IF(Select!$E$23=2,AX329,IF(Select!$E$23=3,BK329)))</f>
        <v>397.85</v>
      </c>
      <c r="L329" s="147">
        <f>IF(Select!$E$23=1,AL329,IF(Select!$E$23=2,AY329,IF(Select!$E$23=3,BL329)))</f>
        <v>0</v>
      </c>
      <c r="M329" s="147">
        <f>IF(Select!$E$23=1,AM329,IF(Select!$E$23=2,AZ329,IF(Select!$E$23=3,BM329)))</f>
        <v>439.27</v>
      </c>
      <c r="N329" s="147">
        <f>IF(Select!$E$23=1,AN329,IF(Select!$E$23=2,BA329,IF(Select!$E$23=3,BN329)))</f>
        <v>0</v>
      </c>
      <c r="O329" s="197">
        <v>296.39999999999998</v>
      </c>
      <c r="P329" s="197">
        <v>336.54</v>
      </c>
      <c r="Q329" s="197">
        <v>374.69</v>
      </c>
      <c r="R329" s="197">
        <v>356.98</v>
      </c>
      <c r="S329" s="197">
        <v>380.88</v>
      </c>
      <c r="T329" s="197">
        <v>415.56</v>
      </c>
      <c r="U329" s="197">
        <v>442.75</v>
      </c>
      <c r="V329" s="197">
        <v>497.2</v>
      </c>
      <c r="W329" s="197">
        <v>452.35</v>
      </c>
      <c r="X329" s="197">
        <v>497.31</v>
      </c>
      <c r="Y329" s="197">
        <v>0</v>
      </c>
      <c r="Z329" s="197">
        <v>549.09</v>
      </c>
      <c r="AA329" s="197">
        <v>0</v>
      </c>
      <c r="AB329" s="147">
        <f>ROUND(O329*(1-'Disc Dep'!$C$116),2)</f>
        <v>237.12</v>
      </c>
      <c r="AC329" s="147">
        <f>ROUND(P329*(1-'Disc Dep'!$C$116),2)</f>
        <v>269.23</v>
      </c>
      <c r="AD329" s="147">
        <f>ROUND(Q329*(1-'Disc Dep'!$C$116),2)</f>
        <v>299.75</v>
      </c>
      <c r="AE329" s="147">
        <f>ROUND(R329*(1-'Disc Dep'!$C$116),2)</f>
        <v>285.58</v>
      </c>
      <c r="AF329" s="147">
        <f>ROUND(S329*(1-'Disc Dep'!$C$116),2)</f>
        <v>304.7</v>
      </c>
      <c r="AG329" s="147">
        <f>ROUND(T329*(1-'Disc Dep'!$C$116),2)</f>
        <v>332.45</v>
      </c>
      <c r="AH329" s="147">
        <f>ROUND(U329*(1-'Disc Dep'!$C$116),2)</f>
        <v>354.2</v>
      </c>
      <c r="AI329" s="147">
        <f>ROUND(V329*(1-'Disc Dep'!$C$116),2)</f>
        <v>397.76</v>
      </c>
      <c r="AJ329" s="147">
        <f>ROUND(W329*(1-'Disc Dep'!$C$116),2)</f>
        <v>361.88</v>
      </c>
      <c r="AK329" s="147">
        <f>ROUND(X329*(1-'Disc Dep'!$C$116),2)</f>
        <v>397.85</v>
      </c>
      <c r="AL329" s="147">
        <f>ROUND(Y329*(1-'Disc Dep'!$C$116),2)</f>
        <v>0</v>
      </c>
      <c r="AM329" s="147">
        <f>ROUND(Z329*(1-'Disc Dep'!$C$116),2)</f>
        <v>439.27</v>
      </c>
      <c r="AN329" s="147">
        <f>ROUND(AA329*(1-'Disc Dep'!$C$116),2)</f>
        <v>0</v>
      </c>
      <c r="AO329" s="147">
        <f>ROUND(AB329*(1+'Adaos Distr'!$C$116),2)</f>
        <v>237.12</v>
      </c>
      <c r="AP329" s="147">
        <f>ROUND(AC329*(1+'Adaos Distr'!$C$116),2)</f>
        <v>269.23</v>
      </c>
      <c r="AQ329" s="147">
        <f>ROUND(AD329*(1+'Adaos Distr'!$C$116),2)</f>
        <v>299.75</v>
      </c>
      <c r="AR329" s="147">
        <f>ROUND(AE329*(1+'Adaos Distr'!$C$116),2)</f>
        <v>285.58</v>
      </c>
      <c r="AS329" s="147">
        <f>ROUND(AF329*(1+'Adaos Distr'!$C$116),2)</f>
        <v>304.7</v>
      </c>
      <c r="AT329" s="147">
        <f>ROUND(AG329*(1+'Adaos Distr'!$C$116),2)</f>
        <v>332.45</v>
      </c>
      <c r="AU329" s="147">
        <f>ROUND(AH329*(1+'Adaos Distr'!$C$116),2)</f>
        <v>354.2</v>
      </c>
      <c r="AV329" s="147">
        <f>ROUND(AI329*(1+'Adaos Distr'!$C$116),2)</f>
        <v>397.76</v>
      </c>
      <c r="AW329" s="147">
        <f>ROUND(AJ329*(1+'Adaos Distr'!$C$116),2)</f>
        <v>361.88</v>
      </c>
      <c r="AX329" s="147">
        <f>ROUND(AK329*(1+'Adaos Distr'!$C$116),2)</f>
        <v>397.85</v>
      </c>
      <c r="AY329" s="147">
        <f>ROUND(AL329*(1+'Adaos Distr'!$C$116),2)</f>
        <v>0</v>
      </c>
      <c r="AZ329" s="147">
        <f>ROUND(AM329*(1+'Adaos Distr'!$C$116),2)</f>
        <v>439.27</v>
      </c>
      <c r="BA329" s="147">
        <f>ROUND(AN329*(1+'Adaos Distr'!$C$116),2)</f>
        <v>0</v>
      </c>
      <c r="BB329" s="147">
        <f>ROUND(AO329*(1+'Adaos RESELLER'!$C$116),2)</f>
        <v>237.12</v>
      </c>
      <c r="BC329" s="147">
        <f>ROUND(AP329*(1+'Adaos RESELLER'!$C$116),2)</f>
        <v>269.23</v>
      </c>
      <c r="BD329" s="147">
        <f>ROUND(AQ329*(1+'Adaos RESELLER'!$C$116),2)</f>
        <v>299.75</v>
      </c>
      <c r="BE329" s="147">
        <f>ROUND(AR329*(1+'Adaos RESELLER'!$C$116),2)</f>
        <v>285.58</v>
      </c>
      <c r="BF329" s="147">
        <f>ROUND(AS329*(1+'Adaos RESELLER'!$C$116),2)</f>
        <v>304.7</v>
      </c>
      <c r="BG329" s="147">
        <f>ROUND(AT329*(1+'Adaos RESELLER'!$C$116),2)</f>
        <v>332.45</v>
      </c>
      <c r="BH329" s="147">
        <f>ROUND(AU329*(1+'Adaos RESELLER'!$C$116),2)</f>
        <v>354.2</v>
      </c>
      <c r="BI329" s="147">
        <f>ROUND(AV329*(1+'Adaos RESELLER'!$C$116),2)</f>
        <v>397.76</v>
      </c>
      <c r="BJ329" s="147">
        <f>ROUND(AW329*(1+'Adaos RESELLER'!$C$116),2)</f>
        <v>361.88</v>
      </c>
      <c r="BK329" s="147">
        <f>ROUND(AX329*(1+'Adaos RESELLER'!$C$116),2)</f>
        <v>397.85</v>
      </c>
      <c r="BL329" s="147">
        <f>ROUND(AY329*(1+'Adaos RESELLER'!$C$116),2)</f>
        <v>0</v>
      </c>
      <c r="BM329" s="147">
        <f>ROUND(AZ329*(1+'Adaos RESELLER'!$C$116),2)</f>
        <v>439.27</v>
      </c>
      <c r="BN329" s="147">
        <f>ROUND(BA329*(1+'Adaos RESELLER'!$C$116),2)</f>
        <v>0</v>
      </c>
    </row>
    <row r="330" spans="1:66">
      <c r="A330" s="147" t="str">
        <f>Lang!A334</f>
        <v>Fereastra Dakea Good Energy</v>
      </c>
      <c r="B330" s="147">
        <f>IF(Select!$E$23=1,AB330,IF(Select!$E$23=2,AO330,IF(Select!$E$23=3,BB330)))</f>
        <v>233.26</v>
      </c>
      <c r="C330" s="147">
        <f>IF(Select!$E$23=1,AC330,IF(Select!$E$23=2,AP330,IF(Select!$E$23=3,BC330)))</f>
        <v>255.06</v>
      </c>
      <c r="D330" s="147">
        <f>IF(Select!$E$23=1,AD330,IF(Select!$E$23=2,AQ330,IF(Select!$E$23=3,BD330)))</f>
        <v>270.32</v>
      </c>
      <c r="E330" s="147">
        <f>IF(Select!$E$23=1,AE330,IF(Select!$E$23=2,AR330,IF(Select!$E$23=3,BE330)))</f>
        <v>253.97</v>
      </c>
      <c r="F330" s="147">
        <f>IF(Select!$E$23=1,AF330,IF(Select!$E$23=2,AS330,IF(Select!$E$23=3,BF330)))</f>
        <v>269.23</v>
      </c>
      <c r="G330" s="147">
        <f>IF(Select!$E$23=1,AG330,IF(Select!$E$23=2,AT330,IF(Select!$E$23=3,BG330)))</f>
        <v>294.3</v>
      </c>
      <c r="H330" s="147">
        <f>IF(Select!$E$23=1,AH330,IF(Select!$E$23=2,AU330,IF(Select!$E$23=3,BH330)))</f>
        <v>316.10000000000002</v>
      </c>
      <c r="I330" s="147">
        <f>IF(Select!$E$23=1,AI330,IF(Select!$E$23=2,AV330,IF(Select!$E$23=3,BI330)))</f>
        <v>356.82</v>
      </c>
      <c r="J330" s="147">
        <f>IF(Select!$E$23=1,AJ330,IF(Select!$E$23=2,AW330,IF(Select!$E$23=3,BJ330)))</f>
        <v>344.44</v>
      </c>
      <c r="K330" s="147">
        <f>IF(Select!$E$23=1,AK330,IF(Select!$E$23=2,AX330,IF(Select!$E$23=3,BK330)))</f>
        <v>381.7</v>
      </c>
      <c r="L330" s="147">
        <f>IF(Select!$E$23=1,AL330,IF(Select!$E$23=2,AY330,IF(Select!$E$23=3,BL330)))</f>
        <v>390.5</v>
      </c>
      <c r="M330" s="147">
        <f>IF(Select!$E$23=1,AM330,IF(Select!$E$23=2,AZ330,IF(Select!$E$23=3,BM330)))</f>
        <v>400.4</v>
      </c>
      <c r="N330" s="147">
        <f>IF(Select!$E$23=1,AN330,IF(Select!$E$23=2,BA330,IF(Select!$E$23=3,BN330)))</f>
        <v>454.3</v>
      </c>
      <c r="O330" s="197">
        <v>291.58</v>
      </c>
      <c r="P330" s="197">
        <v>318.83</v>
      </c>
      <c r="Q330" s="197">
        <v>337.9</v>
      </c>
      <c r="R330" s="197">
        <v>317.45999999999998</v>
      </c>
      <c r="S330" s="197">
        <v>336.54</v>
      </c>
      <c r="T330" s="197">
        <v>367.88</v>
      </c>
      <c r="U330" s="197">
        <v>395.13</v>
      </c>
      <c r="V330" s="197">
        <v>446.03</v>
      </c>
      <c r="W330" s="197">
        <v>430.55</v>
      </c>
      <c r="X330" s="197">
        <v>477.13</v>
      </c>
      <c r="Y330" s="197">
        <v>488.13</v>
      </c>
      <c r="Z330" s="197">
        <v>500.5</v>
      </c>
      <c r="AA330" s="197">
        <v>567.88</v>
      </c>
      <c r="AB330" s="147">
        <f>ROUND(O330*(1-'Disc Dep'!$C$116),2)</f>
        <v>233.26</v>
      </c>
      <c r="AC330" s="147">
        <f>ROUND(P330*(1-'Disc Dep'!$C$116),2)</f>
        <v>255.06</v>
      </c>
      <c r="AD330" s="147">
        <f>ROUND(Q330*(1-'Disc Dep'!$C$116),2)</f>
        <v>270.32</v>
      </c>
      <c r="AE330" s="147">
        <f>ROUND(R330*(1-'Disc Dep'!$C$116),2)</f>
        <v>253.97</v>
      </c>
      <c r="AF330" s="147">
        <f>ROUND(S330*(1-'Disc Dep'!$C$116),2)</f>
        <v>269.23</v>
      </c>
      <c r="AG330" s="147">
        <f>ROUND(T330*(1-'Disc Dep'!$C$116),2)</f>
        <v>294.3</v>
      </c>
      <c r="AH330" s="147">
        <f>ROUND(U330*(1-'Disc Dep'!$C$116),2)</f>
        <v>316.10000000000002</v>
      </c>
      <c r="AI330" s="147">
        <f>ROUND(V330*(1-'Disc Dep'!$C$116),2)</f>
        <v>356.82</v>
      </c>
      <c r="AJ330" s="147">
        <f>ROUND(W330*(1-'Disc Dep'!$C$116),2)</f>
        <v>344.44</v>
      </c>
      <c r="AK330" s="147">
        <f>ROUND(X330*(1-'Disc Dep'!$C$116),2)</f>
        <v>381.7</v>
      </c>
      <c r="AL330" s="147">
        <f>ROUND(Y330*(1-'Disc Dep'!$C$116),2)</f>
        <v>390.5</v>
      </c>
      <c r="AM330" s="147">
        <f>ROUND(Z330*(1-'Disc Dep'!$C$116),2)</f>
        <v>400.4</v>
      </c>
      <c r="AN330" s="147">
        <f>ROUND(AA330*(1-'Disc Dep'!$C$116),2)</f>
        <v>454.3</v>
      </c>
      <c r="AO330" s="147">
        <f>ROUND(AB330*(1+'Adaos Distr'!$C$116),2)</f>
        <v>233.26</v>
      </c>
      <c r="AP330" s="147">
        <f>ROUND(AC330*(1+'Adaos Distr'!$C$116),2)</f>
        <v>255.06</v>
      </c>
      <c r="AQ330" s="147">
        <f>ROUND(AD330*(1+'Adaos Distr'!$C$116),2)</f>
        <v>270.32</v>
      </c>
      <c r="AR330" s="147">
        <f>ROUND(AE330*(1+'Adaos Distr'!$C$116),2)</f>
        <v>253.97</v>
      </c>
      <c r="AS330" s="147">
        <f>ROUND(AF330*(1+'Adaos Distr'!$C$116),2)</f>
        <v>269.23</v>
      </c>
      <c r="AT330" s="147">
        <f>ROUND(AG330*(1+'Adaos Distr'!$C$116),2)</f>
        <v>294.3</v>
      </c>
      <c r="AU330" s="147">
        <f>ROUND(AH330*(1+'Adaos Distr'!$C$116),2)</f>
        <v>316.10000000000002</v>
      </c>
      <c r="AV330" s="147">
        <f>ROUND(AI330*(1+'Adaos Distr'!$C$116),2)</f>
        <v>356.82</v>
      </c>
      <c r="AW330" s="147">
        <f>ROUND(AJ330*(1+'Adaos Distr'!$C$116),2)</f>
        <v>344.44</v>
      </c>
      <c r="AX330" s="147">
        <f>ROUND(AK330*(1+'Adaos Distr'!$C$116),2)</f>
        <v>381.7</v>
      </c>
      <c r="AY330" s="147">
        <f>ROUND(AL330*(1+'Adaos Distr'!$C$116),2)</f>
        <v>390.5</v>
      </c>
      <c r="AZ330" s="147">
        <f>ROUND(AM330*(1+'Adaos Distr'!$C$116),2)</f>
        <v>400.4</v>
      </c>
      <c r="BA330" s="147">
        <f>ROUND(AN330*(1+'Adaos Distr'!$C$116),2)</f>
        <v>454.3</v>
      </c>
      <c r="BB330" s="147">
        <f>ROUND(AO330*(1+'Adaos RESELLER'!$C$116),2)</f>
        <v>233.26</v>
      </c>
      <c r="BC330" s="147">
        <f>ROUND(AP330*(1+'Adaos RESELLER'!$C$116),2)</f>
        <v>255.06</v>
      </c>
      <c r="BD330" s="147">
        <f>ROUND(AQ330*(1+'Adaos RESELLER'!$C$116),2)</f>
        <v>270.32</v>
      </c>
      <c r="BE330" s="147">
        <f>ROUND(AR330*(1+'Adaos RESELLER'!$C$116),2)</f>
        <v>253.97</v>
      </c>
      <c r="BF330" s="147">
        <f>ROUND(AS330*(1+'Adaos RESELLER'!$C$116),2)</f>
        <v>269.23</v>
      </c>
      <c r="BG330" s="147">
        <f>ROUND(AT330*(1+'Adaos RESELLER'!$C$116),2)</f>
        <v>294.3</v>
      </c>
      <c r="BH330" s="147">
        <f>ROUND(AU330*(1+'Adaos RESELLER'!$C$116),2)</f>
        <v>316.10000000000002</v>
      </c>
      <c r="BI330" s="147">
        <f>ROUND(AV330*(1+'Adaos RESELLER'!$C$116),2)</f>
        <v>356.82</v>
      </c>
      <c r="BJ330" s="147">
        <f>ROUND(AW330*(1+'Adaos RESELLER'!$C$116),2)</f>
        <v>344.44</v>
      </c>
      <c r="BK330" s="147">
        <f>ROUND(AX330*(1+'Adaos RESELLER'!$C$116),2)</f>
        <v>381.7</v>
      </c>
      <c r="BL330" s="147">
        <f>ROUND(AY330*(1+'Adaos RESELLER'!$C$116),2)</f>
        <v>390.5</v>
      </c>
      <c r="BM330" s="147">
        <f>ROUND(AZ330*(1+'Adaos RESELLER'!$C$116),2)</f>
        <v>400.4</v>
      </c>
      <c r="BN330" s="147">
        <f>ROUND(BA330*(1+'Adaos RESELLER'!$C$116),2)</f>
        <v>454.3</v>
      </c>
    </row>
    <row r="331" spans="1:66">
      <c r="A331" s="147" t="str">
        <f>Lang!A335</f>
        <v>Fereastra Dakea Good Energy PVC</v>
      </c>
      <c r="B331" s="147">
        <f>IF(Select!$E$23=1,AB331,IF(Select!$E$23=2,AO331,IF(Select!$E$23=3,BB331)))</f>
        <v>322</v>
      </c>
      <c r="C331" s="147">
        <f>IF(Select!$E$23=1,AC331,IF(Select!$E$23=2,AP331,IF(Select!$E$23=3,BC331)))</f>
        <v>346.15</v>
      </c>
      <c r="D331" s="147">
        <f>IF(Select!$E$23=1,AD331,IF(Select!$E$23=2,AQ331,IF(Select!$E$23=3,BD331)))</f>
        <v>368</v>
      </c>
      <c r="E331" s="147">
        <f>IF(Select!$E$23=1,AE331,IF(Select!$E$23=2,AR331,IF(Select!$E$23=3,BE331)))</f>
        <v>372.6</v>
      </c>
      <c r="F331" s="147">
        <f>IF(Select!$E$23=1,AF331,IF(Select!$E$23=2,AS331,IF(Select!$E$23=3,BF331)))</f>
        <v>372.6</v>
      </c>
      <c r="G331" s="147">
        <f>IF(Select!$E$23=1,AG331,IF(Select!$E$23=2,AT331,IF(Select!$E$23=3,BG331)))</f>
        <v>403.65</v>
      </c>
      <c r="H331" s="147">
        <f>IF(Select!$E$23=1,AH331,IF(Select!$E$23=2,AU331,IF(Select!$E$23=3,BH331)))</f>
        <v>434.7</v>
      </c>
      <c r="I331" s="147">
        <f>IF(Select!$E$23=1,AI331,IF(Select!$E$23=2,AV331,IF(Select!$E$23=3,BI331)))</f>
        <v>470.35</v>
      </c>
      <c r="J331" s="147">
        <f>IF(Select!$E$23=1,AJ331,IF(Select!$E$23=2,AW331,IF(Select!$E$23=3,BJ331)))</f>
        <v>470.35</v>
      </c>
      <c r="K331" s="147">
        <f>IF(Select!$E$23=1,AK331,IF(Select!$E$23=2,AX331,IF(Select!$E$23=3,BK331)))</f>
        <v>486.14</v>
      </c>
      <c r="L331" s="147">
        <f>IF(Select!$E$23=1,AL331,IF(Select!$E$23=2,AY331,IF(Select!$E$23=3,BL331)))</f>
        <v>0</v>
      </c>
      <c r="M331" s="147">
        <f>IF(Select!$E$23=1,AM331,IF(Select!$E$23=2,AZ331,IF(Select!$E$23=3,BM331)))</f>
        <v>529.74</v>
      </c>
      <c r="N331" s="147">
        <f>IF(Select!$E$23=1,AN331,IF(Select!$E$23=2,BA331,IF(Select!$E$23=3,BN331)))</f>
        <v>0</v>
      </c>
      <c r="O331" s="197">
        <v>402.5</v>
      </c>
      <c r="P331" s="197">
        <v>432.69</v>
      </c>
      <c r="Q331" s="197">
        <v>460</v>
      </c>
      <c r="R331" s="197">
        <v>465.75</v>
      </c>
      <c r="S331" s="197">
        <v>465.75</v>
      </c>
      <c r="T331" s="197">
        <v>504.56</v>
      </c>
      <c r="U331" s="197">
        <v>543.38</v>
      </c>
      <c r="V331" s="197">
        <v>587.94000000000005</v>
      </c>
      <c r="W331" s="197">
        <v>587.94000000000005</v>
      </c>
      <c r="X331" s="197">
        <v>607.67999999999995</v>
      </c>
      <c r="Y331" s="197">
        <v>0</v>
      </c>
      <c r="Z331" s="197">
        <v>662.18</v>
      </c>
      <c r="AA331" s="197">
        <v>0</v>
      </c>
      <c r="AB331" s="147">
        <f>ROUND(O331*(1-'Disc Dep'!$C$116),2)</f>
        <v>322</v>
      </c>
      <c r="AC331" s="147">
        <f>ROUND(P331*(1-'Disc Dep'!$C$116),2)</f>
        <v>346.15</v>
      </c>
      <c r="AD331" s="147">
        <f>ROUND(Q331*(1-'Disc Dep'!$C$116),2)</f>
        <v>368</v>
      </c>
      <c r="AE331" s="147">
        <f>ROUND(R331*(1-'Disc Dep'!$C$116),2)</f>
        <v>372.6</v>
      </c>
      <c r="AF331" s="147">
        <f>ROUND(S331*(1-'Disc Dep'!$C$116),2)</f>
        <v>372.6</v>
      </c>
      <c r="AG331" s="147">
        <f>ROUND(T331*(1-'Disc Dep'!$C$116),2)</f>
        <v>403.65</v>
      </c>
      <c r="AH331" s="147">
        <f>ROUND(U331*(1-'Disc Dep'!$C$116),2)</f>
        <v>434.7</v>
      </c>
      <c r="AI331" s="147">
        <f>ROUND(V331*(1-'Disc Dep'!$C$116),2)</f>
        <v>470.35</v>
      </c>
      <c r="AJ331" s="147">
        <f>ROUND(W331*(1-'Disc Dep'!$C$116),2)</f>
        <v>470.35</v>
      </c>
      <c r="AK331" s="147">
        <f>ROUND(X331*(1-'Disc Dep'!$C$116),2)</f>
        <v>486.14</v>
      </c>
      <c r="AL331" s="147">
        <f>ROUND(Y331*(1-'Disc Dep'!$C$116),2)</f>
        <v>0</v>
      </c>
      <c r="AM331" s="147">
        <f>ROUND(Z331*(1-'Disc Dep'!$C$116),2)</f>
        <v>529.74</v>
      </c>
      <c r="AN331" s="147">
        <f>ROUND(AA331*(1-'Disc Dep'!$C$116),2)</f>
        <v>0</v>
      </c>
      <c r="AO331" s="147">
        <f>ROUND(AB331*(1+'Adaos Distr'!$C$116),2)</f>
        <v>322</v>
      </c>
      <c r="AP331" s="147">
        <f>ROUND(AC331*(1+'Adaos Distr'!$C$116),2)</f>
        <v>346.15</v>
      </c>
      <c r="AQ331" s="147">
        <f>ROUND(AD331*(1+'Adaos Distr'!$C$116),2)</f>
        <v>368</v>
      </c>
      <c r="AR331" s="147">
        <f>ROUND(AE331*(1+'Adaos Distr'!$C$116),2)</f>
        <v>372.6</v>
      </c>
      <c r="AS331" s="147">
        <f>ROUND(AF331*(1+'Adaos Distr'!$C$116),2)</f>
        <v>372.6</v>
      </c>
      <c r="AT331" s="147">
        <f>ROUND(AG331*(1+'Adaos Distr'!$C$116),2)</f>
        <v>403.65</v>
      </c>
      <c r="AU331" s="147">
        <f>ROUND(AH331*(1+'Adaos Distr'!$C$116),2)</f>
        <v>434.7</v>
      </c>
      <c r="AV331" s="147">
        <f>ROUND(AI331*(1+'Adaos Distr'!$C$116),2)</f>
        <v>470.35</v>
      </c>
      <c r="AW331" s="147">
        <f>ROUND(AJ331*(1+'Adaos Distr'!$C$116),2)</f>
        <v>470.35</v>
      </c>
      <c r="AX331" s="147">
        <f>ROUND(AK331*(1+'Adaos Distr'!$C$116),2)</f>
        <v>486.14</v>
      </c>
      <c r="AY331" s="147">
        <f>ROUND(AL331*(1+'Adaos Distr'!$C$116),2)</f>
        <v>0</v>
      </c>
      <c r="AZ331" s="147">
        <f>ROUND(AM331*(1+'Adaos Distr'!$C$116),2)</f>
        <v>529.74</v>
      </c>
      <c r="BA331" s="147">
        <f>ROUND(AN331*(1+'Adaos Distr'!$C$116),2)</f>
        <v>0</v>
      </c>
      <c r="BB331" s="147">
        <f>ROUND(AO331*(1+'Adaos RESELLER'!$C$116),2)</f>
        <v>322</v>
      </c>
      <c r="BC331" s="147">
        <f>ROUND(AP331*(1+'Adaos RESELLER'!$C$116),2)</f>
        <v>346.15</v>
      </c>
      <c r="BD331" s="147">
        <f>ROUND(AQ331*(1+'Adaos RESELLER'!$C$116),2)</f>
        <v>368</v>
      </c>
      <c r="BE331" s="147">
        <f>ROUND(AR331*(1+'Adaos RESELLER'!$C$116),2)</f>
        <v>372.6</v>
      </c>
      <c r="BF331" s="147">
        <f>ROUND(AS331*(1+'Adaos RESELLER'!$C$116),2)</f>
        <v>372.6</v>
      </c>
      <c r="BG331" s="147">
        <f>ROUND(AT331*(1+'Adaos RESELLER'!$C$116),2)</f>
        <v>403.65</v>
      </c>
      <c r="BH331" s="147">
        <f>ROUND(AU331*(1+'Adaos RESELLER'!$C$116),2)</f>
        <v>434.7</v>
      </c>
      <c r="BI331" s="147">
        <f>ROUND(AV331*(1+'Adaos RESELLER'!$C$116),2)</f>
        <v>470.35</v>
      </c>
      <c r="BJ331" s="147">
        <f>ROUND(AW331*(1+'Adaos RESELLER'!$C$116),2)</f>
        <v>470.35</v>
      </c>
      <c r="BK331" s="147">
        <f>ROUND(AX331*(1+'Adaos RESELLER'!$C$116),2)</f>
        <v>486.14</v>
      </c>
      <c r="BL331" s="147">
        <f>ROUND(AY331*(1+'Adaos RESELLER'!$C$116),2)</f>
        <v>0</v>
      </c>
      <c r="BM331" s="147">
        <f>ROUND(AZ331*(1+'Adaos RESELLER'!$C$116),2)</f>
        <v>529.74</v>
      </c>
      <c r="BN331" s="147">
        <f>ROUND(BA331*(1+'Adaos RESELLER'!$C$116),2)</f>
        <v>0</v>
      </c>
    </row>
    <row r="332" spans="1:66">
      <c r="A332" s="147" t="str">
        <f>Lang!A336</f>
        <v>Fereastra Dakea Better Safe</v>
      </c>
      <c r="B332" s="147">
        <f>IF(Select!$E$23=1,AB332,IF(Select!$E$23=2,AO332,IF(Select!$E$23=3,BB332)))</f>
        <v>215.18</v>
      </c>
      <c r="C332" s="147">
        <f>IF(Select!$E$23=1,AC332,IF(Select!$E$23=2,AP332,IF(Select!$E$23=3,BC332)))</f>
        <v>226.84</v>
      </c>
      <c r="D332" s="147">
        <f>IF(Select!$E$23=1,AD332,IF(Select!$E$23=2,AQ332,IF(Select!$E$23=3,BD332)))</f>
        <v>258.64</v>
      </c>
      <c r="E332" s="147">
        <f>IF(Select!$E$23=1,AE332,IF(Select!$E$23=2,AR332,IF(Select!$E$23=3,BE332)))</f>
        <v>251.22</v>
      </c>
      <c r="F332" s="147">
        <f>IF(Select!$E$23=1,AF332,IF(Select!$E$23=2,AS332,IF(Select!$E$23=3,BF332)))</f>
        <v>268.14</v>
      </c>
      <c r="G332" s="147">
        <f>IF(Select!$E$23=1,AG332,IF(Select!$E$23=2,AT332,IF(Select!$E$23=3,BG332)))</f>
        <v>269.24</v>
      </c>
      <c r="H332" s="147">
        <f>IF(Select!$E$23=1,AH332,IF(Select!$E$23=2,AU332,IF(Select!$E$23=3,BH332)))</f>
        <v>306.29000000000002</v>
      </c>
      <c r="I332" s="147">
        <f>IF(Select!$E$23=1,AI332,IF(Select!$E$23=2,AV332,IF(Select!$E$23=3,BI332)))</f>
        <v>343.84</v>
      </c>
      <c r="J332" s="147">
        <f>IF(Select!$E$23=1,AJ332,IF(Select!$E$23=2,AW332,IF(Select!$E$23=3,BJ332)))</f>
        <v>324.82</v>
      </c>
      <c r="K332" s="147">
        <f>IF(Select!$E$23=1,AK332,IF(Select!$E$23=2,AX332,IF(Select!$E$23=3,BK332)))</f>
        <v>358.61</v>
      </c>
      <c r="L332" s="147">
        <f>IF(Select!$E$23=1,AL332,IF(Select!$E$23=2,AY332,IF(Select!$E$23=3,BL332)))</f>
        <v>386.4</v>
      </c>
      <c r="M332" s="147">
        <f>IF(Select!$E$23=1,AM332,IF(Select!$E$23=2,AZ332,IF(Select!$E$23=3,BM332)))</f>
        <v>381.5</v>
      </c>
      <c r="N332" s="147">
        <f>IF(Select!$E$23=1,AN332,IF(Select!$E$23=2,BA332,IF(Select!$E$23=3,BN332)))</f>
        <v>439.27</v>
      </c>
      <c r="O332" s="197">
        <v>268.98</v>
      </c>
      <c r="P332" s="197">
        <v>283.55</v>
      </c>
      <c r="Q332" s="197">
        <v>323.3</v>
      </c>
      <c r="R332" s="197">
        <v>314.02999999999997</v>
      </c>
      <c r="S332" s="197">
        <v>335.18</v>
      </c>
      <c r="T332" s="197">
        <v>336.55</v>
      </c>
      <c r="U332" s="197">
        <v>382.86</v>
      </c>
      <c r="V332" s="197">
        <v>429.8</v>
      </c>
      <c r="W332" s="197">
        <v>406.03</v>
      </c>
      <c r="X332" s="197">
        <v>448.26</v>
      </c>
      <c r="Y332" s="197">
        <v>483</v>
      </c>
      <c r="Z332" s="197">
        <v>476.88</v>
      </c>
      <c r="AA332" s="197">
        <v>549.09</v>
      </c>
      <c r="AB332" s="147">
        <f>ROUND(O332*(1-'Disc Dep'!$C$116),2)</f>
        <v>215.18</v>
      </c>
      <c r="AC332" s="147">
        <f>ROUND(P332*(1-'Disc Dep'!$C$116),2)</f>
        <v>226.84</v>
      </c>
      <c r="AD332" s="147">
        <f>ROUND(Q332*(1-'Disc Dep'!$C$116),2)</f>
        <v>258.64</v>
      </c>
      <c r="AE332" s="147">
        <f>ROUND(R332*(1-'Disc Dep'!$C$116),2)</f>
        <v>251.22</v>
      </c>
      <c r="AF332" s="147">
        <f>ROUND(S332*(1-'Disc Dep'!$C$116),2)</f>
        <v>268.14</v>
      </c>
      <c r="AG332" s="147">
        <f>ROUND(T332*(1-'Disc Dep'!$C$116),2)</f>
        <v>269.24</v>
      </c>
      <c r="AH332" s="147">
        <f>ROUND(U332*(1-'Disc Dep'!$C$116),2)</f>
        <v>306.29000000000002</v>
      </c>
      <c r="AI332" s="147">
        <f>ROUND(V332*(1-'Disc Dep'!$C$116),2)</f>
        <v>343.84</v>
      </c>
      <c r="AJ332" s="147">
        <f>ROUND(W332*(1-'Disc Dep'!$C$116),2)</f>
        <v>324.82</v>
      </c>
      <c r="AK332" s="147">
        <f>ROUND(X332*(1-'Disc Dep'!$C$116),2)</f>
        <v>358.61</v>
      </c>
      <c r="AL332" s="147">
        <f>ROUND(Y332*(1-'Disc Dep'!$C$116),2)</f>
        <v>386.4</v>
      </c>
      <c r="AM332" s="147">
        <f>ROUND(Z332*(1-'Disc Dep'!$C$116),2)</f>
        <v>381.5</v>
      </c>
      <c r="AN332" s="147">
        <f>ROUND(AA332*(1-'Disc Dep'!$C$116),2)</f>
        <v>439.27</v>
      </c>
      <c r="AO332" s="147">
        <f>ROUND(AB332*(1+'Adaos Distr'!$C$116),2)</f>
        <v>215.18</v>
      </c>
      <c r="AP332" s="147">
        <f>ROUND(AC332*(1+'Adaos Distr'!$C$116),2)</f>
        <v>226.84</v>
      </c>
      <c r="AQ332" s="147">
        <f>ROUND(AD332*(1+'Adaos Distr'!$C$116),2)</f>
        <v>258.64</v>
      </c>
      <c r="AR332" s="147">
        <f>ROUND(AE332*(1+'Adaos Distr'!$C$116),2)</f>
        <v>251.22</v>
      </c>
      <c r="AS332" s="147">
        <f>ROUND(AF332*(1+'Adaos Distr'!$C$116),2)</f>
        <v>268.14</v>
      </c>
      <c r="AT332" s="147">
        <f>ROUND(AG332*(1+'Adaos Distr'!$C$116),2)</f>
        <v>269.24</v>
      </c>
      <c r="AU332" s="147">
        <f>ROUND(AH332*(1+'Adaos Distr'!$C$116),2)</f>
        <v>306.29000000000002</v>
      </c>
      <c r="AV332" s="147">
        <f>ROUND(AI332*(1+'Adaos Distr'!$C$116),2)</f>
        <v>343.84</v>
      </c>
      <c r="AW332" s="147">
        <f>ROUND(AJ332*(1+'Adaos Distr'!$C$116),2)</f>
        <v>324.82</v>
      </c>
      <c r="AX332" s="147">
        <f>ROUND(AK332*(1+'Adaos Distr'!$C$116),2)</f>
        <v>358.61</v>
      </c>
      <c r="AY332" s="147">
        <f>ROUND(AL332*(1+'Adaos Distr'!$C$116),2)</f>
        <v>386.4</v>
      </c>
      <c r="AZ332" s="147">
        <f>ROUND(AM332*(1+'Adaos Distr'!$C$116),2)</f>
        <v>381.5</v>
      </c>
      <c r="BA332" s="147">
        <f>ROUND(AN332*(1+'Adaos Distr'!$C$116),2)</f>
        <v>439.27</v>
      </c>
      <c r="BB332" s="147">
        <f>ROUND(AO332*(1+'Adaos RESELLER'!$C$116),2)</f>
        <v>215.18</v>
      </c>
      <c r="BC332" s="147">
        <f>ROUND(AP332*(1+'Adaos RESELLER'!$C$116),2)</f>
        <v>226.84</v>
      </c>
      <c r="BD332" s="147">
        <f>ROUND(AQ332*(1+'Adaos RESELLER'!$C$116),2)</f>
        <v>258.64</v>
      </c>
      <c r="BE332" s="147">
        <f>ROUND(AR332*(1+'Adaos RESELLER'!$C$116),2)</f>
        <v>251.22</v>
      </c>
      <c r="BF332" s="147">
        <f>ROUND(AS332*(1+'Adaos RESELLER'!$C$116),2)</f>
        <v>268.14</v>
      </c>
      <c r="BG332" s="147">
        <f>ROUND(AT332*(1+'Adaos RESELLER'!$C$116),2)</f>
        <v>269.24</v>
      </c>
      <c r="BH332" s="147">
        <f>ROUND(AU332*(1+'Adaos RESELLER'!$C$116),2)</f>
        <v>306.29000000000002</v>
      </c>
      <c r="BI332" s="147">
        <f>ROUND(AV332*(1+'Adaos RESELLER'!$C$116),2)</f>
        <v>343.84</v>
      </c>
      <c r="BJ332" s="147">
        <f>ROUND(AW332*(1+'Adaos RESELLER'!$C$116),2)</f>
        <v>324.82</v>
      </c>
      <c r="BK332" s="147">
        <f>ROUND(AX332*(1+'Adaos RESELLER'!$C$116),2)</f>
        <v>358.61</v>
      </c>
      <c r="BL332" s="147">
        <f>ROUND(AY332*(1+'Adaos RESELLER'!$C$116),2)</f>
        <v>386.4</v>
      </c>
      <c r="BM332" s="147">
        <f>ROUND(AZ332*(1+'Adaos RESELLER'!$C$116),2)</f>
        <v>381.5</v>
      </c>
      <c r="BN332" s="147">
        <f>ROUND(BA332*(1+'Adaos RESELLER'!$C$116),2)</f>
        <v>439.27</v>
      </c>
    </row>
    <row r="333" spans="1:66">
      <c r="A333" s="147" t="str">
        <f>Lang!A337</f>
        <v>Fereastra Dakea Better Safe PVC</v>
      </c>
      <c r="B333" s="147">
        <f>IF(Select!$E$23=1,AB333,IF(Select!$E$23=2,AO333,IF(Select!$E$23=3,BB333)))</f>
        <v>277.07</v>
      </c>
      <c r="C333" s="147">
        <f>IF(Select!$E$23=1,AC333,IF(Select!$E$23=2,AP333,IF(Select!$E$23=3,BC333)))</f>
        <v>308.45999999999998</v>
      </c>
      <c r="D333" s="147">
        <f>IF(Select!$E$23=1,AD333,IF(Select!$E$23=2,AQ333,IF(Select!$E$23=3,BD333)))</f>
        <v>323.3</v>
      </c>
      <c r="E333" s="147">
        <f>IF(Select!$E$23=1,AE333,IF(Select!$E$23=2,AR333,IF(Select!$E$23=3,BE333)))</f>
        <v>325.42</v>
      </c>
      <c r="F333" s="147">
        <f>IF(Select!$E$23=1,AF333,IF(Select!$E$23=2,AS333,IF(Select!$E$23=3,BF333)))</f>
        <v>328.49</v>
      </c>
      <c r="G333" s="147">
        <f>IF(Select!$E$23=1,AG333,IF(Select!$E$23=2,AT333,IF(Select!$E$23=3,BG333)))</f>
        <v>358.28</v>
      </c>
      <c r="H333" s="147">
        <f>IF(Select!$E$23=1,AH333,IF(Select!$E$23=2,AU333,IF(Select!$E$23=3,BH333)))</f>
        <v>384.48</v>
      </c>
      <c r="I333" s="147">
        <f>IF(Select!$E$23=1,AI333,IF(Select!$E$23=2,AV333,IF(Select!$E$23=3,BI333)))</f>
        <v>449.65</v>
      </c>
      <c r="J333" s="147">
        <f>IF(Select!$E$23=1,AJ333,IF(Select!$E$23=2,AW333,IF(Select!$E$23=3,BJ333)))</f>
        <v>391.14</v>
      </c>
      <c r="K333" s="147">
        <f>IF(Select!$E$23=1,AK333,IF(Select!$E$23=2,AX333,IF(Select!$E$23=3,BK333)))</f>
        <v>428.24</v>
      </c>
      <c r="L333" s="147">
        <f>IF(Select!$E$23=1,AL333,IF(Select!$E$23=2,AY333,IF(Select!$E$23=3,BL333)))</f>
        <v>0</v>
      </c>
      <c r="M333" s="147">
        <f>IF(Select!$E$23=1,AM333,IF(Select!$E$23=2,AZ333,IF(Select!$E$23=3,BM333)))</f>
        <v>472.76</v>
      </c>
      <c r="N333" s="147">
        <f>IF(Select!$E$23=1,AN333,IF(Select!$E$23=2,BA333,IF(Select!$E$23=3,BN333)))</f>
        <v>0</v>
      </c>
      <c r="O333" s="197">
        <v>346.34</v>
      </c>
      <c r="P333" s="197">
        <v>385.58</v>
      </c>
      <c r="Q333" s="197">
        <v>404.13</v>
      </c>
      <c r="R333" s="197">
        <v>406.78</v>
      </c>
      <c r="S333" s="197">
        <v>410.61</v>
      </c>
      <c r="T333" s="197">
        <v>447.85</v>
      </c>
      <c r="U333" s="197">
        <v>480.6</v>
      </c>
      <c r="V333" s="197">
        <v>562.05999999999995</v>
      </c>
      <c r="W333" s="197">
        <v>488.93</v>
      </c>
      <c r="X333" s="197">
        <v>535.29999999999995</v>
      </c>
      <c r="Y333" s="197">
        <v>0</v>
      </c>
      <c r="Z333" s="197">
        <v>590.95000000000005</v>
      </c>
      <c r="AA333" s="197">
        <v>0</v>
      </c>
      <c r="AB333" s="147">
        <f>ROUND(O333*(1-'Disc Dep'!$C$116),2)</f>
        <v>277.07</v>
      </c>
      <c r="AC333" s="147">
        <f>ROUND(P333*(1-'Disc Dep'!$C$116),2)</f>
        <v>308.45999999999998</v>
      </c>
      <c r="AD333" s="147">
        <f>ROUND(Q333*(1-'Disc Dep'!$C$116),2)</f>
        <v>323.3</v>
      </c>
      <c r="AE333" s="147">
        <f>ROUND(R333*(1-'Disc Dep'!$C$116),2)</f>
        <v>325.42</v>
      </c>
      <c r="AF333" s="147">
        <f>ROUND(S333*(1-'Disc Dep'!$C$116),2)</f>
        <v>328.49</v>
      </c>
      <c r="AG333" s="147">
        <f>ROUND(T333*(1-'Disc Dep'!$C$116),2)</f>
        <v>358.28</v>
      </c>
      <c r="AH333" s="147">
        <f>ROUND(U333*(1-'Disc Dep'!$C$116),2)</f>
        <v>384.48</v>
      </c>
      <c r="AI333" s="147">
        <f>ROUND(V333*(1-'Disc Dep'!$C$116),2)</f>
        <v>449.65</v>
      </c>
      <c r="AJ333" s="147">
        <f>ROUND(W333*(1-'Disc Dep'!$C$116),2)</f>
        <v>391.14</v>
      </c>
      <c r="AK333" s="147">
        <f>ROUND(X333*(1-'Disc Dep'!$C$116),2)</f>
        <v>428.24</v>
      </c>
      <c r="AL333" s="147">
        <f>ROUND(Y333*(1-'Disc Dep'!$C$116),2)</f>
        <v>0</v>
      </c>
      <c r="AM333" s="147">
        <f>ROUND(Z333*(1-'Disc Dep'!$C$116),2)</f>
        <v>472.76</v>
      </c>
      <c r="AN333" s="147">
        <f>ROUND(AA333*(1-'Disc Dep'!$C$116),2)</f>
        <v>0</v>
      </c>
      <c r="AO333" s="147">
        <f>ROUND(AB333*(1+'Adaos Distr'!$C$116),2)</f>
        <v>277.07</v>
      </c>
      <c r="AP333" s="147">
        <f>ROUND(AC333*(1+'Adaos Distr'!$C$116),2)</f>
        <v>308.45999999999998</v>
      </c>
      <c r="AQ333" s="147">
        <f>ROUND(AD333*(1+'Adaos Distr'!$C$116),2)</f>
        <v>323.3</v>
      </c>
      <c r="AR333" s="147">
        <f>ROUND(AE333*(1+'Adaos Distr'!$C$116),2)</f>
        <v>325.42</v>
      </c>
      <c r="AS333" s="147">
        <f>ROUND(AF333*(1+'Adaos Distr'!$C$116),2)</f>
        <v>328.49</v>
      </c>
      <c r="AT333" s="147">
        <f>ROUND(AG333*(1+'Adaos Distr'!$C$116),2)</f>
        <v>358.28</v>
      </c>
      <c r="AU333" s="147">
        <f>ROUND(AH333*(1+'Adaos Distr'!$C$116),2)</f>
        <v>384.48</v>
      </c>
      <c r="AV333" s="147">
        <f>ROUND(AI333*(1+'Adaos Distr'!$C$116),2)</f>
        <v>449.65</v>
      </c>
      <c r="AW333" s="147">
        <f>ROUND(AJ333*(1+'Adaos Distr'!$C$116),2)</f>
        <v>391.14</v>
      </c>
      <c r="AX333" s="147">
        <f>ROUND(AK333*(1+'Adaos Distr'!$C$116),2)</f>
        <v>428.24</v>
      </c>
      <c r="AY333" s="147">
        <f>ROUND(AL333*(1+'Adaos Distr'!$C$116),2)</f>
        <v>0</v>
      </c>
      <c r="AZ333" s="147">
        <f>ROUND(AM333*(1+'Adaos Distr'!$C$116),2)</f>
        <v>472.76</v>
      </c>
      <c r="BA333" s="147">
        <f>ROUND(AN333*(1+'Adaos Distr'!$C$116),2)</f>
        <v>0</v>
      </c>
      <c r="BB333" s="147">
        <f>ROUND(AO333*(1+'Adaos RESELLER'!$C$116),2)</f>
        <v>277.07</v>
      </c>
      <c r="BC333" s="147">
        <f>ROUND(AP333*(1+'Adaos RESELLER'!$C$116),2)</f>
        <v>308.45999999999998</v>
      </c>
      <c r="BD333" s="147">
        <f>ROUND(AQ333*(1+'Adaos RESELLER'!$C$116),2)</f>
        <v>323.3</v>
      </c>
      <c r="BE333" s="147">
        <f>ROUND(AR333*(1+'Adaos RESELLER'!$C$116),2)</f>
        <v>325.42</v>
      </c>
      <c r="BF333" s="147">
        <f>ROUND(AS333*(1+'Adaos RESELLER'!$C$116),2)</f>
        <v>328.49</v>
      </c>
      <c r="BG333" s="147">
        <f>ROUND(AT333*(1+'Adaos RESELLER'!$C$116),2)</f>
        <v>358.28</v>
      </c>
      <c r="BH333" s="147">
        <f>ROUND(AU333*(1+'Adaos RESELLER'!$C$116),2)</f>
        <v>384.48</v>
      </c>
      <c r="BI333" s="147">
        <f>ROUND(AV333*(1+'Adaos RESELLER'!$C$116),2)</f>
        <v>449.65</v>
      </c>
      <c r="BJ333" s="147">
        <f>ROUND(AW333*(1+'Adaos RESELLER'!$C$116),2)</f>
        <v>391.14</v>
      </c>
      <c r="BK333" s="147">
        <f>ROUND(AX333*(1+'Adaos RESELLER'!$C$116),2)</f>
        <v>428.24</v>
      </c>
      <c r="BL333" s="147">
        <f>ROUND(AY333*(1+'Adaos RESELLER'!$C$116),2)</f>
        <v>0</v>
      </c>
      <c r="BM333" s="147">
        <f>ROUND(AZ333*(1+'Adaos RESELLER'!$C$116),2)</f>
        <v>472.76</v>
      </c>
      <c r="BN333" s="147">
        <f>ROUND(BA333*(1+'Adaos RESELLER'!$C$116),2)</f>
        <v>0</v>
      </c>
    </row>
    <row r="334" spans="1:66">
      <c r="A334" s="147" t="str">
        <f>Lang!A338</f>
        <v>Fereastra Dakea Better Energy</v>
      </c>
      <c r="B334" s="147">
        <f>IF(Select!$E$23=1,AB334,IF(Select!$E$23=2,AO334,IF(Select!$E$23=3,BB334)))</f>
        <v>261.36</v>
      </c>
      <c r="C334" s="147">
        <f>IF(Select!$E$23=1,AC334,IF(Select!$E$23=2,AP334,IF(Select!$E$23=3,BC334)))</f>
        <v>273.52</v>
      </c>
      <c r="D334" s="147">
        <f>IF(Select!$E$23=1,AD334,IF(Select!$E$23=2,AQ334,IF(Select!$E$23=3,BD334)))</f>
        <v>305.2</v>
      </c>
      <c r="E334" s="147">
        <f>IF(Select!$E$23=1,AE334,IF(Select!$E$23=2,AR334,IF(Select!$E$23=3,BE334)))</f>
        <v>299.60000000000002</v>
      </c>
      <c r="F334" s="147">
        <f>IF(Select!$E$23=1,AF334,IF(Select!$E$23=2,AS334,IF(Select!$E$23=3,BF334)))</f>
        <v>305.2</v>
      </c>
      <c r="G334" s="147">
        <f>IF(Select!$E$23=1,AG334,IF(Select!$E$23=2,AT334,IF(Select!$E$23=3,BG334)))</f>
        <v>332.45</v>
      </c>
      <c r="H334" s="147">
        <f>IF(Select!$E$23=1,AH334,IF(Select!$E$23=2,AU334,IF(Select!$E$23=3,BH334)))</f>
        <v>354.25</v>
      </c>
      <c r="I334" s="147">
        <f>IF(Select!$E$23=1,AI334,IF(Select!$E$23=2,AV334,IF(Select!$E$23=3,BI334)))</f>
        <v>404.8</v>
      </c>
      <c r="J334" s="147">
        <f>IF(Select!$E$23=1,AJ334,IF(Select!$E$23=2,AW334,IF(Select!$E$23=3,BJ334)))</f>
        <v>386.95</v>
      </c>
      <c r="K334" s="147">
        <f>IF(Select!$E$23=1,AK334,IF(Select!$E$23=2,AX334,IF(Select!$E$23=3,BK334)))</f>
        <v>424.01</v>
      </c>
      <c r="L334" s="147">
        <f>IF(Select!$E$23=1,AL334,IF(Select!$E$23=2,AY334,IF(Select!$E$23=3,BL334)))</f>
        <v>433.82</v>
      </c>
      <c r="M334" s="147">
        <f>IF(Select!$E$23=1,AM334,IF(Select!$E$23=2,AZ334,IF(Select!$E$23=3,BM334)))</f>
        <v>442.54</v>
      </c>
      <c r="N334" s="147">
        <f>IF(Select!$E$23=1,AN334,IF(Select!$E$23=2,BA334,IF(Select!$E$23=3,BN334)))</f>
        <v>503.58</v>
      </c>
      <c r="O334" s="197">
        <v>326.7</v>
      </c>
      <c r="P334" s="197">
        <v>341.9</v>
      </c>
      <c r="Q334" s="197">
        <v>381.5</v>
      </c>
      <c r="R334" s="197">
        <v>374.5</v>
      </c>
      <c r="S334" s="197">
        <v>381.5</v>
      </c>
      <c r="T334" s="197">
        <v>415.56</v>
      </c>
      <c r="U334" s="197">
        <v>442.81</v>
      </c>
      <c r="V334" s="197">
        <v>506</v>
      </c>
      <c r="W334" s="197">
        <v>483.69</v>
      </c>
      <c r="X334" s="197">
        <v>530.01</v>
      </c>
      <c r="Y334" s="197">
        <v>542.28</v>
      </c>
      <c r="Z334" s="197">
        <v>553.17999999999995</v>
      </c>
      <c r="AA334" s="197">
        <v>629.48</v>
      </c>
      <c r="AB334" s="147">
        <f>ROUND(O334*(1-'Disc Dep'!$C$116),2)</f>
        <v>261.36</v>
      </c>
      <c r="AC334" s="147">
        <f>ROUND(P334*(1-'Disc Dep'!$C$116),2)</f>
        <v>273.52</v>
      </c>
      <c r="AD334" s="147">
        <f>ROUND(Q334*(1-'Disc Dep'!$C$116),2)</f>
        <v>305.2</v>
      </c>
      <c r="AE334" s="147">
        <f>ROUND(R334*(1-'Disc Dep'!$C$116),2)</f>
        <v>299.60000000000002</v>
      </c>
      <c r="AF334" s="147">
        <f>ROUND(S334*(1-'Disc Dep'!$C$116),2)</f>
        <v>305.2</v>
      </c>
      <c r="AG334" s="147">
        <f>ROUND(T334*(1-'Disc Dep'!$C$116),2)</f>
        <v>332.45</v>
      </c>
      <c r="AH334" s="147">
        <f>ROUND(U334*(1-'Disc Dep'!$C$116),2)</f>
        <v>354.25</v>
      </c>
      <c r="AI334" s="147">
        <f>ROUND(V334*(1-'Disc Dep'!$C$116),2)</f>
        <v>404.8</v>
      </c>
      <c r="AJ334" s="147">
        <f>ROUND(W334*(1-'Disc Dep'!$C$116),2)</f>
        <v>386.95</v>
      </c>
      <c r="AK334" s="147">
        <f>ROUND(X334*(1-'Disc Dep'!$C$116),2)</f>
        <v>424.01</v>
      </c>
      <c r="AL334" s="147">
        <f>ROUND(Y334*(1-'Disc Dep'!$C$116),2)</f>
        <v>433.82</v>
      </c>
      <c r="AM334" s="147">
        <f>ROUND(Z334*(1-'Disc Dep'!$C$116),2)</f>
        <v>442.54</v>
      </c>
      <c r="AN334" s="147">
        <f>ROUND(AA334*(1-'Disc Dep'!$C$116),2)</f>
        <v>503.58</v>
      </c>
      <c r="AO334" s="147">
        <f>ROUND(AB334*(1+'Adaos Distr'!$C$116),2)</f>
        <v>261.36</v>
      </c>
      <c r="AP334" s="147">
        <f>ROUND(AC334*(1+'Adaos Distr'!$C$116),2)</f>
        <v>273.52</v>
      </c>
      <c r="AQ334" s="147">
        <f>ROUND(AD334*(1+'Adaos Distr'!$C$116),2)</f>
        <v>305.2</v>
      </c>
      <c r="AR334" s="147">
        <f>ROUND(AE334*(1+'Adaos Distr'!$C$116),2)</f>
        <v>299.60000000000002</v>
      </c>
      <c r="AS334" s="147">
        <f>ROUND(AF334*(1+'Adaos Distr'!$C$116),2)</f>
        <v>305.2</v>
      </c>
      <c r="AT334" s="147">
        <f>ROUND(AG334*(1+'Adaos Distr'!$C$116),2)</f>
        <v>332.45</v>
      </c>
      <c r="AU334" s="147">
        <f>ROUND(AH334*(1+'Adaos Distr'!$C$116),2)</f>
        <v>354.25</v>
      </c>
      <c r="AV334" s="147">
        <f>ROUND(AI334*(1+'Adaos Distr'!$C$116),2)</f>
        <v>404.8</v>
      </c>
      <c r="AW334" s="147">
        <f>ROUND(AJ334*(1+'Adaos Distr'!$C$116),2)</f>
        <v>386.95</v>
      </c>
      <c r="AX334" s="147">
        <f>ROUND(AK334*(1+'Adaos Distr'!$C$116),2)</f>
        <v>424.01</v>
      </c>
      <c r="AY334" s="147">
        <f>ROUND(AL334*(1+'Adaos Distr'!$C$116),2)</f>
        <v>433.82</v>
      </c>
      <c r="AZ334" s="147">
        <f>ROUND(AM334*(1+'Adaos Distr'!$C$116),2)</f>
        <v>442.54</v>
      </c>
      <c r="BA334" s="147">
        <f>ROUND(AN334*(1+'Adaos Distr'!$C$116),2)</f>
        <v>503.58</v>
      </c>
      <c r="BB334" s="147">
        <f>ROUND(AO334*(1+'Adaos RESELLER'!$C$116),2)</f>
        <v>261.36</v>
      </c>
      <c r="BC334" s="147">
        <f>ROUND(AP334*(1+'Adaos RESELLER'!$C$116),2)</f>
        <v>273.52</v>
      </c>
      <c r="BD334" s="147">
        <f>ROUND(AQ334*(1+'Adaos RESELLER'!$C$116),2)</f>
        <v>305.2</v>
      </c>
      <c r="BE334" s="147">
        <f>ROUND(AR334*(1+'Adaos RESELLER'!$C$116),2)</f>
        <v>299.60000000000002</v>
      </c>
      <c r="BF334" s="147">
        <f>ROUND(AS334*(1+'Adaos RESELLER'!$C$116),2)</f>
        <v>305.2</v>
      </c>
      <c r="BG334" s="147">
        <f>ROUND(AT334*(1+'Adaos RESELLER'!$C$116),2)</f>
        <v>332.45</v>
      </c>
      <c r="BH334" s="147">
        <f>ROUND(AU334*(1+'Adaos RESELLER'!$C$116),2)</f>
        <v>354.25</v>
      </c>
      <c r="BI334" s="147">
        <f>ROUND(AV334*(1+'Adaos RESELLER'!$C$116),2)</f>
        <v>404.8</v>
      </c>
      <c r="BJ334" s="147">
        <f>ROUND(AW334*(1+'Adaos RESELLER'!$C$116),2)</f>
        <v>386.95</v>
      </c>
      <c r="BK334" s="147">
        <f>ROUND(AX334*(1+'Adaos RESELLER'!$C$116),2)</f>
        <v>424.01</v>
      </c>
      <c r="BL334" s="147">
        <f>ROUND(AY334*(1+'Adaos RESELLER'!$C$116),2)</f>
        <v>433.82</v>
      </c>
      <c r="BM334" s="147">
        <f>ROUND(AZ334*(1+'Adaos RESELLER'!$C$116),2)</f>
        <v>442.54</v>
      </c>
      <c r="BN334" s="147">
        <f>ROUND(BA334*(1+'Adaos RESELLER'!$C$116),2)</f>
        <v>503.58</v>
      </c>
    </row>
    <row r="335" spans="1:66">
      <c r="A335" s="147" t="str">
        <f>Lang!A339</f>
        <v>Fereastra Dakea Better Energy PVC</v>
      </c>
      <c r="B335" s="147">
        <f>IF(Select!$E$23=1,AB335,IF(Select!$E$23=2,AO335,IF(Select!$E$23=3,BB335)))</f>
        <v>317.79000000000002</v>
      </c>
      <c r="C335" s="147">
        <f>IF(Select!$E$23=1,AC335,IF(Select!$E$23=2,AP335,IF(Select!$E$23=3,BC335)))</f>
        <v>344.54</v>
      </c>
      <c r="D335" s="147">
        <f>IF(Select!$E$23=1,AD335,IF(Select!$E$23=2,AQ335,IF(Select!$E$23=3,BD335)))</f>
        <v>372.78</v>
      </c>
      <c r="E335" s="147">
        <f>IF(Select!$E$23=1,AE335,IF(Select!$E$23=2,AR335,IF(Select!$E$23=3,BE335)))</f>
        <v>376.05</v>
      </c>
      <c r="F335" s="147">
        <f>IF(Select!$E$23=1,AF335,IF(Select!$E$23=2,AS335,IF(Select!$E$23=3,BF335)))</f>
        <v>379.5</v>
      </c>
      <c r="G335" s="147">
        <f>IF(Select!$E$23=1,AG335,IF(Select!$E$23=2,AT335,IF(Select!$E$23=3,BG335)))</f>
        <v>417.76</v>
      </c>
      <c r="H335" s="147">
        <f>IF(Select!$E$23=1,AH335,IF(Select!$E$23=2,AU335,IF(Select!$E$23=3,BH335)))</f>
        <v>439.27</v>
      </c>
      <c r="I335" s="147">
        <f>IF(Select!$E$23=1,AI335,IF(Select!$E$23=2,AV335,IF(Select!$E$23=3,BI335)))</f>
        <v>499.1</v>
      </c>
      <c r="J335" s="147">
        <f>IF(Select!$E$23=1,AJ335,IF(Select!$E$23=2,AW335,IF(Select!$E$23=3,BJ335)))</f>
        <v>473.06</v>
      </c>
      <c r="K335" s="147">
        <f>IF(Select!$E$23=1,AK335,IF(Select!$E$23=2,AX335,IF(Select!$E$23=3,BK335)))</f>
        <v>519.92999999999995</v>
      </c>
      <c r="L335" s="147">
        <f>IF(Select!$E$23=1,AL335,IF(Select!$E$23=2,AY335,IF(Select!$E$23=3,BL335)))</f>
        <v>0</v>
      </c>
      <c r="M335" s="147">
        <f>IF(Select!$E$23=1,AM335,IF(Select!$E$23=2,AZ335,IF(Select!$E$23=3,BM335)))</f>
        <v>565.71</v>
      </c>
      <c r="N335" s="147">
        <f>IF(Select!$E$23=1,AN335,IF(Select!$E$23=2,BA335,IF(Select!$E$23=3,BN335)))</f>
        <v>0</v>
      </c>
      <c r="O335" s="197">
        <v>397.24</v>
      </c>
      <c r="P335" s="197">
        <v>430.68</v>
      </c>
      <c r="Q335" s="197">
        <v>465.98</v>
      </c>
      <c r="R335" s="197">
        <v>470.06</v>
      </c>
      <c r="S335" s="197">
        <v>474.38</v>
      </c>
      <c r="T335" s="197">
        <v>522.20000000000005</v>
      </c>
      <c r="U335" s="197">
        <v>549.09</v>
      </c>
      <c r="V335" s="197">
        <v>623.88</v>
      </c>
      <c r="W335" s="197">
        <v>591.33000000000004</v>
      </c>
      <c r="X335" s="197">
        <v>649.91</v>
      </c>
      <c r="Y335" s="197">
        <v>0</v>
      </c>
      <c r="Z335" s="197">
        <v>707.14</v>
      </c>
      <c r="AA335" s="197">
        <v>0</v>
      </c>
      <c r="AB335" s="147">
        <f>ROUND(O335*(1-'Disc Dep'!$C$116),2)</f>
        <v>317.79000000000002</v>
      </c>
      <c r="AC335" s="147">
        <f>ROUND(P335*(1-'Disc Dep'!$C$116),2)</f>
        <v>344.54</v>
      </c>
      <c r="AD335" s="147">
        <f>ROUND(Q335*(1-'Disc Dep'!$C$116),2)</f>
        <v>372.78</v>
      </c>
      <c r="AE335" s="147">
        <f>ROUND(R335*(1-'Disc Dep'!$C$116),2)</f>
        <v>376.05</v>
      </c>
      <c r="AF335" s="147">
        <f>ROUND(S335*(1-'Disc Dep'!$C$116),2)</f>
        <v>379.5</v>
      </c>
      <c r="AG335" s="147">
        <f>ROUND(T335*(1-'Disc Dep'!$C$116),2)</f>
        <v>417.76</v>
      </c>
      <c r="AH335" s="147">
        <f>ROUND(U335*(1-'Disc Dep'!$C$116),2)</f>
        <v>439.27</v>
      </c>
      <c r="AI335" s="147">
        <f>ROUND(V335*(1-'Disc Dep'!$C$116),2)</f>
        <v>499.1</v>
      </c>
      <c r="AJ335" s="147">
        <f>ROUND(W335*(1-'Disc Dep'!$C$116),2)</f>
        <v>473.06</v>
      </c>
      <c r="AK335" s="147">
        <f>ROUND(X335*(1-'Disc Dep'!$C$116),2)</f>
        <v>519.92999999999995</v>
      </c>
      <c r="AL335" s="147">
        <f>ROUND(Y335*(1-'Disc Dep'!$C$116),2)</f>
        <v>0</v>
      </c>
      <c r="AM335" s="147">
        <f>ROUND(Z335*(1-'Disc Dep'!$C$116),2)</f>
        <v>565.71</v>
      </c>
      <c r="AN335" s="147">
        <f>ROUND(AA335*(1-'Disc Dep'!$C$116),2)</f>
        <v>0</v>
      </c>
      <c r="AO335" s="147">
        <f>ROUND(AB335*(1+'Adaos Distr'!$C$116),2)</f>
        <v>317.79000000000002</v>
      </c>
      <c r="AP335" s="147">
        <f>ROUND(AC335*(1+'Adaos Distr'!$C$116),2)</f>
        <v>344.54</v>
      </c>
      <c r="AQ335" s="147">
        <f>ROUND(AD335*(1+'Adaos Distr'!$C$116),2)</f>
        <v>372.78</v>
      </c>
      <c r="AR335" s="147">
        <f>ROUND(AE335*(1+'Adaos Distr'!$C$116),2)</f>
        <v>376.05</v>
      </c>
      <c r="AS335" s="147">
        <f>ROUND(AF335*(1+'Adaos Distr'!$C$116),2)</f>
        <v>379.5</v>
      </c>
      <c r="AT335" s="147">
        <f>ROUND(AG335*(1+'Adaos Distr'!$C$116),2)</f>
        <v>417.76</v>
      </c>
      <c r="AU335" s="147">
        <f>ROUND(AH335*(1+'Adaos Distr'!$C$116),2)</f>
        <v>439.27</v>
      </c>
      <c r="AV335" s="147">
        <f>ROUND(AI335*(1+'Adaos Distr'!$C$116),2)</f>
        <v>499.1</v>
      </c>
      <c r="AW335" s="147">
        <f>ROUND(AJ335*(1+'Adaos Distr'!$C$116),2)</f>
        <v>473.06</v>
      </c>
      <c r="AX335" s="147">
        <f>ROUND(AK335*(1+'Adaos Distr'!$C$116),2)</f>
        <v>519.92999999999995</v>
      </c>
      <c r="AY335" s="147">
        <f>ROUND(AL335*(1+'Adaos Distr'!$C$116),2)</f>
        <v>0</v>
      </c>
      <c r="AZ335" s="147">
        <f>ROUND(AM335*(1+'Adaos Distr'!$C$116),2)</f>
        <v>565.71</v>
      </c>
      <c r="BA335" s="147">
        <f>ROUND(AN335*(1+'Adaos Distr'!$C$116),2)</f>
        <v>0</v>
      </c>
      <c r="BB335" s="147">
        <f>ROUND(AO335*(1+'Adaos RESELLER'!$C$116),2)</f>
        <v>317.79000000000002</v>
      </c>
      <c r="BC335" s="147">
        <f>ROUND(AP335*(1+'Adaos RESELLER'!$C$116),2)</f>
        <v>344.54</v>
      </c>
      <c r="BD335" s="147">
        <f>ROUND(AQ335*(1+'Adaos RESELLER'!$C$116),2)</f>
        <v>372.78</v>
      </c>
      <c r="BE335" s="147">
        <f>ROUND(AR335*(1+'Adaos RESELLER'!$C$116),2)</f>
        <v>376.05</v>
      </c>
      <c r="BF335" s="147">
        <f>ROUND(AS335*(1+'Adaos RESELLER'!$C$116),2)</f>
        <v>379.5</v>
      </c>
      <c r="BG335" s="147">
        <f>ROUND(AT335*(1+'Adaos RESELLER'!$C$116),2)</f>
        <v>417.76</v>
      </c>
      <c r="BH335" s="147">
        <f>ROUND(AU335*(1+'Adaos RESELLER'!$C$116),2)</f>
        <v>439.27</v>
      </c>
      <c r="BI335" s="147">
        <f>ROUND(AV335*(1+'Adaos RESELLER'!$C$116),2)</f>
        <v>499.1</v>
      </c>
      <c r="BJ335" s="147">
        <f>ROUND(AW335*(1+'Adaos RESELLER'!$C$116),2)</f>
        <v>473.06</v>
      </c>
      <c r="BK335" s="147">
        <f>ROUND(AX335*(1+'Adaos RESELLER'!$C$116),2)</f>
        <v>519.92999999999995</v>
      </c>
      <c r="BL335" s="147">
        <f>ROUND(AY335*(1+'Adaos RESELLER'!$C$116),2)</f>
        <v>0</v>
      </c>
      <c r="BM335" s="147">
        <f>ROUND(AZ335*(1+'Adaos RESELLER'!$C$116),2)</f>
        <v>565.71</v>
      </c>
      <c r="BN335" s="147">
        <f>ROUND(BA335*(1+'Adaos RESELLER'!$C$116),2)</f>
        <v>0</v>
      </c>
    </row>
    <row r="336" spans="1:66">
      <c r="A336" s="147" t="str">
        <f>Lang!A340</f>
        <v>Fereastra Dakea Ultima</v>
      </c>
      <c r="B336" s="147">
        <f>IF(Select!$E$23=1,AB336,IF(Select!$E$23=2,AO336,IF(Select!$E$23=3,BB336)))</f>
        <v>0</v>
      </c>
      <c r="C336" s="147">
        <f>IF(Select!$E$23=1,AC336,IF(Select!$E$23=2,AP336,IF(Select!$E$23=3,BC336)))</f>
        <v>0</v>
      </c>
      <c r="D336" s="147">
        <f>IF(Select!$E$23=1,AD336,IF(Select!$E$23=2,AQ336,IF(Select!$E$23=3,BD336)))</f>
        <v>0</v>
      </c>
      <c r="E336" s="147">
        <f>IF(Select!$E$23=1,AE336,IF(Select!$E$23=2,AR336,IF(Select!$E$23=3,BE336)))</f>
        <v>0</v>
      </c>
      <c r="F336" s="147">
        <f>IF(Select!$E$23=1,AF336,IF(Select!$E$23=2,AS336,IF(Select!$E$23=3,BF336)))</f>
        <v>0</v>
      </c>
      <c r="G336" s="147">
        <f>IF(Select!$E$23=1,AG336,IF(Select!$E$23=2,AT336,IF(Select!$E$23=3,BG336)))</f>
        <v>0</v>
      </c>
      <c r="H336" s="147">
        <f>IF(Select!$E$23=1,AH336,IF(Select!$E$23=2,AU336,IF(Select!$E$23=3,BH336)))</f>
        <v>0</v>
      </c>
      <c r="I336" s="147">
        <f>IF(Select!$E$23=1,AI336,IF(Select!$E$23=2,AV336,IF(Select!$E$23=3,BI336)))</f>
        <v>0</v>
      </c>
      <c r="J336" s="147">
        <f>IF(Select!$E$23=1,AJ336,IF(Select!$E$23=2,AW336,IF(Select!$E$23=3,BJ336)))</f>
        <v>0</v>
      </c>
      <c r="K336" s="147">
        <f>IF(Select!$E$23=1,AK336,IF(Select!$E$23=2,AX336,IF(Select!$E$23=3,BK336)))</f>
        <v>0</v>
      </c>
      <c r="L336" s="147">
        <f>IF(Select!$E$23=1,AL336,IF(Select!$E$23=2,AY336,IF(Select!$E$23=3,BL336)))</f>
        <v>0</v>
      </c>
      <c r="M336" s="147">
        <f>IF(Select!$E$23=1,AM336,IF(Select!$E$23=2,AZ336,IF(Select!$E$23=3,BM336)))</f>
        <v>0</v>
      </c>
      <c r="N336" s="147">
        <f>IF(Select!$E$23=1,AN336,IF(Select!$E$23=2,BA336,IF(Select!$E$23=3,BN336)))</f>
        <v>0</v>
      </c>
      <c r="O336" s="197"/>
      <c r="P336" s="197"/>
      <c r="Q336" s="197"/>
      <c r="R336" s="197"/>
      <c r="S336" s="197"/>
      <c r="T336" s="197"/>
      <c r="U336" s="197"/>
      <c r="V336" s="197"/>
      <c r="W336" s="197"/>
      <c r="X336" s="197"/>
      <c r="Y336" s="197"/>
      <c r="Z336" s="197"/>
      <c r="AA336" s="197"/>
      <c r="AB336" s="147">
        <f>ROUND(O336*(1-'Disc Dep'!$C$116),2)</f>
        <v>0</v>
      </c>
      <c r="AC336" s="147">
        <f>ROUND(P336*(1-'Disc Dep'!$C$116),2)</f>
        <v>0</v>
      </c>
      <c r="AD336" s="147">
        <f>ROUND(Q336*(1-'Disc Dep'!$C$116),2)</f>
        <v>0</v>
      </c>
      <c r="AE336" s="147">
        <f>ROUND(R336*(1-'Disc Dep'!$C$116),2)</f>
        <v>0</v>
      </c>
      <c r="AF336" s="147">
        <f>ROUND(S336*(1-'Disc Dep'!$C$116),2)</f>
        <v>0</v>
      </c>
      <c r="AG336" s="147">
        <f>ROUND(T336*(1-'Disc Dep'!$C$116),2)</f>
        <v>0</v>
      </c>
      <c r="AH336" s="147">
        <f>ROUND(U336*(1-'Disc Dep'!$C$116),2)</f>
        <v>0</v>
      </c>
      <c r="AI336" s="147">
        <f>ROUND(V336*(1-'Disc Dep'!$C$116),2)</f>
        <v>0</v>
      </c>
      <c r="AJ336" s="147">
        <f>ROUND(W336*(1-'Disc Dep'!$C$116),2)</f>
        <v>0</v>
      </c>
      <c r="AK336" s="147">
        <f>ROUND(X336*(1-'Disc Dep'!$C$116),2)</f>
        <v>0</v>
      </c>
      <c r="AL336" s="147">
        <f>ROUND(Y336*(1-'Disc Dep'!$C$116),2)</f>
        <v>0</v>
      </c>
      <c r="AM336" s="147">
        <f>ROUND(Z336*(1-'Disc Dep'!$C$116),2)</f>
        <v>0</v>
      </c>
      <c r="AN336" s="147">
        <f>ROUND(AA336*(1-'Disc Dep'!$C$116),2)</f>
        <v>0</v>
      </c>
      <c r="AO336" s="147">
        <f>ROUND(AB336*(1+'Adaos Distr'!$C$116),2)</f>
        <v>0</v>
      </c>
      <c r="AP336" s="147">
        <f>ROUND(AC336*(1+'Adaos Distr'!$C$116),2)</f>
        <v>0</v>
      </c>
      <c r="AQ336" s="147">
        <f>ROUND(AD336*(1+'Adaos Distr'!$C$116),2)</f>
        <v>0</v>
      </c>
      <c r="AR336" s="147">
        <f>ROUND(AE336*(1+'Adaos Distr'!$C$116),2)</f>
        <v>0</v>
      </c>
      <c r="AS336" s="147">
        <f>ROUND(AF336*(1+'Adaos Distr'!$C$116),2)</f>
        <v>0</v>
      </c>
      <c r="AT336" s="147">
        <f>ROUND(AG336*(1+'Adaos Distr'!$C$116),2)</f>
        <v>0</v>
      </c>
      <c r="AU336" s="147">
        <f>ROUND(AH336*(1+'Adaos Distr'!$C$116),2)</f>
        <v>0</v>
      </c>
      <c r="AV336" s="147">
        <f>ROUND(AI336*(1+'Adaos Distr'!$C$116),2)</f>
        <v>0</v>
      </c>
      <c r="AW336" s="147">
        <f>ROUND(AJ336*(1+'Adaos Distr'!$C$116),2)</f>
        <v>0</v>
      </c>
      <c r="AX336" s="147">
        <f>ROUND(AK336*(1+'Adaos Distr'!$C$116),2)</f>
        <v>0</v>
      </c>
      <c r="AY336" s="147">
        <f>ROUND(AL336*(1+'Adaos Distr'!$C$116),2)</f>
        <v>0</v>
      </c>
      <c r="AZ336" s="147">
        <f>ROUND(AM336*(1+'Adaos Distr'!$C$116),2)</f>
        <v>0</v>
      </c>
      <c r="BA336" s="147">
        <f>ROUND(AN336*(1+'Adaos Distr'!$C$116),2)</f>
        <v>0</v>
      </c>
      <c r="BB336" s="147">
        <f>ROUND(AO336*(1+'Adaos RESELLER'!$C$116),2)</f>
        <v>0</v>
      </c>
      <c r="BC336" s="147">
        <f>ROUND(AP336*(1+'Adaos RESELLER'!$C$116),2)</f>
        <v>0</v>
      </c>
      <c r="BD336" s="147">
        <f>ROUND(AQ336*(1+'Adaos RESELLER'!$C$116),2)</f>
        <v>0</v>
      </c>
      <c r="BE336" s="147">
        <f>ROUND(AR336*(1+'Adaos RESELLER'!$C$116),2)</f>
        <v>0</v>
      </c>
      <c r="BF336" s="147">
        <f>ROUND(AS336*(1+'Adaos RESELLER'!$C$116),2)</f>
        <v>0</v>
      </c>
      <c r="BG336" s="147">
        <f>ROUND(AT336*(1+'Adaos RESELLER'!$C$116),2)</f>
        <v>0</v>
      </c>
      <c r="BH336" s="147">
        <f>ROUND(AU336*(1+'Adaos RESELLER'!$C$116),2)</f>
        <v>0</v>
      </c>
      <c r="BI336" s="147">
        <f>ROUND(AV336*(1+'Adaos RESELLER'!$C$116),2)</f>
        <v>0</v>
      </c>
      <c r="BJ336" s="147">
        <f>ROUND(AW336*(1+'Adaos RESELLER'!$C$116),2)</f>
        <v>0</v>
      </c>
      <c r="BK336" s="147">
        <f>ROUND(AX336*(1+'Adaos RESELLER'!$C$116),2)</f>
        <v>0</v>
      </c>
      <c r="BL336" s="147">
        <f>ROUND(AY336*(1+'Adaos RESELLER'!$C$116),2)</f>
        <v>0</v>
      </c>
      <c r="BM336" s="147">
        <f>ROUND(AZ336*(1+'Adaos RESELLER'!$C$116),2)</f>
        <v>0</v>
      </c>
      <c r="BN336" s="147">
        <f>ROUND(BA336*(1+'Adaos RESELLER'!$C$116),2)</f>
        <v>0</v>
      </c>
    </row>
    <row r="337" spans="1:66">
      <c r="A337" s="147" t="str">
        <f>Lang!A341</f>
        <v>Fereastra Dakea Ultima Energy</v>
      </c>
      <c r="B337" s="147">
        <f>IF(Select!$E$23=1,AB337,IF(Select!$E$23=2,AO337,IF(Select!$E$23=3,BB337)))</f>
        <v>360.79</v>
      </c>
      <c r="C337" s="147">
        <f>IF(Select!$E$23=1,AC337,IF(Select!$E$23=2,AP337,IF(Select!$E$23=3,BC337)))</f>
        <v>389.13</v>
      </c>
      <c r="D337" s="147">
        <f>IF(Select!$E$23=1,AD337,IF(Select!$E$23=2,AQ337,IF(Select!$E$23=3,BD337)))</f>
        <v>0</v>
      </c>
      <c r="E337" s="147">
        <f>IF(Select!$E$23=1,AE337,IF(Select!$E$23=2,AR337,IF(Select!$E$23=3,BE337)))</f>
        <v>417.47</v>
      </c>
      <c r="F337" s="147">
        <f>IF(Select!$E$23=1,AF337,IF(Select!$E$23=2,AS337,IF(Select!$E$23=3,BF337)))</f>
        <v>417.47</v>
      </c>
      <c r="G337" s="147">
        <f>IF(Select!$E$23=1,AG337,IF(Select!$E$23=2,AT337,IF(Select!$E$23=3,BG337)))</f>
        <v>450.17</v>
      </c>
      <c r="H337" s="147">
        <f>IF(Select!$E$23=1,AH337,IF(Select!$E$23=2,AU337,IF(Select!$E$23=3,BH337)))</f>
        <v>485.05</v>
      </c>
      <c r="I337" s="147">
        <f>IF(Select!$E$23=1,AI337,IF(Select!$E$23=2,AV337,IF(Select!$E$23=3,BI337)))</f>
        <v>540.1</v>
      </c>
      <c r="J337" s="147">
        <f>IF(Select!$E$23=1,AJ337,IF(Select!$E$23=2,AW337,IF(Select!$E$23=3,BJ337)))</f>
        <v>530.20000000000005</v>
      </c>
      <c r="K337" s="147">
        <f>IF(Select!$E$23=1,AK337,IF(Select!$E$23=2,AX337,IF(Select!$E$23=3,BK337)))</f>
        <v>576.61</v>
      </c>
      <c r="L337" s="147">
        <f>IF(Select!$E$23=1,AL337,IF(Select!$E$23=2,AY337,IF(Select!$E$23=3,BL337)))</f>
        <v>0</v>
      </c>
      <c r="M337" s="147">
        <f>IF(Select!$E$23=1,AM337,IF(Select!$E$23=2,AZ337,IF(Select!$E$23=3,BM337)))</f>
        <v>0</v>
      </c>
      <c r="N337" s="147">
        <f>IF(Select!$E$23=1,AN337,IF(Select!$E$23=2,BA337,IF(Select!$E$23=3,BN337)))</f>
        <v>0</v>
      </c>
      <c r="O337" s="197">
        <v>450.99</v>
      </c>
      <c r="P337" s="197">
        <v>486.41</v>
      </c>
      <c r="Q337" s="197">
        <v>0</v>
      </c>
      <c r="R337" s="197">
        <v>521.84</v>
      </c>
      <c r="S337" s="197">
        <v>521.84</v>
      </c>
      <c r="T337" s="197">
        <v>562.71</v>
      </c>
      <c r="U337" s="197">
        <v>606.30999999999995</v>
      </c>
      <c r="V337" s="197">
        <v>675.13</v>
      </c>
      <c r="W337" s="197">
        <v>662.75</v>
      </c>
      <c r="X337" s="197">
        <v>720.76</v>
      </c>
      <c r="Y337" s="197">
        <v>0</v>
      </c>
      <c r="Z337" s="197">
        <v>0</v>
      </c>
      <c r="AA337" s="197">
        <v>0</v>
      </c>
      <c r="AB337" s="147">
        <f>ROUND(O337*(1-'Disc Dep'!$C$116),2)</f>
        <v>360.79</v>
      </c>
      <c r="AC337" s="147">
        <f>ROUND(P337*(1-'Disc Dep'!$C$116),2)</f>
        <v>389.13</v>
      </c>
      <c r="AD337" s="147">
        <f>ROUND(Q337*(1-'Disc Dep'!$C$116),2)</f>
        <v>0</v>
      </c>
      <c r="AE337" s="147">
        <f>ROUND(R337*(1-'Disc Dep'!$C$116),2)</f>
        <v>417.47</v>
      </c>
      <c r="AF337" s="147">
        <f>ROUND(S337*(1-'Disc Dep'!$C$116),2)</f>
        <v>417.47</v>
      </c>
      <c r="AG337" s="147">
        <f>ROUND(T337*(1-'Disc Dep'!$C$116),2)</f>
        <v>450.17</v>
      </c>
      <c r="AH337" s="147">
        <f>ROUND(U337*(1-'Disc Dep'!$C$116),2)</f>
        <v>485.05</v>
      </c>
      <c r="AI337" s="147">
        <f>ROUND(V337*(1-'Disc Dep'!$C$116),2)</f>
        <v>540.1</v>
      </c>
      <c r="AJ337" s="147">
        <f>ROUND(W337*(1-'Disc Dep'!$C$116),2)</f>
        <v>530.20000000000005</v>
      </c>
      <c r="AK337" s="147">
        <f>ROUND(X337*(1-'Disc Dep'!$C$116),2)</f>
        <v>576.61</v>
      </c>
      <c r="AL337" s="147">
        <f>ROUND(Y337*(1-'Disc Dep'!$C$116),2)</f>
        <v>0</v>
      </c>
      <c r="AM337" s="147">
        <f>ROUND(Z337*(1-'Disc Dep'!$C$116),2)</f>
        <v>0</v>
      </c>
      <c r="AN337" s="147">
        <f>ROUND(AA337*(1-'Disc Dep'!$C$116),2)</f>
        <v>0</v>
      </c>
      <c r="AO337" s="147">
        <f>ROUND(AB337*(1+'Adaos Distr'!$C$116),2)</f>
        <v>360.79</v>
      </c>
      <c r="AP337" s="147">
        <f>ROUND(AC337*(1+'Adaos Distr'!$C$116),2)</f>
        <v>389.13</v>
      </c>
      <c r="AQ337" s="147">
        <f>ROUND(AD337*(1+'Adaos Distr'!$C$116),2)</f>
        <v>0</v>
      </c>
      <c r="AR337" s="147">
        <f>ROUND(AE337*(1+'Adaos Distr'!$C$116),2)</f>
        <v>417.47</v>
      </c>
      <c r="AS337" s="147">
        <f>ROUND(AF337*(1+'Adaos Distr'!$C$116),2)</f>
        <v>417.47</v>
      </c>
      <c r="AT337" s="147">
        <f>ROUND(AG337*(1+'Adaos Distr'!$C$116),2)</f>
        <v>450.17</v>
      </c>
      <c r="AU337" s="147">
        <f>ROUND(AH337*(1+'Adaos Distr'!$C$116),2)</f>
        <v>485.05</v>
      </c>
      <c r="AV337" s="147">
        <f>ROUND(AI337*(1+'Adaos Distr'!$C$116),2)</f>
        <v>540.1</v>
      </c>
      <c r="AW337" s="147">
        <f>ROUND(AJ337*(1+'Adaos Distr'!$C$116),2)</f>
        <v>530.20000000000005</v>
      </c>
      <c r="AX337" s="147">
        <f>ROUND(AK337*(1+'Adaos Distr'!$C$116),2)</f>
        <v>576.61</v>
      </c>
      <c r="AY337" s="147">
        <f>ROUND(AL337*(1+'Adaos Distr'!$C$116),2)</f>
        <v>0</v>
      </c>
      <c r="AZ337" s="147">
        <f>ROUND(AM337*(1+'Adaos Distr'!$C$116),2)</f>
        <v>0</v>
      </c>
      <c r="BA337" s="147">
        <f>ROUND(AN337*(1+'Adaos Distr'!$C$116),2)</f>
        <v>0</v>
      </c>
      <c r="BB337" s="147">
        <f>ROUND(AO337*(1+'Adaos RESELLER'!$C$116),2)</f>
        <v>360.79</v>
      </c>
      <c r="BC337" s="147">
        <f>ROUND(AP337*(1+'Adaos RESELLER'!$C$116),2)</f>
        <v>389.13</v>
      </c>
      <c r="BD337" s="147">
        <f>ROUND(AQ337*(1+'Adaos RESELLER'!$C$116),2)</f>
        <v>0</v>
      </c>
      <c r="BE337" s="147">
        <f>ROUND(AR337*(1+'Adaos RESELLER'!$C$116),2)</f>
        <v>417.47</v>
      </c>
      <c r="BF337" s="147">
        <f>ROUND(AS337*(1+'Adaos RESELLER'!$C$116),2)</f>
        <v>417.47</v>
      </c>
      <c r="BG337" s="147">
        <f>ROUND(AT337*(1+'Adaos RESELLER'!$C$116),2)</f>
        <v>450.17</v>
      </c>
      <c r="BH337" s="147">
        <f>ROUND(AU337*(1+'Adaos RESELLER'!$C$116),2)</f>
        <v>485.05</v>
      </c>
      <c r="BI337" s="147">
        <f>ROUND(AV337*(1+'Adaos RESELLER'!$C$116),2)</f>
        <v>540.1</v>
      </c>
      <c r="BJ337" s="147">
        <f>ROUND(AW337*(1+'Adaos RESELLER'!$C$116),2)</f>
        <v>530.20000000000005</v>
      </c>
      <c r="BK337" s="147">
        <f>ROUND(AX337*(1+'Adaos RESELLER'!$C$116),2)</f>
        <v>576.61</v>
      </c>
      <c r="BL337" s="147">
        <f>ROUND(AY337*(1+'Adaos RESELLER'!$C$116),2)</f>
        <v>0</v>
      </c>
      <c r="BM337" s="147">
        <f>ROUND(AZ337*(1+'Adaos RESELLER'!$C$116),2)</f>
        <v>0</v>
      </c>
      <c r="BN337" s="147">
        <f>ROUND(BA337*(1+'Adaos RESELLER'!$C$116),2)</f>
        <v>0</v>
      </c>
    </row>
    <row r="338" spans="1:66">
      <c r="A338" s="147" t="str">
        <f>Lang!A342</f>
        <v>Fereastra Dakea Ultima Energy PVC</v>
      </c>
      <c r="B338" s="147">
        <f>IF(Select!$E$23=1,AB338,IF(Select!$E$23=2,AO338,IF(Select!$E$23=3,BB338)))</f>
        <v>406.57</v>
      </c>
      <c r="C338" s="147">
        <f>IF(Select!$E$23=1,AC338,IF(Select!$E$23=2,AP338,IF(Select!$E$23=3,BC338)))</f>
        <v>438.18</v>
      </c>
      <c r="D338" s="147">
        <f>IF(Select!$E$23=1,AD338,IF(Select!$E$23=2,AQ338,IF(Select!$E$23=3,BD338)))</f>
        <v>0</v>
      </c>
      <c r="E338" s="147">
        <f>IF(Select!$E$23=1,AE338,IF(Select!$E$23=2,AR338,IF(Select!$E$23=3,BE338)))</f>
        <v>470.88</v>
      </c>
      <c r="F338" s="147">
        <f>IF(Select!$E$23=1,AF338,IF(Select!$E$23=2,AS338,IF(Select!$E$23=3,BF338)))</f>
        <v>470.88</v>
      </c>
      <c r="G338" s="147">
        <f>IF(Select!$E$23=1,AG338,IF(Select!$E$23=2,AT338,IF(Select!$E$23=3,BG338)))</f>
        <v>511.21</v>
      </c>
      <c r="H338" s="147">
        <f>IF(Select!$E$23=1,AH338,IF(Select!$E$23=2,AU338,IF(Select!$E$23=3,BH338)))</f>
        <v>576.61</v>
      </c>
      <c r="I338" s="147">
        <f>IF(Select!$E$23=1,AI338,IF(Select!$E$23=2,AV338,IF(Select!$E$23=3,BI338)))</f>
        <v>648.54999999999995</v>
      </c>
      <c r="J338" s="147">
        <f>IF(Select!$E$23=1,AJ338,IF(Select!$E$23=2,AW338,IF(Select!$E$23=3,BJ338)))</f>
        <v>591.87</v>
      </c>
      <c r="K338" s="147">
        <f>IF(Select!$E$23=1,AK338,IF(Select!$E$23=2,AX338,IF(Select!$E$23=3,BK338)))</f>
        <v>685.61</v>
      </c>
      <c r="L338" s="147">
        <f>IF(Select!$E$23=1,AL338,IF(Select!$E$23=2,AY338,IF(Select!$E$23=3,BL338)))</f>
        <v>0</v>
      </c>
      <c r="M338" s="147">
        <f>IF(Select!$E$23=1,AM338,IF(Select!$E$23=2,AZ338,IF(Select!$E$23=3,BM338)))</f>
        <v>0</v>
      </c>
      <c r="N338" s="147">
        <f>IF(Select!$E$23=1,AN338,IF(Select!$E$23=2,BA338,IF(Select!$E$23=3,BN338)))</f>
        <v>0</v>
      </c>
      <c r="O338" s="197">
        <v>508.21</v>
      </c>
      <c r="P338" s="197">
        <v>547.73</v>
      </c>
      <c r="Q338" s="197">
        <v>0</v>
      </c>
      <c r="R338" s="197">
        <v>588.6</v>
      </c>
      <c r="S338" s="197">
        <v>588.6</v>
      </c>
      <c r="T338" s="197">
        <v>639.01</v>
      </c>
      <c r="U338" s="197">
        <v>720.76</v>
      </c>
      <c r="V338" s="197">
        <v>810.69</v>
      </c>
      <c r="W338" s="197">
        <v>739.84</v>
      </c>
      <c r="X338" s="197">
        <v>857.01</v>
      </c>
      <c r="Y338" s="197">
        <v>0</v>
      </c>
      <c r="Z338" s="197">
        <v>0</v>
      </c>
      <c r="AA338" s="197">
        <v>0</v>
      </c>
      <c r="AB338" s="147">
        <f>ROUND(O338*(1-'Disc Dep'!$C$116),2)</f>
        <v>406.57</v>
      </c>
      <c r="AC338" s="147">
        <f>ROUND(P338*(1-'Disc Dep'!$C$116),2)</f>
        <v>438.18</v>
      </c>
      <c r="AD338" s="147">
        <f>ROUND(Q338*(1-'Disc Dep'!$C$116),2)</f>
        <v>0</v>
      </c>
      <c r="AE338" s="147">
        <f>ROUND(R338*(1-'Disc Dep'!$C$116),2)</f>
        <v>470.88</v>
      </c>
      <c r="AF338" s="147">
        <f>ROUND(S338*(1-'Disc Dep'!$C$116),2)</f>
        <v>470.88</v>
      </c>
      <c r="AG338" s="147">
        <f>ROUND(T338*(1-'Disc Dep'!$C$116),2)</f>
        <v>511.21</v>
      </c>
      <c r="AH338" s="147">
        <f>ROUND(U338*(1-'Disc Dep'!$C$116),2)</f>
        <v>576.61</v>
      </c>
      <c r="AI338" s="147">
        <f>ROUND(V338*(1-'Disc Dep'!$C$116),2)</f>
        <v>648.54999999999995</v>
      </c>
      <c r="AJ338" s="147">
        <f>ROUND(W338*(1-'Disc Dep'!$C$116),2)</f>
        <v>591.87</v>
      </c>
      <c r="AK338" s="147">
        <f>ROUND(X338*(1-'Disc Dep'!$C$116),2)</f>
        <v>685.61</v>
      </c>
      <c r="AL338" s="147">
        <f>ROUND(Y338*(1-'Disc Dep'!$C$116),2)</f>
        <v>0</v>
      </c>
      <c r="AM338" s="147">
        <f>ROUND(Z338*(1-'Disc Dep'!$C$116),2)</f>
        <v>0</v>
      </c>
      <c r="AN338" s="147">
        <f>ROUND(AA338*(1-'Disc Dep'!$C$116),2)</f>
        <v>0</v>
      </c>
      <c r="AO338" s="147">
        <f>ROUND(AB338*(1+'Adaos Distr'!$C$116),2)</f>
        <v>406.57</v>
      </c>
      <c r="AP338" s="147">
        <f>ROUND(AC338*(1+'Adaos Distr'!$C$116),2)</f>
        <v>438.18</v>
      </c>
      <c r="AQ338" s="147">
        <f>ROUND(AD338*(1+'Adaos Distr'!$C$116),2)</f>
        <v>0</v>
      </c>
      <c r="AR338" s="147">
        <f>ROUND(AE338*(1+'Adaos Distr'!$C$116),2)</f>
        <v>470.88</v>
      </c>
      <c r="AS338" s="147">
        <f>ROUND(AF338*(1+'Adaos Distr'!$C$116),2)</f>
        <v>470.88</v>
      </c>
      <c r="AT338" s="147">
        <f>ROUND(AG338*(1+'Adaos Distr'!$C$116),2)</f>
        <v>511.21</v>
      </c>
      <c r="AU338" s="147">
        <f>ROUND(AH338*(1+'Adaos Distr'!$C$116),2)</f>
        <v>576.61</v>
      </c>
      <c r="AV338" s="147">
        <f>ROUND(AI338*(1+'Adaos Distr'!$C$116),2)</f>
        <v>648.54999999999995</v>
      </c>
      <c r="AW338" s="147">
        <f>ROUND(AJ338*(1+'Adaos Distr'!$C$116),2)</f>
        <v>591.87</v>
      </c>
      <c r="AX338" s="147">
        <f>ROUND(AK338*(1+'Adaos Distr'!$C$116),2)</f>
        <v>685.61</v>
      </c>
      <c r="AY338" s="147">
        <f>ROUND(AL338*(1+'Adaos Distr'!$C$116),2)</f>
        <v>0</v>
      </c>
      <c r="AZ338" s="147">
        <f>ROUND(AM338*(1+'Adaos Distr'!$C$116),2)</f>
        <v>0</v>
      </c>
      <c r="BA338" s="147">
        <f>ROUND(AN338*(1+'Adaos Distr'!$C$116),2)</f>
        <v>0</v>
      </c>
      <c r="BB338" s="147">
        <f>ROUND(AO338*(1+'Adaos RESELLER'!$C$116),2)</f>
        <v>406.57</v>
      </c>
      <c r="BC338" s="147">
        <f>ROUND(AP338*(1+'Adaos RESELLER'!$C$116),2)</f>
        <v>438.18</v>
      </c>
      <c r="BD338" s="147">
        <f>ROUND(AQ338*(1+'Adaos RESELLER'!$C$116),2)</f>
        <v>0</v>
      </c>
      <c r="BE338" s="147">
        <f>ROUND(AR338*(1+'Adaos RESELLER'!$C$116),2)</f>
        <v>470.88</v>
      </c>
      <c r="BF338" s="147">
        <f>ROUND(AS338*(1+'Adaos RESELLER'!$C$116),2)</f>
        <v>470.88</v>
      </c>
      <c r="BG338" s="147">
        <f>ROUND(AT338*(1+'Adaos RESELLER'!$C$116),2)</f>
        <v>511.21</v>
      </c>
      <c r="BH338" s="147">
        <f>ROUND(AU338*(1+'Adaos RESELLER'!$C$116),2)</f>
        <v>576.61</v>
      </c>
      <c r="BI338" s="147">
        <f>ROUND(AV338*(1+'Adaos RESELLER'!$C$116),2)</f>
        <v>648.54999999999995</v>
      </c>
      <c r="BJ338" s="147">
        <f>ROUND(AW338*(1+'Adaos RESELLER'!$C$116),2)</f>
        <v>591.87</v>
      </c>
      <c r="BK338" s="147">
        <f>ROUND(AX338*(1+'Adaos RESELLER'!$C$116),2)</f>
        <v>685.61</v>
      </c>
      <c r="BL338" s="147">
        <f>ROUND(AY338*(1+'Adaos RESELLER'!$C$116),2)</f>
        <v>0</v>
      </c>
      <c r="BM338" s="147">
        <f>ROUND(AZ338*(1+'Adaos RESELLER'!$C$116),2)</f>
        <v>0</v>
      </c>
      <c r="BN338" s="147">
        <f>ROUND(BA338*(1+'Adaos RESELLER'!$C$116),2)</f>
        <v>0</v>
      </c>
    </row>
    <row r="339" spans="1:66">
      <c r="A339" s="147" t="str">
        <f>Lang!A343</f>
        <v>Rama Dakea KUF</v>
      </c>
      <c r="B339" s="147">
        <f>IF(Select!$E$23=1,AB339,IF(Select!$E$23=2,AO339,IF(Select!$E$23=3,BB339)))</f>
        <v>57.85</v>
      </c>
      <c r="C339" s="147">
        <f>IF(Select!$E$23=1,AC339,IF(Select!$E$23=2,AP339,IF(Select!$E$23=3,BC339)))</f>
        <v>59.98</v>
      </c>
      <c r="D339" s="147">
        <f>IF(Select!$E$23=1,AD339,IF(Select!$E$23=2,AQ339,IF(Select!$E$23=3,BD339)))</f>
        <v>68.56</v>
      </c>
      <c r="E339" s="147">
        <f>IF(Select!$E$23=1,AE339,IF(Select!$E$23=2,AR339,IF(Select!$E$23=3,BE339)))</f>
        <v>69.63</v>
      </c>
      <c r="F339" s="147">
        <f>IF(Select!$E$23=1,AF339,IF(Select!$E$23=2,AS339,IF(Select!$E$23=3,BF339)))</f>
        <v>73.91</v>
      </c>
      <c r="G339" s="147">
        <f>IF(Select!$E$23=1,AG339,IF(Select!$E$23=2,AT339,IF(Select!$E$23=3,BG339)))</f>
        <v>70.7</v>
      </c>
      <c r="H339" s="147">
        <f>IF(Select!$E$23=1,AH339,IF(Select!$E$23=2,AU339,IF(Select!$E$23=3,BH339)))</f>
        <v>73.91</v>
      </c>
      <c r="I339" s="147">
        <f>IF(Select!$E$23=1,AI339,IF(Select!$E$23=2,AV339,IF(Select!$E$23=3,BI339)))</f>
        <v>81.41</v>
      </c>
      <c r="J339" s="147">
        <f>IF(Select!$E$23=1,AJ339,IF(Select!$E$23=2,AW339,IF(Select!$E$23=3,BJ339)))</f>
        <v>82.48</v>
      </c>
      <c r="K339" s="147">
        <f>IF(Select!$E$23=1,AK339,IF(Select!$E$23=2,AX339,IF(Select!$E$23=3,BK339)))</f>
        <v>88.91</v>
      </c>
      <c r="L339" s="147">
        <f>IF(Select!$E$23=1,AL339,IF(Select!$E$23=2,AY339,IF(Select!$E$23=3,BL339)))</f>
        <v>92.12</v>
      </c>
      <c r="M339" s="147">
        <f>IF(Select!$E$23=1,AM339,IF(Select!$E$23=2,AZ339,IF(Select!$E$23=3,BM339)))</f>
        <v>94.26</v>
      </c>
      <c r="N339" s="147">
        <f>IF(Select!$E$23=1,AN339,IF(Select!$E$23=2,BA339,IF(Select!$E$23=3,BN339)))</f>
        <v>103.9</v>
      </c>
      <c r="O339" s="197">
        <v>72.31</v>
      </c>
      <c r="P339" s="197">
        <v>74.98</v>
      </c>
      <c r="Q339" s="197">
        <v>85.7</v>
      </c>
      <c r="R339" s="197">
        <v>87.04</v>
      </c>
      <c r="S339" s="197">
        <v>92.39</v>
      </c>
      <c r="T339" s="197">
        <v>88.37</v>
      </c>
      <c r="U339" s="197">
        <v>92.39</v>
      </c>
      <c r="V339" s="197">
        <v>101.76</v>
      </c>
      <c r="W339" s="197">
        <v>103.1</v>
      </c>
      <c r="X339" s="197">
        <v>111.14</v>
      </c>
      <c r="Y339" s="197">
        <v>115.15</v>
      </c>
      <c r="Z339" s="197">
        <v>117.83</v>
      </c>
      <c r="AA339" s="197">
        <v>129.88</v>
      </c>
      <c r="AB339" s="147">
        <f>ROUND(O339*(1-'Disc Dep'!$C$116),2)</f>
        <v>57.85</v>
      </c>
      <c r="AC339" s="147">
        <f>ROUND(P339*(1-'Disc Dep'!$C$116),2)</f>
        <v>59.98</v>
      </c>
      <c r="AD339" s="147">
        <f>ROUND(Q339*(1-'Disc Dep'!$C$116),2)</f>
        <v>68.56</v>
      </c>
      <c r="AE339" s="147">
        <f>ROUND(R339*(1-'Disc Dep'!$C$116),2)</f>
        <v>69.63</v>
      </c>
      <c r="AF339" s="147">
        <f>ROUND(S339*(1-'Disc Dep'!$C$116),2)</f>
        <v>73.91</v>
      </c>
      <c r="AG339" s="147">
        <f>ROUND(T339*(1-'Disc Dep'!$C$116),2)</f>
        <v>70.7</v>
      </c>
      <c r="AH339" s="147">
        <f>ROUND(U339*(1-'Disc Dep'!$C$116),2)</f>
        <v>73.91</v>
      </c>
      <c r="AI339" s="147">
        <f>ROUND(V339*(1-'Disc Dep'!$C$116),2)</f>
        <v>81.41</v>
      </c>
      <c r="AJ339" s="147">
        <f>ROUND(W339*(1-'Disc Dep'!$C$116),2)</f>
        <v>82.48</v>
      </c>
      <c r="AK339" s="147">
        <f>ROUND(X339*(1-'Disc Dep'!$C$116),2)</f>
        <v>88.91</v>
      </c>
      <c r="AL339" s="147">
        <f>ROUND(Y339*(1-'Disc Dep'!$C$116),2)</f>
        <v>92.12</v>
      </c>
      <c r="AM339" s="147">
        <f>ROUND(Z339*(1-'Disc Dep'!$C$116),2)</f>
        <v>94.26</v>
      </c>
      <c r="AN339" s="147">
        <f>ROUND(AA339*(1-'Disc Dep'!$C$116),2)</f>
        <v>103.9</v>
      </c>
      <c r="AO339" s="147">
        <f>ROUND(AB339*(1+'Adaos Distr'!$C$116),2)</f>
        <v>57.85</v>
      </c>
      <c r="AP339" s="147">
        <f>ROUND(AC339*(1+'Adaos Distr'!$C$116),2)</f>
        <v>59.98</v>
      </c>
      <c r="AQ339" s="147">
        <f>ROUND(AD339*(1+'Adaos Distr'!$C$116),2)</f>
        <v>68.56</v>
      </c>
      <c r="AR339" s="147">
        <f>ROUND(AE339*(1+'Adaos Distr'!$C$116),2)</f>
        <v>69.63</v>
      </c>
      <c r="AS339" s="147">
        <f>ROUND(AF339*(1+'Adaos Distr'!$C$116),2)</f>
        <v>73.91</v>
      </c>
      <c r="AT339" s="147">
        <f>ROUND(AG339*(1+'Adaos Distr'!$C$116),2)</f>
        <v>70.7</v>
      </c>
      <c r="AU339" s="147">
        <f>ROUND(AH339*(1+'Adaos Distr'!$C$116),2)</f>
        <v>73.91</v>
      </c>
      <c r="AV339" s="147">
        <f>ROUND(AI339*(1+'Adaos Distr'!$C$116),2)</f>
        <v>81.41</v>
      </c>
      <c r="AW339" s="147">
        <f>ROUND(AJ339*(1+'Adaos Distr'!$C$116),2)</f>
        <v>82.48</v>
      </c>
      <c r="AX339" s="147">
        <f>ROUND(AK339*(1+'Adaos Distr'!$C$116),2)</f>
        <v>88.91</v>
      </c>
      <c r="AY339" s="147">
        <f>ROUND(AL339*(1+'Adaos Distr'!$C$116),2)</f>
        <v>92.12</v>
      </c>
      <c r="AZ339" s="147">
        <f>ROUND(AM339*(1+'Adaos Distr'!$C$116),2)</f>
        <v>94.26</v>
      </c>
      <c r="BA339" s="147">
        <f>ROUND(AN339*(1+'Adaos Distr'!$C$116),2)</f>
        <v>103.9</v>
      </c>
      <c r="BB339" s="147">
        <f>ROUND(AO339*(1+'Adaos RESELLER'!$C$116),2)</f>
        <v>57.85</v>
      </c>
      <c r="BC339" s="147">
        <f>ROUND(AP339*(1+'Adaos RESELLER'!$C$116),2)</f>
        <v>59.98</v>
      </c>
      <c r="BD339" s="147">
        <f>ROUND(AQ339*(1+'Adaos RESELLER'!$C$116),2)</f>
        <v>68.56</v>
      </c>
      <c r="BE339" s="147">
        <f>ROUND(AR339*(1+'Adaos RESELLER'!$C$116),2)</f>
        <v>69.63</v>
      </c>
      <c r="BF339" s="147">
        <f>ROUND(AS339*(1+'Adaos RESELLER'!$C$116),2)</f>
        <v>73.91</v>
      </c>
      <c r="BG339" s="147">
        <f>ROUND(AT339*(1+'Adaos RESELLER'!$C$116),2)</f>
        <v>70.7</v>
      </c>
      <c r="BH339" s="147">
        <f>ROUND(AU339*(1+'Adaos RESELLER'!$C$116),2)</f>
        <v>73.91</v>
      </c>
      <c r="BI339" s="147">
        <f>ROUND(AV339*(1+'Adaos RESELLER'!$C$116),2)</f>
        <v>81.41</v>
      </c>
      <c r="BJ339" s="147">
        <f>ROUND(AW339*(1+'Adaos RESELLER'!$C$116),2)</f>
        <v>82.48</v>
      </c>
      <c r="BK339" s="147">
        <f>ROUND(AX339*(1+'Adaos RESELLER'!$C$116),2)</f>
        <v>88.91</v>
      </c>
      <c r="BL339" s="147">
        <f>ROUND(AY339*(1+'Adaos RESELLER'!$C$116),2)</f>
        <v>92.12</v>
      </c>
      <c r="BM339" s="147">
        <f>ROUND(AZ339*(1+'Adaos RESELLER'!$C$116),2)</f>
        <v>94.26</v>
      </c>
      <c r="BN339" s="147">
        <f>ROUND(BA339*(1+'Adaos RESELLER'!$C$116),2)</f>
        <v>103.9</v>
      </c>
    </row>
    <row r="340" spans="1:66">
      <c r="B340" s="892"/>
      <c r="C340" s="892"/>
      <c r="D340" s="892"/>
      <c r="E340" s="892"/>
      <c r="F340" s="892"/>
      <c r="G340" s="892"/>
      <c r="H340" s="892"/>
      <c r="I340" s="892"/>
      <c r="J340" s="892"/>
      <c r="K340" s="892"/>
      <c r="L340" s="892"/>
      <c r="M340" s="892"/>
      <c r="N340" s="892"/>
      <c r="O340" s="892" t="s">
        <v>113</v>
      </c>
      <c r="P340" s="892"/>
      <c r="Q340" s="892"/>
      <c r="R340" s="892"/>
      <c r="S340" s="892"/>
      <c r="T340" s="892"/>
      <c r="U340" s="892" t="s">
        <v>112</v>
      </c>
      <c r="V340" s="892"/>
      <c r="W340" s="892"/>
      <c r="X340" s="892"/>
      <c r="Y340" s="892"/>
      <c r="Z340" s="892"/>
      <c r="AA340" s="892"/>
      <c r="AB340" s="892"/>
      <c r="AC340" s="892"/>
      <c r="AD340" s="892"/>
      <c r="AE340" s="892"/>
      <c r="AF340" s="892"/>
      <c r="AG340" s="892"/>
      <c r="AH340" s="892"/>
      <c r="AI340" s="892"/>
      <c r="AJ340" s="892"/>
      <c r="AK340" s="892"/>
      <c r="AL340" s="892"/>
      <c r="AM340" s="892"/>
      <c r="AN340" s="892"/>
      <c r="AO340" s="892"/>
      <c r="AP340" s="892"/>
      <c r="AQ340" s="892"/>
      <c r="AR340" s="892"/>
      <c r="AS340" s="892"/>
      <c r="AT340" s="892"/>
      <c r="AU340" s="892"/>
      <c r="AV340" s="892"/>
      <c r="AW340" s="892"/>
      <c r="AX340" s="892"/>
      <c r="AY340" s="892"/>
      <c r="AZ340" s="892"/>
      <c r="BA340" s="892"/>
      <c r="BB340" s="892"/>
      <c r="BC340" s="892"/>
      <c r="BD340" s="892"/>
      <c r="BE340" s="892"/>
      <c r="BF340" s="892"/>
      <c r="BG340" s="892"/>
      <c r="BH340" s="892"/>
      <c r="BI340" s="892"/>
      <c r="BJ340" s="892"/>
      <c r="BK340" s="892"/>
      <c r="BL340" s="892"/>
      <c r="BM340" s="892"/>
      <c r="BN340" s="892"/>
    </row>
    <row r="341" spans="1:66">
      <c r="A341" s="147" t="str">
        <f>Lang!A344</f>
        <v>Trapa acces Flex</v>
      </c>
      <c r="B341" s="892">
        <f>IF(Select!$E$23=1,AB341,IF(Select!$E$23=2,AO341,IF(Select!$E$23=3,BB341)))</f>
        <v>77.14</v>
      </c>
      <c r="C341" s="892"/>
      <c r="D341" s="892"/>
      <c r="E341" s="892"/>
      <c r="F341" s="892"/>
      <c r="G341" s="892"/>
      <c r="H341" s="892">
        <f>IF(Select!$E$23=1,AH341,IF(Select!$E$23=2,AU341,IF(Select!$E$23=3,BH341)))</f>
        <v>87.28</v>
      </c>
      <c r="I341" s="892"/>
      <c r="J341" s="892"/>
      <c r="K341" s="892"/>
      <c r="L341" s="892"/>
      <c r="M341" s="892"/>
      <c r="N341" s="892"/>
      <c r="O341" s="892">
        <v>96.42</v>
      </c>
      <c r="P341" s="892"/>
      <c r="Q341" s="892"/>
      <c r="R341" s="892"/>
      <c r="S341" s="892"/>
      <c r="T341" s="892"/>
      <c r="U341" s="892">
        <v>109.1</v>
      </c>
      <c r="V341" s="892"/>
      <c r="W341" s="892"/>
      <c r="X341" s="892"/>
      <c r="Y341" s="892"/>
      <c r="Z341" s="892"/>
      <c r="AA341" s="892"/>
      <c r="AB341" s="892">
        <f>ROUND(O341*(1-'Disc Dep'!$C$116),2)</f>
        <v>77.14</v>
      </c>
      <c r="AC341" s="892"/>
      <c r="AD341" s="892"/>
      <c r="AE341" s="892"/>
      <c r="AF341" s="892"/>
      <c r="AG341" s="892"/>
      <c r="AH341" s="892">
        <f>ROUND(U341*(1-'Disc Dep'!$C$116),2)</f>
        <v>87.28</v>
      </c>
      <c r="AI341" s="892"/>
      <c r="AJ341" s="892"/>
      <c r="AK341" s="892"/>
      <c r="AL341" s="892"/>
      <c r="AM341" s="892"/>
      <c r="AN341" s="892"/>
      <c r="AO341" s="892">
        <f>ROUND(AB341*(1+'Adaos Distr'!$C$116),2)</f>
        <v>77.14</v>
      </c>
      <c r="AP341" s="892"/>
      <c r="AQ341" s="892"/>
      <c r="AR341" s="892"/>
      <c r="AS341" s="892"/>
      <c r="AT341" s="892"/>
      <c r="AU341" s="892">
        <f>ROUND(AH341*(1+'Adaos Distr'!$C$116),2)</f>
        <v>87.28</v>
      </c>
      <c r="AV341" s="892"/>
      <c r="AW341" s="892"/>
      <c r="AX341" s="892"/>
      <c r="AY341" s="892"/>
      <c r="AZ341" s="892"/>
      <c r="BA341" s="892"/>
      <c r="BB341" s="892">
        <f>ROUND(AO341*(1+'Adaos RESELLER'!$C$116),2)</f>
        <v>77.14</v>
      </c>
      <c r="BC341" s="892"/>
      <c r="BD341" s="892"/>
      <c r="BE341" s="892"/>
      <c r="BF341" s="892"/>
      <c r="BG341" s="892"/>
      <c r="BH341" s="892">
        <f>ROUND(AU341*(1+'Adaos RESELLER'!$C$116),2)</f>
        <v>87.28</v>
      </c>
      <c r="BI341" s="892"/>
      <c r="BJ341" s="892"/>
      <c r="BK341" s="892"/>
      <c r="BL341" s="892"/>
      <c r="BM341" s="892"/>
      <c r="BN341" s="892"/>
    </row>
    <row r="342" spans="1:66">
      <c r="A342" s="147" t="str">
        <f>Lang!A345</f>
        <v>Dispozitiv deschidere Tija manuala</v>
      </c>
      <c r="B342" s="892">
        <f>IF(Select!$E$23=1,AB342,IF(Select!$E$23=2,AO342,IF(Select!$E$23=3,BB342)))</f>
        <v>22.55</v>
      </c>
      <c r="C342" s="892"/>
      <c r="D342" s="892"/>
      <c r="E342" s="892"/>
      <c r="F342" s="892"/>
      <c r="G342" s="892"/>
      <c r="H342" s="892"/>
      <c r="I342" s="892"/>
      <c r="J342" s="892"/>
      <c r="K342" s="892"/>
      <c r="L342" s="892"/>
      <c r="M342" s="892"/>
      <c r="N342" s="892"/>
      <c r="O342" s="892">
        <v>28.19</v>
      </c>
      <c r="P342" s="892"/>
      <c r="Q342" s="892"/>
      <c r="R342" s="892"/>
      <c r="S342" s="892"/>
      <c r="T342" s="892"/>
      <c r="U342" s="892"/>
      <c r="V342" s="892"/>
      <c r="W342" s="892"/>
      <c r="X342" s="892"/>
      <c r="Y342" s="892"/>
      <c r="Z342" s="892"/>
      <c r="AA342" s="892"/>
      <c r="AB342" s="892">
        <f>ROUND(O342*(1-'Disc Dep'!$C$117),2)</f>
        <v>22.55</v>
      </c>
      <c r="AC342" s="892"/>
      <c r="AD342" s="892"/>
      <c r="AE342" s="892"/>
      <c r="AF342" s="892"/>
      <c r="AG342" s="892"/>
      <c r="AH342" s="892"/>
      <c r="AI342" s="892"/>
      <c r="AJ342" s="892"/>
      <c r="AK342" s="892"/>
      <c r="AL342" s="892"/>
      <c r="AM342" s="892"/>
      <c r="AN342" s="892"/>
      <c r="AO342" s="892">
        <f>ROUND(AB342*(1+'Adaos Distr'!$C$117),2)</f>
        <v>22.55</v>
      </c>
      <c r="AP342" s="892"/>
      <c r="AQ342" s="892"/>
      <c r="AR342" s="892"/>
      <c r="AS342" s="892"/>
      <c r="AT342" s="892"/>
      <c r="AU342" s="892"/>
      <c r="AV342" s="892"/>
      <c r="AW342" s="892"/>
      <c r="AX342" s="892"/>
      <c r="AY342" s="892"/>
      <c r="AZ342" s="892"/>
      <c r="BA342" s="892"/>
      <c r="BB342" s="892">
        <f>ROUND(AO342*(1+'Adaos RESELLER'!$C$117),2)</f>
        <v>22.55</v>
      </c>
      <c r="BC342" s="897"/>
      <c r="BD342" s="897"/>
      <c r="BE342" s="897"/>
      <c r="BF342" s="897"/>
      <c r="BG342" s="897"/>
      <c r="BH342" s="897"/>
      <c r="BI342" s="897"/>
      <c r="BJ342" s="897"/>
      <c r="BK342" s="897"/>
      <c r="BL342" s="897"/>
      <c r="BM342" s="897"/>
      <c r="BN342" s="897"/>
    </row>
    <row r="343" spans="1:66">
      <c r="A343" s="147" t="str">
        <f>Lang!A346</f>
        <v>Dispozitiv deschidere Electric</v>
      </c>
      <c r="B343" s="892">
        <f>IF(Select!$E$23=1,AB343,IF(Select!$E$23=2,AO343,IF(Select!$E$23=3,BB343)))</f>
        <v>227.39</v>
      </c>
      <c r="C343" s="892"/>
      <c r="D343" s="892"/>
      <c r="E343" s="892"/>
      <c r="F343" s="892"/>
      <c r="G343" s="892"/>
      <c r="H343" s="892"/>
      <c r="I343" s="892"/>
      <c r="J343" s="892"/>
      <c r="K343" s="892"/>
      <c r="L343" s="892"/>
      <c r="M343" s="892"/>
      <c r="N343" s="892"/>
      <c r="O343" s="892">
        <v>284.24</v>
      </c>
      <c r="P343" s="892"/>
      <c r="Q343" s="892"/>
      <c r="R343" s="892"/>
      <c r="S343" s="892"/>
      <c r="T343" s="892"/>
      <c r="U343" s="892"/>
      <c r="V343" s="892"/>
      <c r="W343" s="892"/>
      <c r="X343" s="892"/>
      <c r="Y343" s="892"/>
      <c r="Z343" s="892"/>
      <c r="AA343" s="892"/>
      <c r="AB343" s="892">
        <f>ROUND(O343*(1-'Disc Dep'!$C$117),2)</f>
        <v>227.39</v>
      </c>
      <c r="AC343" s="892"/>
      <c r="AD343" s="892"/>
      <c r="AE343" s="892"/>
      <c r="AF343" s="892"/>
      <c r="AG343" s="892"/>
      <c r="AH343" s="892"/>
      <c r="AI343" s="892"/>
      <c r="AJ343" s="892"/>
      <c r="AK343" s="892"/>
      <c r="AL343" s="892"/>
      <c r="AM343" s="892"/>
      <c r="AN343" s="892"/>
      <c r="AO343" s="892">
        <f>ROUND(AB343*(1+'Adaos Distr'!$C$117),2)</f>
        <v>227.39</v>
      </c>
      <c r="AP343" s="892"/>
      <c r="AQ343" s="892"/>
      <c r="AR343" s="892"/>
      <c r="AS343" s="892"/>
      <c r="AT343" s="892"/>
      <c r="AU343" s="892"/>
      <c r="AV343" s="892"/>
      <c r="AW343" s="892"/>
      <c r="AX343" s="892"/>
      <c r="AY343" s="892"/>
      <c r="AZ343" s="892"/>
      <c r="BA343" s="892"/>
      <c r="BB343" s="892">
        <f>ROUND(AO343*(1+'Adaos RESELLER'!$C$117),2)</f>
        <v>227.39</v>
      </c>
      <c r="BC343" s="897"/>
      <c r="BD343" s="897"/>
      <c r="BE343" s="897"/>
      <c r="BF343" s="897"/>
      <c r="BG343" s="897"/>
      <c r="BH343" s="897"/>
      <c r="BI343" s="897"/>
      <c r="BJ343" s="897"/>
      <c r="BK343" s="897"/>
      <c r="BL343" s="897"/>
      <c r="BM343" s="897"/>
      <c r="BN343" s="897"/>
    </row>
    <row r="344" spans="1:66">
      <c r="B344" s="892" t="s">
        <v>466</v>
      </c>
      <c r="C344" s="892"/>
      <c r="D344" s="892"/>
      <c r="E344" s="892"/>
      <c r="F344" s="892"/>
      <c r="G344" s="892"/>
      <c r="H344" s="892" t="s">
        <v>467</v>
      </c>
      <c r="I344" s="892"/>
      <c r="J344" s="892"/>
      <c r="K344" s="892"/>
      <c r="L344" s="892"/>
      <c r="M344" s="892"/>
      <c r="N344" s="892"/>
      <c r="O344" s="892" t="s">
        <v>466</v>
      </c>
      <c r="P344" s="892"/>
      <c r="Q344" s="892"/>
      <c r="R344" s="892"/>
      <c r="S344" s="892"/>
      <c r="T344" s="892"/>
      <c r="U344" s="892" t="s">
        <v>467</v>
      </c>
      <c r="V344" s="892"/>
      <c r="W344" s="892"/>
      <c r="X344" s="892"/>
      <c r="Y344" s="892"/>
      <c r="Z344" s="892"/>
      <c r="AA344" s="892"/>
      <c r="AB344" s="892"/>
      <c r="AC344" s="892"/>
      <c r="AD344" s="892"/>
      <c r="AE344" s="892"/>
      <c r="AF344" s="892"/>
      <c r="AG344" s="892"/>
      <c r="AH344" s="892"/>
      <c r="AI344" s="892"/>
      <c r="AJ344" s="892"/>
      <c r="AK344" s="892"/>
      <c r="AL344" s="892"/>
      <c r="AM344" s="892"/>
      <c r="AN344" s="892"/>
      <c r="AO344" s="892"/>
      <c r="AP344" s="892"/>
      <c r="AQ344" s="892"/>
      <c r="AR344" s="892"/>
      <c r="AS344" s="892"/>
      <c r="AT344" s="892"/>
      <c r="AU344" s="892"/>
      <c r="AV344" s="892"/>
      <c r="AW344" s="892"/>
      <c r="AX344" s="892"/>
      <c r="AY344" s="892"/>
      <c r="AZ344" s="892"/>
      <c r="BA344" s="892"/>
      <c r="BB344" s="892"/>
      <c r="BC344" s="892"/>
      <c r="BD344" s="892"/>
      <c r="BE344" s="892"/>
      <c r="BF344" s="892"/>
      <c r="BG344" s="892"/>
      <c r="BH344" s="892"/>
      <c r="BI344" s="892"/>
      <c r="BJ344" s="892"/>
      <c r="BK344" s="892"/>
      <c r="BL344" s="892"/>
      <c r="BM344" s="892"/>
      <c r="BN344" s="892"/>
    </row>
    <row r="345" spans="1:66">
      <c r="A345" s="147" t="str">
        <f>Lang!A347</f>
        <v>Scara Pod Dakea Step</v>
      </c>
      <c r="B345" s="892">
        <f>IF(Select!$E$23=1,AB345,IF(Select!$E$23=2,AO345,IF(Select!$E$23=3,BB345)))</f>
        <v>92</v>
      </c>
      <c r="C345" s="892"/>
      <c r="D345" s="892"/>
      <c r="E345" s="892"/>
      <c r="F345" s="892"/>
      <c r="G345" s="892"/>
      <c r="H345" s="892">
        <f>IF(Select!$E$23=1,AH345,IF(Select!$E$23=2,AU345,IF(Select!$E$23=3,BH345)))</f>
        <v>96</v>
      </c>
      <c r="I345" s="892"/>
      <c r="J345" s="892"/>
      <c r="K345" s="892"/>
      <c r="L345" s="892"/>
      <c r="M345" s="892"/>
      <c r="N345" s="892"/>
      <c r="O345" s="892">
        <v>115</v>
      </c>
      <c r="P345" s="892"/>
      <c r="Q345" s="892"/>
      <c r="R345" s="892"/>
      <c r="S345" s="892"/>
      <c r="T345" s="892"/>
      <c r="U345" s="892">
        <v>120</v>
      </c>
      <c r="V345" s="892"/>
      <c r="W345" s="892"/>
      <c r="X345" s="892"/>
      <c r="Y345" s="892"/>
      <c r="Z345" s="892"/>
      <c r="AA345" s="892"/>
      <c r="AB345" s="892">
        <f>ROUND(O345*(1-'Disc Dep'!$C$117),2)</f>
        <v>92</v>
      </c>
      <c r="AC345" s="892"/>
      <c r="AD345" s="892"/>
      <c r="AE345" s="892"/>
      <c r="AF345" s="892"/>
      <c r="AG345" s="892"/>
      <c r="AH345" s="892">
        <f>ROUND(U345*(1-'Disc Dep'!$C$117),2)</f>
        <v>96</v>
      </c>
      <c r="AI345" s="892"/>
      <c r="AJ345" s="892"/>
      <c r="AK345" s="892"/>
      <c r="AL345" s="892"/>
      <c r="AM345" s="892"/>
      <c r="AN345" s="892"/>
      <c r="AO345" s="892">
        <f>ROUND(AB345*(1+'Adaos Distr'!$C$117),2)</f>
        <v>92</v>
      </c>
      <c r="AP345" s="892"/>
      <c r="AQ345" s="892"/>
      <c r="AR345" s="892"/>
      <c r="AS345" s="892"/>
      <c r="AT345" s="892"/>
      <c r="AU345" s="892">
        <f>ROUND(AH345*(1+'Adaos Distr'!$C$117),2)</f>
        <v>96</v>
      </c>
      <c r="AV345" s="892"/>
      <c r="AW345" s="892"/>
      <c r="AX345" s="892"/>
      <c r="AY345" s="892"/>
      <c r="AZ345" s="892"/>
      <c r="BA345" s="892"/>
      <c r="BB345" s="892">
        <f>ROUND(AO345*(1+'Adaos RESELLER'!$C$117),2)</f>
        <v>92</v>
      </c>
      <c r="BC345" s="892"/>
      <c r="BD345" s="892"/>
      <c r="BE345" s="892"/>
      <c r="BF345" s="892"/>
      <c r="BG345" s="892"/>
      <c r="BH345" s="892">
        <f>ROUND(AU345*(1+'Adaos RESELLER'!$C$117),2)</f>
        <v>96</v>
      </c>
      <c r="BI345" s="892"/>
      <c r="BJ345" s="892"/>
      <c r="BK345" s="892"/>
      <c r="BL345" s="892"/>
      <c r="BM345" s="892"/>
      <c r="BN345" s="892"/>
    </row>
    <row r="346" spans="1:66">
      <c r="A346" s="147" t="str">
        <f>Lang!A348</f>
        <v>Scara Pod Dakea Max</v>
      </c>
      <c r="B346" s="892">
        <f>IF(Select!$E$23=1,AB346,IF(Select!$E$23=2,AO346,IF(Select!$E$23=3,BB346)))</f>
        <v>120</v>
      </c>
      <c r="C346" s="892"/>
      <c r="D346" s="892"/>
      <c r="E346" s="892"/>
      <c r="F346" s="892"/>
      <c r="G346" s="892"/>
      <c r="H346" s="892">
        <f>IF(Select!$E$23=1,AH346,IF(Select!$E$23=2,AU346,IF(Select!$E$23=3,BH346)))</f>
        <v>124</v>
      </c>
      <c r="I346" s="892"/>
      <c r="J346" s="892"/>
      <c r="K346" s="892"/>
      <c r="L346" s="892"/>
      <c r="M346" s="892"/>
      <c r="N346" s="892"/>
      <c r="O346" s="892">
        <v>150</v>
      </c>
      <c r="P346" s="892"/>
      <c r="Q346" s="892"/>
      <c r="R346" s="892"/>
      <c r="S346" s="892"/>
      <c r="T346" s="892"/>
      <c r="U346" s="892">
        <v>155</v>
      </c>
      <c r="V346" s="892"/>
      <c r="W346" s="892"/>
      <c r="X346" s="892"/>
      <c r="Y346" s="892"/>
      <c r="Z346" s="892"/>
      <c r="AA346" s="892"/>
      <c r="AB346" s="892">
        <f>ROUND(O346*(1-'Disc Dep'!$C$117),2)</f>
        <v>120</v>
      </c>
      <c r="AC346" s="892"/>
      <c r="AD346" s="892"/>
      <c r="AE346" s="892"/>
      <c r="AF346" s="892"/>
      <c r="AG346" s="892"/>
      <c r="AH346" s="892">
        <f>ROUND(U346*(1-'Disc Dep'!$C$117),2)</f>
        <v>124</v>
      </c>
      <c r="AI346" s="892"/>
      <c r="AJ346" s="892"/>
      <c r="AK346" s="892"/>
      <c r="AL346" s="892"/>
      <c r="AM346" s="892"/>
      <c r="AN346" s="892"/>
      <c r="AO346" s="892">
        <f>ROUND(AB346*(1+'Adaos Distr'!$C$117),2)</f>
        <v>120</v>
      </c>
      <c r="AP346" s="892"/>
      <c r="AQ346" s="892"/>
      <c r="AR346" s="892"/>
      <c r="AS346" s="892"/>
      <c r="AT346" s="892"/>
      <c r="AU346" s="892">
        <f>ROUND(AH346*(1+'Adaos Distr'!$C$117),2)</f>
        <v>124</v>
      </c>
      <c r="AV346" s="892"/>
      <c r="AW346" s="892"/>
      <c r="AX346" s="892"/>
      <c r="AY346" s="892"/>
      <c r="AZ346" s="892"/>
      <c r="BA346" s="892"/>
      <c r="BB346" s="892">
        <f>ROUND(AO346*(1+'Adaos RESELLER'!$C$117),2)</f>
        <v>120</v>
      </c>
      <c r="BC346" s="892"/>
      <c r="BD346" s="892"/>
      <c r="BE346" s="892"/>
      <c r="BF346" s="892"/>
      <c r="BG346" s="892"/>
      <c r="BH346" s="892">
        <f>ROUND(AU346*(1+'Adaos RESELLER'!$C$117),2)</f>
        <v>124</v>
      </c>
      <c r="BI346" s="892"/>
      <c r="BJ346" s="892"/>
      <c r="BK346" s="892"/>
      <c r="BL346" s="892"/>
      <c r="BM346" s="892"/>
      <c r="BN346" s="892"/>
    </row>
    <row r="347" spans="1:66" ht="15.75" customHeight="1">
      <c r="B347" s="151"/>
      <c r="C347" s="151"/>
      <c r="F347" s="892"/>
      <c r="G347" s="892"/>
      <c r="H347" s="892"/>
      <c r="I347" s="892"/>
      <c r="J347" s="892"/>
      <c r="K347" s="892"/>
      <c r="L347" s="892"/>
      <c r="M347" s="892"/>
      <c r="N347" s="892"/>
      <c r="O347" s="151" t="s">
        <v>460</v>
      </c>
      <c r="P347" s="151" t="s">
        <v>461</v>
      </c>
      <c r="Q347" s="147" t="s">
        <v>462</v>
      </c>
      <c r="R347" s="147" t="s">
        <v>463</v>
      </c>
      <c r="S347" s="161" t="s">
        <v>1666</v>
      </c>
      <c r="T347" s="161"/>
      <c r="U347" s="161"/>
      <c r="V347" s="161"/>
      <c r="W347" s="161"/>
      <c r="X347" s="161"/>
      <c r="Y347" s="161"/>
      <c r="Z347" s="161"/>
      <c r="AA347" s="161"/>
      <c r="AB347" s="151"/>
      <c r="AC347" s="151"/>
      <c r="AF347" s="892"/>
      <c r="AG347" s="892"/>
      <c r="AH347" s="892"/>
      <c r="AI347" s="892"/>
      <c r="AJ347" s="892"/>
      <c r="AK347" s="892"/>
      <c r="AL347" s="892"/>
      <c r="AM347" s="892"/>
      <c r="AN347" s="892"/>
      <c r="AO347" s="151"/>
      <c r="AP347" s="151"/>
      <c r="AS347" s="892"/>
      <c r="AT347" s="892"/>
      <c r="AU347" s="892"/>
      <c r="AV347" s="892"/>
      <c r="AW347" s="892"/>
      <c r="AX347" s="892"/>
      <c r="AY347" s="892"/>
      <c r="AZ347" s="892"/>
      <c r="BA347" s="892"/>
      <c r="BB347" s="151"/>
      <c r="BC347" s="151"/>
      <c r="BF347" s="892"/>
      <c r="BG347" s="892"/>
      <c r="BH347" s="892"/>
      <c r="BI347" s="892"/>
      <c r="BJ347" s="892"/>
      <c r="BK347" s="892"/>
      <c r="BL347" s="892"/>
      <c r="BM347" s="892"/>
      <c r="BN347" s="892"/>
    </row>
    <row r="348" spans="1:66" ht="15.75" customHeight="1">
      <c r="A348" s="147" t="str">
        <f>Lang!A349</f>
        <v>FEREASTRA DE MANSARDA ROOFLITE</v>
      </c>
      <c r="B348" s="151">
        <f>IF(Select!$E$23=1,AB348,IF(Select!$E$23=2,AO348,IF(Select!$E$23=3,BB348)))</f>
        <v>129.46</v>
      </c>
      <c r="C348" s="151">
        <f>IF(Select!$E$23=1,AC348,IF(Select!$E$23=2,AP348,IF(Select!$E$23=3,BC348)))</f>
        <v>138.58000000000001</v>
      </c>
      <c r="D348" s="151">
        <f>IF(Select!$E$23=1,AD348,IF(Select!$E$23=2,AQ348,IF(Select!$E$23=3,BD348)))</f>
        <v>146.83000000000001</v>
      </c>
      <c r="E348" s="151">
        <f>IF(Select!$E$23=1,AE348,IF(Select!$E$23=2,AR348,IF(Select!$E$23=3,BE348)))</f>
        <v>160.07</v>
      </c>
      <c r="F348" s="151">
        <f>IF(Select!$E$23=1,AF348,IF(Select!$E$23=2,AS348,IF(Select!$E$23=3,BF348)))</f>
        <v>170.82</v>
      </c>
      <c r="G348" s="161"/>
      <c r="H348" s="161"/>
      <c r="I348" s="161"/>
      <c r="J348" s="161"/>
      <c r="K348" s="161"/>
      <c r="L348" s="161"/>
      <c r="M348" s="161"/>
      <c r="N348" s="161"/>
      <c r="O348" s="240">
        <v>161.82</v>
      </c>
      <c r="P348" s="240">
        <v>173.23</v>
      </c>
      <c r="Q348" s="239">
        <v>183.54</v>
      </c>
      <c r="R348" s="239">
        <v>200.09</v>
      </c>
      <c r="S348" s="241">
        <v>213.53</v>
      </c>
      <c r="T348" s="161"/>
      <c r="U348" s="161"/>
      <c r="V348" s="161"/>
      <c r="W348" s="161"/>
      <c r="X348" s="161"/>
      <c r="Y348" s="161"/>
      <c r="Z348" s="161"/>
      <c r="AA348" s="161"/>
      <c r="AB348" s="151">
        <f>ROUND(O348*(1-'Disc Dep'!$C$118),2)</f>
        <v>129.46</v>
      </c>
      <c r="AC348" s="151">
        <f>ROUND(P348*(1-'Disc Dep'!$C$118),2)</f>
        <v>138.58000000000001</v>
      </c>
      <c r="AD348" s="151">
        <f>ROUND(Q348*(1-'Disc Dep'!$C$118),2)</f>
        <v>146.83000000000001</v>
      </c>
      <c r="AE348" s="151">
        <f>ROUND(R348*(1-'Disc Dep'!$C$118),2)</f>
        <v>160.07</v>
      </c>
      <c r="AF348" s="151">
        <f>ROUND(S348*(1-'Disc Dep'!$C$118),2)</f>
        <v>170.82</v>
      </c>
      <c r="AG348" s="161"/>
      <c r="AH348" s="161"/>
      <c r="AI348" s="161"/>
      <c r="AJ348" s="161"/>
      <c r="AK348" s="161"/>
      <c r="AL348" s="161"/>
      <c r="AM348" s="161"/>
      <c r="AN348" s="161"/>
      <c r="AO348" s="151">
        <f>ROUND(AB348*(1+'Adaos Distr'!$C$118),2)</f>
        <v>129.46</v>
      </c>
      <c r="AP348" s="151">
        <f>ROUND(AC348*(1+'Adaos Distr'!$C$118),2)</f>
        <v>138.58000000000001</v>
      </c>
      <c r="AQ348" s="151">
        <f>ROUND(AD348*(1+'Adaos Distr'!$C$118),2)</f>
        <v>146.83000000000001</v>
      </c>
      <c r="AR348" s="151">
        <f>ROUND(AE348*(1+'Adaos Distr'!$C$118),2)</f>
        <v>160.07</v>
      </c>
      <c r="AS348" s="151">
        <f>ROUND(AF348*(1+'Adaos Distr'!$C$118),2)</f>
        <v>170.82</v>
      </c>
      <c r="AT348" s="161"/>
      <c r="AU348" s="161"/>
      <c r="AV348" s="161"/>
      <c r="AW348" s="161"/>
      <c r="AX348" s="161"/>
      <c r="AY348" s="161"/>
      <c r="AZ348" s="161"/>
      <c r="BA348" s="161"/>
      <c r="BB348" s="151">
        <f>ROUND(AO348*(1+'Adaos RESELLER'!$C$118),2)</f>
        <v>129.46</v>
      </c>
      <c r="BC348" s="151">
        <f>ROUND(AP348*(1+'Adaos RESELLER'!$C$118),2)</f>
        <v>138.58000000000001</v>
      </c>
      <c r="BD348" s="151">
        <f>ROUND(AQ348*(1+'Adaos RESELLER'!$C$118),2)</f>
        <v>146.83000000000001</v>
      </c>
      <c r="BE348" s="151">
        <f>ROUND(AR348*(1+'Adaos RESELLER'!$C$118),2)</f>
        <v>160.07</v>
      </c>
      <c r="BF348" s="151">
        <f>ROUND(AS348*(1+'Adaos RESELLER'!$C$118),2)</f>
        <v>170.82</v>
      </c>
      <c r="BG348" s="161"/>
      <c r="BH348" s="161"/>
      <c r="BI348" s="161"/>
      <c r="BJ348" s="161"/>
      <c r="BK348" s="161"/>
      <c r="BL348" s="161"/>
      <c r="BM348" s="161"/>
      <c r="BN348" s="161"/>
    </row>
    <row r="349" spans="1:66" ht="15.6">
      <c r="A349" s="147" t="str">
        <f>Lang!A350</f>
        <v>RAMA ROOFLITE</v>
      </c>
      <c r="B349" s="151">
        <f>IF(Select!$E$23=1,AB349,IF(Select!$E$23=2,AO349,IF(Select!$E$23=3,BB349)))</f>
        <v>47.33</v>
      </c>
      <c r="C349" s="151">
        <f>IF(Select!$E$23=1,AC349,IF(Select!$E$23=2,AP349,IF(Select!$E$23=3,BC349)))</f>
        <v>49.01</v>
      </c>
      <c r="D349" s="151">
        <f>IF(Select!$E$23=1,AD349,IF(Select!$E$23=2,AQ349,IF(Select!$E$23=3,BD349)))</f>
        <v>57.27</v>
      </c>
      <c r="E349" s="151">
        <f>IF(Select!$E$23=1,AE349,IF(Select!$E$23=2,AR349,IF(Select!$E$23=3,BE349)))</f>
        <v>60.5</v>
      </c>
      <c r="F349" s="151">
        <f>IF(Select!$E$23=1,AF349,IF(Select!$E$23=2,AS349,IF(Select!$E$23=3,BF349)))</f>
        <v>62.46</v>
      </c>
      <c r="G349" s="161"/>
      <c r="H349" s="161"/>
      <c r="I349" s="161"/>
      <c r="J349" s="161"/>
      <c r="K349" s="161"/>
      <c r="L349" s="161"/>
      <c r="M349" s="161"/>
      <c r="N349" s="161"/>
      <c r="O349" s="239">
        <v>59.16</v>
      </c>
      <c r="P349" s="239">
        <v>61.26</v>
      </c>
      <c r="Q349" s="239">
        <v>71.59</v>
      </c>
      <c r="R349" s="239">
        <v>75.62</v>
      </c>
      <c r="S349" s="241">
        <v>78.069999999999993</v>
      </c>
      <c r="T349" s="161"/>
      <c r="U349" s="161"/>
      <c r="V349" s="161"/>
      <c r="W349" s="161"/>
      <c r="X349" s="161"/>
      <c r="Y349" s="161"/>
      <c r="Z349" s="161"/>
      <c r="AA349" s="161"/>
      <c r="AB349" s="151">
        <f>ROUND(O349*(1-'Disc Dep'!$C$118),2)</f>
        <v>47.33</v>
      </c>
      <c r="AC349" s="151">
        <f>ROUND(P349*(1-'Disc Dep'!$C$118),2)</f>
        <v>49.01</v>
      </c>
      <c r="AD349" s="151">
        <f>ROUND(Q349*(1-'Disc Dep'!$C$118),2)</f>
        <v>57.27</v>
      </c>
      <c r="AE349" s="151">
        <f>ROUND(R349*(1-'Disc Dep'!$C$118),2)</f>
        <v>60.5</v>
      </c>
      <c r="AF349" s="151">
        <f>ROUND(S349*(1-'Disc Dep'!$C$118),2)</f>
        <v>62.46</v>
      </c>
      <c r="AG349" s="161"/>
      <c r="AH349" s="161"/>
      <c r="AI349" s="161"/>
      <c r="AJ349" s="161"/>
      <c r="AK349" s="161"/>
      <c r="AL349" s="161"/>
      <c r="AM349" s="161"/>
      <c r="AN349" s="161"/>
      <c r="AO349" s="151">
        <f>ROUND(AB349*(1+'Adaos Distr'!$C$118),2)</f>
        <v>47.33</v>
      </c>
      <c r="AP349" s="151">
        <f>ROUND(AC349*(1+'Adaos Distr'!$C$118),2)</f>
        <v>49.01</v>
      </c>
      <c r="AQ349" s="151">
        <f>ROUND(AD349*(1+'Adaos Distr'!$C$118),2)</f>
        <v>57.27</v>
      </c>
      <c r="AR349" s="151">
        <f>ROUND(AE349*(1+'Adaos Distr'!$C$118),2)</f>
        <v>60.5</v>
      </c>
      <c r="AS349" s="151">
        <f>ROUND(AF349*(1+'Adaos Distr'!$C$118),2)</f>
        <v>62.46</v>
      </c>
      <c r="AT349" s="161"/>
      <c r="AU349" s="161"/>
      <c r="AV349" s="161"/>
      <c r="AW349" s="161"/>
      <c r="AX349" s="161"/>
      <c r="AY349" s="161"/>
      <c r="AZ349" s="161"/>
      <c r="BA349" s="161"/>
      <c r="BB349" s="151">
        <f>ROUND(AO349*(1+'Adaos RESELLER'!$C$118),2)</f>
        <v>47.33</v>
      </c>
      <c r="BC349" s="151">
        <f>ROUND(AP349*(1+'Adaos RESELLER'!$C$118),2)</f>
        <v>49.01</v>
      </c>
      <c r="BD349" s="151">
        <f>ROUND(AQ349*(1+'Adaos RESELLER'!$C$118),2)</f>
        <v>57.27</v>
      </c>
      <c r="BE349" s="151">
        <f>ROUND(AR349*(1+'Adaos RESELLER'!$C$118),2)</f>
        <v>60.5</v>
      </c>
      <c r="BF349" s="151">
        <f>ROUND(AS349*(1+'Adaos RESELLER'!$C$118),2)</f>
        <v>62.46</v>
      </c>
      <c r="BG349" s="161"/>
      <c r="BH349" s="161"/>
      <c r="BI349" s="161"/>
      <c r="BJ349" s="161"/>
      <c r="BK349" s="161"/>
      <c r="BL349" s="161"/>
      <c r="BM349" s="161"/>
      <c r="BN349" s="161"/>
    </row>
    <row r="352" spans="1:66">
      <c r="A352" s="77" t="s">
        <v>2211</v>
      </c>
      <c r="B352" s="147" t="str">
        <f>A352&amp;" "&amp;INDEX(Select!AB312:AB319,Select!AB311)</f>
        <v xml:space="preserve">Fereastra mansarda Rooflite </v>
      </c>
      <c r="C352" s="147">
        <f>IFERROR(VLOOKUP(B352,In!A78:F1237,6,FALSE),0)</f>
        <v>0</v>
      </c>
    </row>
    <row r="353" spans="1:9">
      <c r="A353" s="77" t="s">
        <v>2211</v>
      </c>
      <c r="B353" s="147" t="str">
        <f>A353&amp;" "&amp;INDEX(Select!AC312:AC319,Select!AC311)</f>
        <v xml:space="preserve">Fereastra mansarda Rooflite </v>
      </c>
      <c r="C353" s="147">
        <f>IFERROR(VLOOKUP(B353,In!A79:F1238,6,FALSE),0)</f>
        <v>0</v>
      </c>
    </row>
    <row r="354" spans="1:9">
      <c r="A354" s="77" t="s">
        <v>2212</v>
      </c>
      <c r="B354" s="147" t="str">
        <f>A354&amp;" "&amp;INDEX(Select!AD312:AD319,Select!AD311)</f>
        <v xml:space="preserve">Rama Rooflite </v>
      </c>
      <c r="C354" s="147">
        <f>IFERROR(VLOOKUP(B354,In!A81:F1240,6,FALSE),0)</f>
        <v>0</v>
      </c>
    </row>
    <row r="355" spans="1:9">
      <c r="A355" s="77" t="s">
        <v>2212</v>
      </c>
      <c r="B355" s="147" t="str">
        <f>A355&amp;" "&amp;INDEX(Select!AE312:AE319,Select!AE311)</f>
        <v xml:space="preserve">Rama Rooflite </v>
      </c>
      <c r="C355" s="147">
        <f>IFERROR(VLOOKUP(B355,In!A82:F1241,6,FALSE),0)</f>
        <v>0</v>
      </c>
    </row>
    <row r="358" spans="1:9">
      <c r="A358" s="147" t="s">
        <v>521</v>
      </c>
      <c r="D358" s="147">
        <f>IF(Select!$E$23=1,G358,IF(Select!$E$23=2,H358,IF(Select!$E$23=3,I358)))</f>
        <v>49.97</v>
      </c>
      <c r="F358" s="172">
        <v>49.97</v>
      </c>
      <c r="G358" s="163">
        <f>F358</f>
        <v>49.97</v>
      </c>
      <c r="H358" s="147">
        <f>ROUND(G358*(1+'Adaos Distr'!$C$126),2)</f>
        <v>49.97</v>
      </c>
      <c r="I358" s="147">
        <f>ROUND(H358*(1+'Adaos RESELLER'!$C$126),2)</f>
        <v>49.97</v>
      </c>
    </row>
    <row r="359" spans="1:9">
      <c r="A359" s="147" t="s">
        <v>522</v>
      </c>
      <c r="D359" s="147">
        <f>IF(Select!$E$23=1,G359,IF(Select!$E$23=2,H359,IF(Select!$E$23=3,I359)))</f>
        <v>38.229999999999997</v>
      </c>
      <c r="F359" s="172">
        <v>38.229999999999997</v>
      </c>
      <c r="G359" s="163">
        <f t="shared" ref="G359:G376" si="54">F359</f>
        <v>38.229999999999997</v>
      </c>
      <c r="H359" s="147">
        <f>ROUND(G359*(1+'Adaos Distr'!$C$126),2)</f>
        <v>38.229999999999997</v>
      </c>
      <c r="I359" s="147">
        <f>ROUND(H359*(1+'Adaos RESELLER'!$C$126),2)</f>
        <v>38.229999999999997</v>
      </c>
    </row>
    <row r="360" spans="1:9">
      <c r="A360" s="147" t="s">
        <v>523</v>
      </c>
      <c r="D360" s="147">
        <f>IF(Select!$E$23=1,G360,IF(Select!$E$23=2,H360,IF(Select!$E$23=3,I360)))</f>
        <v>20.99</v>
      </c>
      <c r="F360" s="172">
        <v>20.99</v>
      </c>
      <c r="G360" s="163">
        <f t="shared" si="54"/>
        <v>20.99</v>
      </c>
      <c r="H360" s="147">
        <f>ROUND(G360*(1+'Adaos Distr'!$C$126),2)</f>
        <v>20.99</v>
      </c>
      <c r="I360" s="147">
        <f>ROUND(H360*(1+'Adaos RESELLER'!$C$126),2)</f>
        <v>20.99</v>
      </c>
    </row>
    <row r="361" spans="1:9">
      <c r="A361" s="147" t="s">
        <v>524</v>
      </c>
      <c r="D361" s="147">
        <f>IF(Select!$E$23=1,G361,IF(Select!$E$23=2,H361,IF(Select!$E$23=3,I361)))</f>
        <v>43.75</v>
      </c>
      <c r="F361" s="172">
        <v>43.75</v>
      </c>
      <c r="G361" s="163">
        <f t="shared" si="54"/>
        <v>43.75</v>
      </c>
      <c r="H361" s="147">
        <f>ROUND(G361*(1+'Adaos Distr'!$C$126),2)</f>
        <v>43.75</v>
      </c>
      <c r="I361" s="147">
        <f>ROUND(H361*(1+'Adaos RESELLER'!$C$126),2)</f>
        <v>43.75</v>
      </c>
    </row>
    <row r="362" spans="1:9">
      <c r="A362" s="147" t="s">
        <v>525</v>
      </c>
      <c r="D362" s="147">
        <f>IF(Select!$E$23=1,G362,IF(Select!$E$23=2,H362,IF(Select!$E$23=3,I362)))</f>
        <v>58.53</v>
      </c>
      <c r="F362" s="172">
        <v>58.53</v>
      </c>
      <c r="G362" s="163">
        <f t="shared" si="54"/>
        <v>58.53</v>
      </c>
      <c r="H362" s="147">
        <f>ROUND(G362*(1+'Adaos Distr'!$C$126),2)</f>
        <v>58.53</v>
      </c>
      <c r="I362" s="147">
        <f>ROUND(H362*(1+'Adaos RESELLER'!$C$126),2)</f>
        <v>58.53</v>
      </c>
    </row>
    <row r="363" spans="1:9">
      <c r="A363" s="147" t="s">
        <v>526</v>
      </c>
      <c r="D363" s="147">
        <f>IF(Select!$E$23=1,G363,IF(Select!$E$23=2,H363,IF(Select!$E$23=3,I363)))</f>
        <v>45.51</v>
      </c>
      <c r="F363" s="172">
        <v>45.51</v>
      </c>
      <c r="G363" s="163">
        <f t="shared" si="54"/>
        <v>45.51</v>
      </c>
      <c r="H363" s="147">
        <f>ROUND(G363*(1+'Adaos Distr'!$C$126),2)</f>
        <v>45.51</v>
      </c>
      <c r="I363" s="147">
        <f>ROUND(H363*(1+'Adaos RESELLER'!$C$126),2)</f>
        <v>45.51</v>
      </c>
    </row>
    <row r="364" spans="1:9">
      <c r="A364" s="147" t="s">
        <v>527</v>
      </c>
      <c r="D364" s="147">
        <f>IF(Select!$E$23=1,G364,IF(Select!$E$23=2,H364,IF(Select!$E$23=3,I364)))</f>
        <v>36.61</v>
      </c>
      <c r="F364" s="172">
        <v>36.61</v>
      </c>
      <c r="G364" s="163">
        <f t="shared" si="54"/>
        <v>36.61</v>
      </c>
      <c r="H364" s="147">
        <f>ROUND(G364*(1+'Adaos Distr'!$C$126),2)</f>
        <v>36.61</v>
      </c>
      <c r="I364" s="147">
        <f>ROUND(H364*(1+'Adaos RESELLER'!$C$126),2)</f>
        <v>36.61</v>
      </c>
    </row>
    <row r="365" spans="1:9">
      <c r="A365" s="147" t="s">
        <v>528</v>
      </c>
      <c r="D365" s="147">
        <f>IF(Select!$E$23=1,G365,IF(Select!$E$23=2,H365,IF(Select!$E$23=3,I365)))</f>
        <v>33.69</v>
      </c>
      <c r="F365" s="172">
        <v>33.69</v>
      </c>
      <c r="G365" s="163">
        <f t="shared" si="54"/>
        <v>33.69</v>
      </c>
      <c r="H365" s="147">
        <f>ROUND(G365*(1+'Adaos Distr'!$C$126),2)</f>
        <v>33.69</v>
      </c>
      <c r="I365" s="147">
        <f>ROUND(H365*(1+'Adaos RESELLER'!$C$126),2)</f>
        <v>33.69</v>
      </c>
    </row>
    <row r="366" spans="1:9">
      <c r="A366" s="147" t="s">
        <v>529</v>
      </c>
      <c r="D366" s="147">
        <f>IF(Select!$E$23=1,G366,IF(Select!$E$23=2,H366,IF(Select!$E$23=3,I366)))</f>
        <v>41.76</v>
      </c>
      <c r="F366" s="172">
        <v>41.76</v>
      </c>
      <c r="G366" s="163">
        <f t="shared" si="54"/>
        <v>41.76</v>
      </c>
      <c r="H366" s="147">
        <f>ROUND(G366*(1+'Adaos Distr'!$C$126),2)</f>
        <v>41.76</v>
      </c>
      <c r="I366" s="147">
        <f>ROUND(H366*(1+'Adaos RESELLER'!$C$126),2)</f>
        <v>41.76</v>
      </c>
    </row>
    <row r="367" spans="1:9">
      <c r="A367" s="147" t="s">
        <v>530</v>
      </c>
      <c r="D367" s="147">
        <f>IF(Select!$E$23=1,G367,IF(Select!$E$23=2,H367,IF(Select!$E$23=3,I367)))</f>
        <v>19.690000000000001</v>
      </c>
      <c r="F367" s="172">
        <v>19.690000000000001</v>
      </c>
      <c r="G367" s="163">
        <f t="shared" si="54"/>
        <v>19.690000000000001</v>
      </c>
      <c r="H367" s="147">
        <f>ROUND(G367*(1+'Adaos Distr'!$C$126),2)</f>
        <v>19.690000000000001</v>
      </c>
      <c r="I367" s="147">
        <f>ROUND(H367*(1+'Adaos RESELLER'!$C$126),2)</f>
        <v>19.690000000000001</v>
      </c>
    </row>
    <row r="368" spans="1:9">
      <c r="A368" s="147" t="s">
        <v>531</v>
      </c>
      <c r="D368" s="147">
        <f>IF(Select!$E$23=1,G368,IF(Select!$E$23=2,H368,IF(Select!$E$23=3,I368)))</f>
        <v>25</v>
      </c>
      <c r="F368" s="172">
        <v>25</v>
      </c>
      <c r="G368" s="163">
        <f t="shared" si="54"/>
        <v>25</v>
      </c>
      <c r="H368" s="147">
        <f>ROUND(G368*(1+'Adaos Distr'!$C$126),2)</f>
        <v>25</v>
      </c>
      <c r="I368" s="147">
        <f>ROUND(H368*(1+'Adaos RESELLER'!$C$126),2)</f>
        <v>25</v>
      </c>
    </row>
    <row r="369" spans="1:12">
      <c r="A369" s="147" t="s">
        <v>532</v>
      </c>
      <c r="D369" s="147">
        <f>IF(Select!$E$23=1,G369,IF(Select!$E$23=2,H369,IF(Select!$E$23=3,I369)))</f>
        <v>24.44</v>
      </c>
      <c r="F369" s="172">
        <v>24.44</v>
      </c>
      <c r="G369" s="163">
        <f t="shared" si="54"/>
        <v>24.44</v>
      </c>
      <c r="H369" s="147">
        <f>ROUND(G369*(1+'Adaos Distr'!$C$126),2)</f>
        <v>24.44</v>
      </c>
      <c r="I369" s="147">
        <f>ROUND(H369*(1+'Adaos RESELLER'!$C$126),2)</f>
        <v>24.44</v>
      </c>
    </row>
    <row r="370" spans="1:12">
      <c r="A370" s="147" t="s">
        <v>533</v>
      </c>
      <c r="D370" s="147">
        <f>IF(Select!$E$23=1,G370,IF(Select!$E$23=2,H370,IF(Select!$E$23=3,I370)))</f>
        <v>22.5</v>
      </c>
      <c r="F370" s="172">
        <v>22.5</v>
      </c>
      <c r="G370" s="163">
        <f t="shared" si="54"/>
        <v>22.5</v>
      </c>
      <c r="H370" s="147">
        <f>ROUND(G370*(1+'Adaos Distr'!$C$126),2)</f>
        <v>22.5</v>
      </c>
      <c r="I370" s="147">
        <f>ROUND(H370*(1+'Adaos RESELLER'!$C$126),2)</f>
        <v>22.5</v>
      </c>
    </row>
    <row r="371" spans="1:12">
      <c r="A371" s="147" t="s">
        <v>534</v>
      </c>
      <c r="D371" s="147">
        <f>IF(Select!$E$23=1,G371,IF(Select!$E$23=2,H371,IF(Select!$E$23=3,I371)))</f>
        <v>10.24</v>
      </c>
      <c r="F371" s="172">
        <v>10.24</v>
      </c>
      <c r="G371" s="163">
        <f t="shared" si="54"/>
        <v>10.24</v>
      </c>
      <c r="H371" s="147">
        <f>ROUND(G371*(1+'Adaos Distr'!$C$126),2)</f>
        <v>10.24</v>
      </c>
      <c r="I371" s="147">
        <f>ROUND(H371*(1+'Adaos RESELLER'!$C$126),2)</f>
        <v>10.24</v>
      </c>
    </row>
    <row r="372" spans="1:12">
      <c r="A372" s="147" t="s">
        <v>535</v>
      </c>
      <c r="D372" s="147">
        <f>IF(Select!$E$23=1,G372,IF(Select!$E$23=2,H372,IF(Select!$E$23=3,I372)))</f>
        <v>171.43</v>
      </c>
      <c r="F372" s="172">
        <v>171.43</v>
      </c>
      <c r="G372" s="163">
        <f t="shared" si="54"/>
        <v>171.43</v>
      </c>
      <c r="H372" s="147">
        <f>ROUND(G372*(1+'Adaos Distr'!$C$126),2)</f>
        <v>171.43</v>
      </c>
      <c r="I372" s="147">
        <f>ROUND(H372*(1+'Adaos RESELLER'!$C$126),2)</f>
        <v>171.43</v>
      </c>
    </row>
    <row r="373" spans="1:12">
      <c r="A373" s="147" t="s">
        <v>536</v>
      </c>
      <c r="D373" s="147">
        <f>IF(Select!$E$23=1,G373,IF(Select!$E$23=2,H373,IF(Select!$E$23=3,I373)))</f>
        <v>171.43</v>
      </c>
      <c r="F373" s="172">
        <v>171.43</v>
      </c>
      <c r="G373" s="163">
        <f t="shared" si="54"/>
        <v>171.43</v>
      </c>
      <c r="H373" s="147">
        <f>ROUND(G373*(1+'Adaos Distr'!$C$126),2)</f>
        <v>171.43</v>
      </c>
      <c r="I373" s="147">
        <f>ROUND(H373*(1+'Adaos RESELLER'!$C$126),2)</f>
        <v>171.43</v>
      </c>
    </row>
    <row r="374" spans="1:12">
      <c r="A374" s="147" t="s">
        <v>537</v>
      </c>
      <c r="D374" s="147">
        <f>IF(Select!$E$23=1,G374,IF(Select!$E$23=2,H374,IF(Select!$E$23=3,I374)))</f>
        <v>189.16</v>
      </c>
      <c r="F374" s="172">
        <v>189.16</v>
      </c>
      <c r="G374" s="163">
        <f t="shared" si="54"/>
        <v>189.16</v>
      </c>
      <c r="H374" s="147">
        <f>ROUND(G374*(1+'Adaos Distr'!$C$126),2)</f>
        <v>189.16</v>
      </c>
      <c r="I374" s="147">
        <f>ROUND(H374*(1+'Adaos RESELLER'!$C$126),2)</f>
        <v>189.16</v>
      </c>
    </row>
    <row r="375" spans="1:12">
      <c r="A375" s="147" t="s">
        <v>538</v>
      </c>
      <c r="D375" s="147">
        <f>IF(Select!$E$23=1,G375,IF(Select!$E$23=2,H375,IF(Select!$E$23=3,I375)))</f>
        <v>101</v>
      </c>
      <c r="F375" s="172">
        <v>101</v>
      </c>
      <c r="G375" s="163">
        <f t="shared" si="54"/>
        <v>101</v>
      </c>
      <c r="H375" s="147">
        <f>ROUND(G375*(1+'Adaos Distr'!$C$126),2)</f>
        <v>101</v>
      </c>
      <c r="I375" s="147">
        <f>ROUND(H375*(1+'Adaos RESELLER'!$C$126),2)</f>
        <v>101</v>
      </c>
    </row>
    <row r="376" spans="1:12">
      <c r="A376" s="147" t="s">
        <v>539</v>
      </c>
      <c r="D376" s="147">
        <f>IF(Select!$E$23=1,G376,IF(Select!$E$23=2,H376,IF(Select!$E$23=3,I376)))</f>
        <v>168.96</v>
      </c>
      <c r="F376" s="172">
        <v>168.96</v>
      </c>
      <c r="G376" s="163">
        <f t="shared" si="54"/>
        <v>168.96</v>
      </c>
      <c r="H376" s="147">
        <f>ROUND(G376*(1+'Adaos Distr'!$C$126),2)</f>
        <v>168.96</v>
      </c>
      <c r="I376" s="147">
        <f>ROUND(H376*(1+'Adaos RESELLER'!$C$126),2)</f>
        <v>168.96</v>
      </c>
    </row>
    <row r="377" spans="1:12">
      <c r="A377" s="147" t="s">
        <v>540</v>
      </c>
      <c r="D377" s="147">
        <f>IF(Select!$E$23=1,G377,IF(Select!$E$23=2,H377,IF(Select!$E$23=3,I377)))</f>
        <v>62.67</v>
      </c>
      <c r="F377" s="172">
        <v>62.67</v>
      </c>
      <c r="G377" s="163">
        <f t="shared" ref="G377" si="55">F377</f>
        <v>62.67</v>
      </c>
      <c r="H377" s="147">
        <f>ROUND(G377*(1+'Adaos Distr'!$C$126),2)</f>
        <v>62.67</v>
      </c>
      <c r="I377" s="147">
        <f>ROUND(H377*(1+'Adaos RESELLER'!$C$126),2)</f>
        <v>62.67</v>
      </c>
    </row>
    <row r="378" spans="1:12">
      <c r="F378" s="172"/>
      <c r="G378" s="163"/>
    </row>
    <row r="379" spans="1:12">
      <c r="F379" s="172"/>
      <c r="G379" s="163"/>
    </row>
    <row r="380" spans="1:12">
      <c r="F380" s="172"/>
      <c r="G380" s="163"/>
    </row>
    <row r="381" spans="1:12">
      <c r="F381" s="172"/>
      <c r="G381" s="163"/>
    </row>
    <row r="382" spans="1:12">
      <c r="A382" s="146" t="s">
        <v>571</v>
      </c>
      <c r="D382" s="147">
        <f>IF(Select!$E$23=1,G382,IF(Select!$E$23=2,H382,IF(Select!$E$23=3,I382)))</f>
        <v>12.96</v>
      </c>
      <c r="F382" s="172">
        <v>17.510000000000002</v>
      </c>
      <c r="G382" s="163">
        <f>ROUND(F382*(1-'Disc Dep'!$C$115),2)</f>
        <v>12.96</v>
      </c>
      <c r="H382" s="147">
        <f>ROUND(G382*(1+'Adaos Distr'!$C$115),2)</f>
        <v>12.96</v>
      </c>
      <c r="I382" s="147">
        <f>ROUND(H382*(1+'Adaos RESELLER'!$C$115),2)</f>
        <v>12.96</v>
      </c>
      <c r="K382" s="898" t="s">
        <v>1716</v>
      </c>
      <c r="L382" s="510">
        <f>ROUND(F382*1.03,2)</f>
        <v>18.04</v>
      </c>
    </row>
    <row r="383" spans="1:12">
      <c r="A383" s="146" t="s">
        <v>572</v>
      </c>
      <c r="D383" s="147">
        <f>IF(Select!$E$23=1,G383,IF(Select!$E$23=2,H383,IF(Select!$E$23=3,I383)))</f>
        <v>13.81</v>
      </c>
      <c r="F383" s="172">
        <v>18.66</v>
      </c>
      <c r="G383" s="163">
        <f>ROUND(F383*(1-'Disc Dep'!$C$115),2)</f>
        <v>13.81</v>
      </c>
      <c r="H383" s="147">
        <f>ROUND(G383*(1+'Adaos Distr'!$C$115),2)</f>
        <v>13.81</v>
      </c>
      <c r="I383" s="147">
        <f>ROUND(H383*(1+'Adaos RESELLER'!$C$115),2)</f>
        <v>13.81</v>
      </c>
      <c r="K383" s="898"/>
      <c r="L383" s="510">
        <f t="shared" ref="L383:L393" si="56">ROUND(F383*1.03,2)</f>
        <v>19.22</v>
      </c>
    </row>
    <row r="384" spans="1:12">
      <c r="A384" s="146" t="s">
        <v>573</v>
      </c>
      <c r="D384" s="147">
        <f>IF(Select!$E$23=1,G384,IF(Select!$E$23=2,H384,IF(Select!$E$23=3,I384)))</f>
        <v>16.29</v>
      </c>
      <c r="F384" s="172">
        <v>22.01</v>
      </c>
      <c r="G384" s="163">
        <f>ROUND(F384*(1-'Disc Dep'!$C$115),2)</f>
        <v>16.29</v>
      </c>
      <c r="H384" s="147">
        <f>ROUND(G384*(1+'Adaos Distr'!$C$115),2)</f>
        <v>16.29</v>
      </c>
      <c r="I384" s="147">
        <f>ROUND(H384*(1+'Adaos RESELLER'!$C$115),2)</f>
        <v>16.29</v>
      </c>
      <c r="K384" s="898"/>
      <c r="L384" s="510">
        <f t="shared" si="56"/>
        <v>22.67</v>
      </c>
    </row>
    <row r="385" spans="1:12">
      <c r="A385" s="146" t="s">
        <v>574</v>
      </c>
      <c r="D385" s="147">
        <f>IF(Select!$E$23=1,G385,IF(Select!$E$23=2,H385,IF(Select!$E$23=3,I385)))</f>
        <v>17.39</v>
      </c>
      <c r="F385" s="172">
        <v>23.5</v>
      </c>
      <c r="G385" s="163">
        <f>ROUND(F385*(1-'Disc Dep'!$C$115),2)</f>
        <v>17.39</v>
      </c>
      <c r="H385" s="147">
        <f>ROUND(G385*(1+'Adaos Distr'!$C$115),2)</f>
        <v>17.39</v>
      </c>
      <c r="I385" s="147">
        <f>ROUND(H385*(1+'Adaos RESELLER'!$C$115),2)</f>
        <v>17.39</v>
      </c>
      <c r="K385" s="898"/>
      <c r="L385" s="510">
        <f t="shared" si="56"/>
        <v>24.21</v>
      </c>
    </row>
    <row r="386" spans="1:12">
      <c r="A386" s="146" t="s">
        <v>575</v>
      </c>
      <c r="D386" s="147">
        <f>IF(Select!$E$23=1,G386,IF(Select!$E$23=2,H386,IF(Select!$E$23=3,I386)))</f>
        <v>0</v>
      </c>
      <c r="F386" s="172">
        <v>0</v>
      </c>
      <c r="G386" s="163">
        <f>ROUND(F386*(1-'Disc Dep'!$C$115),2)</f>
        <v>0</v>
      </c>
      <c r="H386" s="147">
        <f>ROUND(G386*(1+'Adaos Distr'!$C$115),2)</f>
        <v>0</v>
      </c>
      <c r="I386" s="147">
        <f>ROUND(H386*(1+'Adaos RESELLER'!$C$115),2)</f>
        <v>0</v>
      </c>
      <c r="K386" s="898"/>
      <c r="L386" s="510">
        <f t="shared" si="56"/>
        <v>0</v>
      </c>
    </row>
    <row r="387" spans="1:12">
      <c r="A387" s="146" t="s">
        <v>576</v>
      </c>
      <c r="D387" s="147">
        <f>IF(Select!$E$23=1,G387,IF(Select!$E$23=2,H387,IF(Select!$E$23=3,I387)))</f>
        <v>0</v>
      </c>
      <c r="F387" s="172">
        <v>0</v>
      </c>
      <c r="G387" s="163">
        <f>ROUND(F387*(1-'Disc Dep'!$C$115),2)</f>
        <v>0</v>
      </c>
      <c r="H387" s="147">
        <f>ROUND(G387*(1+'Adaos Distr'!$C$115),2)</f>
        <v>0</v>
      </c>
      <c r="I387" s="147">
        <f>ROUND(H387*(1+'Adaos RESELLER'!$C$115),2)</f>
        <v>0</v>
      </c>
      <c r="K387" s="898"/>
      <c r="L387" s="510">
        <f t="shared" si="56"/>
        <v>0</v>
      </c>
    </row>
    <row r="388" spans="1:12">
      <c r="A388" s="146" t="s">
        <v>577</v>
      </c>
      <c r="D388" s="147">
        <f>IF(Select!$E$23=1,G388,IF(Select!$E$23=2,H388,IF(Select!$E$23=3,I388)))</f>
        <v>15.22</v>
      </c>
      <c r="F388" s="172">
        <v>20.57</v>
      </c>
      <c r="G388" s="163">
        <f>ROUND(F388*(1-'Disc Dep'!$C$115),2)</f>
        <v>15.22</v>
      </c>
      <c r="H388" s="147">
        <f>ROUND(G388*(1+'Adaos Distr'!$C$115),2)</f>
        <v>15.22</v>
      </c>
      <c r="I388" s="147">
        <f>ROUND(H388*(1+'Adaos RESELLER'!$C$115),2)</f>
        <v>15.22</v>
      </c>
      <c r="K388" s="898"/>
      <c r="L388" s="510">
        <f t="shared" si="56"/>
        <v>21.19</v>
      </c>
    </row>
    <row r="389" spans="1:12">
      <c r="A389" s="146" t="s">
        <v>578</v>
      </c>
      <c r="D389" s="147">
        <f>IF(Select!$E$23=1,G389,IF(Select!$E$23=2,H389,IF(Select!$E$23=3,I389)))</f>
        <v>17.350000000000001</v>
      </c>
      <c r="F389" s="172">
        <v>23.44</v>
      </c>
      <c r="G389" s="163">
        <f>ROUND(F389*(1-'Disc Dep'!$C$115),2)</f>
        <v>17.350000000000001</v>
      </c>
      <c r="H389" s="147">
        <f>ROUND(G389*(1+'Adaos Distr'!$C$115),2)</f>
        <v>17.350000000000001</v>
      </c>
      <c r="I389" s="147">
        <f>ROUND(H389*(1+'Adaos RESELLER'!$C$115),2)</f>
        <v>17.350000000000001</v>
      </c>
      <c r="K389" s="898"/>
      <c r="L389" s="510">
        <f t="shared" si="56"/>
        <v>24.14</v>
      </c>
    </row>
    <row r="390" spans="1:12">
      <c r="A390" s="146" t="s">
        <v>579</v>
      </c>
      <c r="D390" s="147">
        <f>IF(Select!$E$23=1,G390,IF(Select!$E$23=2,H390,IF(Select!$E$23=3,I390)))</f>
        <v>18.46</v>
      </c>
      <c r="F390" s="172">
        <v>24.95</v>
      </c>
      <c r="G390" s="163">
        <f>ROUND(F390*(1-'Disc Dep'!$C$115),2)</f>
        <v>18.46</v>
      </c>
      <c r="H390" s="147">
        <f>ROUND(G390*(1+'Adaos Distr'!$C$115),2)</f>
        <v>18.46</v>
      </c>
      <c r="I390" s="147">
        <f>ROUND(H390*(1+'Adaos RESELLER'!$C$115),2)</f>
        <v>18.46</v>
      </c>
      <c r="K390" s="898"/>
      <c r="L390" s="510">
        <f t="shared" si="56"/>
        <v>25.7</v>
      </c>
    </row>
    <row r="391" spans="1:12">
      <c r="A391" s="146" t="s">
        <v>580</v>
      </c>
      <c r="D391" s="147">
        <f>IF(Select!$E$23=1,G391,IF(Select!$E$23=2,H391,IF(Select!$E$23=3,I391)))</f>
        <v>24.62</v>
      </c>
      <c r="F391" s="172">
        <v>33.270000000000003</v>
      </c>
      <c r="G391" s="163">
        <f>ROUND(F391*(1-'Disc Dep'!$C$115),2)</f>
        <v>24.62</v>
      </c>
      <c r="H391" s="147">
        <f>ROUND(G391*(1+'Adaos Distr'!$C$115),2)</f>
        <v>24.62</v>
      </c>
      <c r="I391" s="147">
        <f>ROUND(H391*(1+'Adaos RESELLER'!$C$115),2)</f>
        <v>24.62</v>
      </c>
      <c r="K391" s="898"/>
      <c r="L391" s="510">
        <f t="shared" si="56"/>
        <v>34.270000000000003</v>
      </c>
    </row>
    <row r="392" spans="1:12">
      <c r="A392" s="146" t="s">
        <v>581</v>
      </c>
      <c r="D392" s="147">
        <f>IF(Select!$E$23=1,G392,IF(Select!$E$23=2,H392,IF(Select!$E$23=3,I392)))</f>
        <v>27.06</v>
      </c>
      <c r="F392" s="172">
        <v>36.57</v>
      </c>
      <c r="G392" s="163">
        <f>ROUND(F392*(1-'Disc Dep'!$C$115),2)</f>
        <v>27.06</v>
      </c>
      <c r="H392" s="147">
        <f>ROUND(G392*(1+'Adaos Distr'!$C$115),2)</f>
        <v>27.06</v>
      </c>
      <c r="I392" s="147">
        <f>ROUND(H392*(1+'Adaos RESELLER'!$C$115),2)</f>
        <v>27.06</v>
      </c>
      <c r="K392" s="898"/>
      <c r="L392" s="510">
        <f t="shared" si="56"/>
        <v>37.67</v>
      </c>
    </row>
    <row r="393" spans="1:12">
      <c r="A393" s="146" t="s">
        <v>582</v>
      </c>
      <c r="D393" s="147">
        <f>IF(Select!$E$23=1,G393,IF(Select!$E$23=2,H393,IF(Select!$E$23=3,I393)))</f>
        <v>30.44</v>
      </c>
      <c r="F393" s="172">
        <v>41.14</v>
      </c>
      <c r="G393" s="163">
        <f>ROUND(F393*(1-'Disc Dep'!$C$115),2)</f>
        <v>30.44</v>
      </c>
      <c r="H393" s="147">
        <f>ROUND(G393*(1+'Adaos Distr'!$C$115),2)</f>
        <v>30.44</v>
      </c>
      <c r="I393" s="147">
        <f>ROUND(H393*(1+'Adaos RESELLER'!$C$115),2)</f>
        <v>30.44</v>
      </c>
      <c r="K393" s="898"/>
      <c r="L393" s="510">
        <f t="shared" si="56"/>
        <v>42.37</v>
      </c>
    </row>
    <row r="394" spans="1:12">
      <c r="A394" s="146" t="s">
        <v>583</v>
      </c>
      <c r="D394" s="147">
        <f>IF(Select!$E$23=1,G394,IF(Select!$E$23=2,H394,IF(Select!$E$23=3,I394)))</f>
        <v>22.23</v>
      </c>
      <c r="F394" s="172">
        <v>30.04</v>
      </c>
      <c r="G394" s="163">
        <f>ROUND(F394*(1-'Disc Dep'!$C$115),2)</f>
        <v>22.23</v>
      </c>
      <c r="H394" s="147">
        <f>ROUND(G394*(1+'Adaos Distr'!$C$115),2)</f>
        <v>22.23</v>
      </c>
      <c r="I394" s="147">
        <f>ROUND(H394*(1+'Adaos RESELLER'!$C$115),2)</f>
        <v>22.23</v>
      </c>
      <c r="K394" s="898"/>
      <c r="L394" s="510">
        <f>F394</f>
        <v>30.04</v>
      </c>
    </row>
    <row r="398" spans="1:12">
      <c r="A398" s="147" t="s">
        <v>1789</v>
      </c>
      <c r="B398" s="147" t="s">
        <v>1841</v>
      </c>
      <c r="C398" s="147" t="s">
        <v>1842</v>
      </c>
    </row>
    <row r="399" spans="1:12">
      <c r="A399" s="147" t="s">
        <v>1790</v>
      </c>
      <c r="B399" s="147" t="s">
        <v>1792</v>
      </c>
      <c r="C399" s="147" t="s">
        <v>1839</v>
      </c>
    </row>
    <row r="400" spans="1:12">
      <c r="A400" s="147" t="s">
        <v>1796</v>
      </c>
      <c r="B400" s="147" t="s">
        <v>1795</v>
      </c>
      <c r="C400" s="147" t="s">
        <v>1840</v>
      </c>
    </row>
    <row r="401" spans="1:45">
      <c r="A401" s="147" t="s">
        <v>1791</v>
      </c>
      <c r="B401" s="147" t="s">
        <v>1791</v>
      </c>
      <c r="C401" s="147" t="s">
        <v>1791</v>
      </c>
    </row>
    <row r="403" spans="1:45" ht="15" thickBot="1"/>
    <row r="404" spans="1:45">
      <c r="A404" s="147" t="str">
        <f>IF(Select!$CV$1=2,B404,IF(Select!$CV$1=3,C404,IF(Select!$CV$1=4,D404," ")))</f>
        <v xml:space="preserve"> </v>
      </c>
      <c r="B404" s="438" t="s">
        <v>2346</v>
      </c>
      <c r="C404" s="438" t="s">
        <v>2349</v>
      </c>
      <c r="D404" s="438" t="s">
        <v>2352</v>
      </c>
      <c r="AO404" s="147" t="str">
        <f>A404&amp;" "&amp;INDEX(Select!$CW$2:$CW$10,Select!$CW$1)</f>
        <v xml:space="preserve">  </v>
      </c>
      <c r="AS404" s="147">
        <f>IFERROR(VLOOKUP(AO404,In!A61:F1222,6,FALSE),0)</f>
        <v>0</v>
      </c>
    </row>
    <row r="405" spans="1:45">
      <c r="A405" s="147" t="str">
        <f>IF(Select!$CV$1=2,B405,IF(Select!$CV$1=3,C405,IF(Select!$CV$1=4,D405," ")))</f>
        <v xml:space="preserve"> </v>
      </c>
      <c r="B405" s="439" t="s">
        <v>2347</v>
      </c>
      <c r="C405" s="439" t="s">
        <v>2350</v>
      </c>
      <c r="D405" s="439" t="s">
        <v>2353</v>
      </c>
      <c r="AO405" s="147" t="str">
        <f>A405&amp;" "&amp;INDEX(Select!$CW$2:$CW$10,Select!$CW$1)</f>
        <v xml:space="preserve">  </v>
      </c>
      <c r="AS405" s="147">
        <f>IFERROR(VLOOKUP(AO405,In!A61:F1222,6,FALSE),0)</f>
        <v>0</v>
      </c>
    </row>
    <row r="406" spans="1:45" ht="15" thickBot="1">
      <c r="A406" s="147" t="str">
        <f>IF(Select!$CV$1=2,B406,IF(Select!$CV$1=3,C406,IF(Select!$CV$1=4," "," ")))</f>
        <v xml:space="preserve"> </v>
      </c>
      <c r="B406" s="440" t="s">
        <v>2348</v>
      </c>
      <c r="C406" s="440" t="s">
        <v>2351</v>
      </c>
      <c r="D406" s="440" t="s">
        <v>2354</v>
      </c>
      <c r="AO406" s="147" t="str">
        <f>A406&amp;" "&amp;INDEX(Select!$CW$2:$CW$10,Select!$CW$1)</f>
        <v xml:space="preserve">  </v>
      </c>
      <c r="AS406" s="147">
        <f>IFERROR(VLOOKUP(AO406,In!A61:F1222,6,FALSE),0)</f>
        <v>0</v>
      </c>
    </row>
    <row r="407" spans="1:45">
      <c r="A407" s="147" t="s">
        <v>1791</v>
      </c>
      <c r="B407" s="147" t="s">
        <v>1791</v>
      </c>
      <c r="C407" s="147" t="s">
        <v>1791</v>
      </c>
      <c r="D407" s="147" t="s">
        <v>1791</v>
      </c>
      <c r="AO407" s="147" t="s">
        <v>1791</v>
      </c>
      <c r="AS407" s="147">
        <f>IFERROR(VLOOKUP(AO407,In!A61:F1222,6,FALSE),0)</f>
        <v>13.37</v>
      </c>
    </row>
    <row r="411" spans="1:45">
      <c r="B411" s="147">
        <f>INDEX(Select!B280:B283,Select!B279)</f>
        <v>0</v>
      </c>
    </row>
    <row r="412" spans="1:45">
      <c r="A412" s="147" t="s">
        <v>42</v>
      </c>
      <c r="B412" s="147" t="str">
        <f>A412&amp;" "&amp;$B$411</f>
        <v>Bordura speciala calcan BSC 0</v>
      </c>
      <c r="C412" s="147">
        <f>IFERROR(VLOOKUP(B412,In!A61:F1222,6,FALSE),0)</f>
        <v>0</v>
      </c>
    </row>
    <row r="413" spans="1:45">
      <c r="A413" s="147" t="s">
        <v>43</v>
      </c>
      <c r="B413" s="147" t="str">
        <f t="shared" ref="B413:B425" si="57">A413&amp;" "&amp;$B$411</f>
        <v>Coama dreapta mare CDMA 0</v>
      </c>
      <c r="C413" s="147">
        <f>IFERROR(VLOOKUP(B413,In!A62:F1223,6,FALSE),0)</f>
        <v>0</v>
      </c>
    </row>
    <row r="414" spans="1:45">
      <c r="A414" s="147" t="s">
        <v>44</v>
      </c>
      <c r="B414" s="147" t="str">
        <f t="shared" si="57"/>
        <v>Coama dreapta mica CDMI 0</v>
      </c>
      <c r="C414" s="147">
        <f>IFERROR(VLOOKUP(B414,In!A63:F1224,6,FALSE),0)</f>
        <v>0</v>
      </c>
    </row>
    <row r="415" spans="1:45">
      <c r="A415" s="147" t="s">
        <v>384</v>
      </c>
      <c r="B415" s="147" t="str">
        <f t="shared" si="57"/>
        <v>Coama rotunda mica CR 0</v>
      </c>
      <c r="C415" s="147">
        <f>IFERROR(VLOOKUP(B415,In!A65:F1225,6,FALSE),0)</f>
        <v>0</v>
      </c>
    </row>
    <row r="416" spans="1:45">
      <c r="A416" s="147" t="s">
        <v>265</v>
      </c>
      <c r="B416" s="147" t="str">
        <f t="shared" si="57"/>
        <v>Coama rotunda mare CRMA 0</v>
      </c>
      <c r="C416" s="147">
        <f>IFERROR(VLOOKUP(B416,In!A66:F1226,6,FALSE),0)</f>
        <v>0</v>
      </c>
    </row>
    <row r="417" spans="1:3">
      <c r="A417" s="147" t="s">
        <v>45</v>
      </c>
      <c r="B417" s="147" t="str">
        <f t="shared" si="57"/>
        <v>Colector fronton CF 0</v>
      </c>
      <c r="C417" s="147">
        <f>IFERROR(VLOOKUP(B417,In!A67:F1227,6,FALSE),0)</f>
        <v>0</v>
      </c>
    </row>
    <row r="418" spans="1:3">
      <c r="A418" s="147" t="s">
        <v>237</v>
      </c>
      <c r="B418" s="147" t="str">
        <f t="shared" si="57"/>
        <v>Racord calcan 0</v>
      </c>
      <c r="C418" s="147">
        <f>IFERROR(VLOOKUP(B418,In!A69:F1228,6,FALSE),0)</f>
        <v>0</v>
      </c>
    </row>
    <row r="419" spans="1:3">
      <c r="A419" s="147" t="s">
        <v>80</v>
      </c>
      <c r="B419" s="147" t="str">
        <f t="shared" si="57"/>
        <v>Dolie DO 0</v>
      </c>
      <c r="C419" s="147">
        <f>IFERROR(VLOOKUP(B419,In!A70:F1229,6,FALSE),0)</f>
        <v>0</v>
      </c>
    </row>
    <row r="420" spans="1:3">
      <c r="A420" s="147" t="s">
        <v>47</v>
      </c>
      <c r="B420" s="147" t="str">
        <f t="shared" si="57"/>
        <v>Pazie tip 1 PAZ 1 0</v>
      </c>
      <c r="C420" s="147">
        <f>IFERROR(VLOOKUP(B420,In!A71:F1230,6,FALSE),0)</f>
        <v>0</v>
      </c>
    </row>
    <row r="421" spans="1:3">
      <c r="A421" s="147" t="s">
        <v>48</v>
      </c>
      <c r="B421" s="147" t="str">
        <f t="shared" si="57"/>
        <v>Pazie streasina PAZS 0</v>
      </c>
      <c r="C421" s="147">
        <f>IFERROR(VLOOKUP(B421,In!A72:F1231,6,FALSE),0)</f>
        <v>0</v>
      </c>
    </row>
    <row r="422" spans="1:3">
      <c r="A422" s="147" t="s">
        <v>301</v>
      </c>
      <c r="B422" s="147" t="str">
        <f t="shared" si="57"/>
        <v>Parazapada Ranforsata PRZS 0</v>
      </c>
      <c r="C422" s="147">
        <f>IFERROR(VLOOKUP(B422,In!A73:F1232,6,FALSE),0)</f>
        <v>0</v>
      </c>
    </row>
    <row r="423" spans="1:3">
      <c r="A423" s="147" t="s">
        <v>1661</v>
      </c>
      <c r="B423" s="147" t="str">
        <f t="shared" si="57"/>
        <v>Sort rupere  SRAS 0</v>
      </c>
      <c r="C423" s="147">
        <f>IFERROR(VLOOKUP(B423,In!A74:F1233,6,FALSE),0)</f>
        <v>0</v>
      </c>
    </row>
    <row r="424" spans="1:3">
      <c r="A424" s="147" t="s">
        <v>49</v>
      </c>
      <c r="B424" s="147" t="str">
        <f t="shared" si="57"/>
        <v>Sort rupere perete vertical SRV 0</v>
      </c>
      <c r="C424" s="147">
        <f>IFERROR(VLOOKUP(B424,In!A75:F1234,6,FALSE),0)</f>
        <v>0</v>
      </c>
    </row>
    <row r="425" spans="1:3">
      <c r="A425" s="147" t="s">
        <v>81</v>
      </c>
      <c r="B425" s="147" t="str">
        <f t="shared" si="57"/>
        <v>Sort streasina SO 0</v>
      </c>
      <c r="C425" s="147">
        <f>IFERROR(VLOOKUP(B425,In!A76:F1235,6,FALSE),0)</f>
        <v>0</v>
      </c>
    </row>
    <row r="426" spans="1:3">
      <c r="C426" s="147">
        <f>IFERROR(VLOOKUP(B426,In!A77:F1236,6,FALSE),0)</f>
        <v>0</v>
      </c>
    </row>
    <row r="427" spans="1:3">
      <c r="A427" s="147" t="s">
        <v>2198</v>
      </c>
      <c r="C427" s="147">
        <f>IFERROR(VLOOKUP(A427,In!A78:F1237,6,FALSE),0)</f>
        <v>35.35</v>
      </c>
    </row>
    <row r="428" spans="1:3">
      <c r="A428" s="147" t="s">
        <v>2199</v>
      </c>
      <c r="C428" s="147">
        <f>IFERROR(VLOOKUP(A428,In!A79:F1238,6,FALSE),0)</f>
        <v>34.06</v>
      </c>
    </row>
  </sheetData>
  <protectedRanges>
    <protectedRange sqref="B405:D406" name="Range13"/>
  </protectedRanges>
  <mergeCells count="172">
    <mergeCell ref="K382:K394"/>
    <mergeCell ref="O346:T346"/>
    <mergeCell ref="U346:AA346"/>
    <mergeCell ref="H344:N344"/>
    <mergeCell ref="B345:G345"/>
    <mergeCell ref="H345:N345"/>
    <mergeCell ref="O340:T340"/>
    <mergeCell ref="U340:AA340"/>
    <mergeCell ref="O341:T341"/>
    <mergeCell ref="U341:AA341"/>
    <mergeCell ref="O342:AA342"/>
    <mergeCell ref="O343:AA343"/>
    <mergeCell ref="O345:T345"/>
    <mergeCell ref="U345:AA345"/>
    <mergeCell ref="O344:T344"/>
    <mergeCell ref="U344:AA344"/>
    <mergeCell ref="H346:N346"/>
    <mergeCell ref="B344:G344"/>
    <mergeCell ref="B346:G346"/>
    <mergeCell ref="F347:N347"/>
    <mergeCell ref="AO342:BA342"/>
    <mergeCell ref="AO343:BA343"/>
    <mergeCell ref="AO344:AT344"/>
    <mergeCell ref="AU344:BA344"/>
    <mergeCell ref="AO345:AT345"/>
    <mergeCell ref="AU345:BA345"/>
    <mergeCell ref="B340:G340"/>
    <mergeCell ref="H340:N340"/>
    <mergeCell ref="B341:G341"/>
    <mergeCell ref="H341:N341"/>
    <mergeCell ref="B342:N342"/>
    <mergeCell ref="B343:N343"/>
    <mergeCell ref="AB341:AG341"/>
    <mergeCell ref="AH341:AN341"/>
    <mergeCell ref="AB342:AN342"/>
    <mergeCell ref="AB343:AN343"/>
    <mergeCell ref="AB344:AG344"/>
    <mergeCell ref="AH344:AN344"/>
    <mergeCell ref="AB345:AG345"/>
    <mergeCell ref="AB340:AG340"/>
    <mergeCell ref="AO340:AT340"/>
    <mergeCell ref="AU340:BA340"/>
    <mergeCell ref="AO341:AT341"/>
    <mergeCell ref="AU341:BA341"/>
    <mergeCell ref="BF347:BN347"/>
    <mergeCell ref="BH346:BN346"/>
    <mergeCell ref="AF347:AN347"/>
    <mergeCell ref="AB346:AG346"/>
    <mergeCell ref="AH346:AN346"/>
    <mergeCell ref="BB346:BG346"/>
    <mergeCell ref="AO346:AT346"/>
    <mergeCell ref="AU346:BA346"/>
    <mergeCell ref="AS347:BA347"/>
    <mergeCell ref="BB340:BG340"/>
    <mergeCell ref="BH340:BN340"/>
    <mergeCell ref="BB341:BG341"/>
    <mergeCell ref="BH341:BN341"/>
    <mergeCell ref="BB342:BN342"/>
    <mergeCell ref="BB343:BN343"/>
    <mergeCell ref="BB344:BG344"/>
    <mergeCell ref="BH344:BN344"/>
    <mergeCell ref="BB345:BG345"/>
    <mergeCell ref="BH345:BN345"/>
    <mergeCell ref="AO326:BA326"/>
    <mergeCell ref="V302:Z302"/>
    <mergeCell ref="L305:P305"/>
    <mergeCell ref="Q305:U305"/>
    <mergeCell ref="V305:Z305"/>
    <mergeCell ref="G306:K306"/>
    <mergeCell ref="L306:P306"/>
    <mergeCell ref="Q306:U306"/>
    <mergeCell ref="V306:Z306"/>
    <mergeCell ref="G303:K303"/>
    <mergeCell ref="G305:K305"/>
    <mergeCell ref="Q304:U304"/>
    <mergeCell ref="V304:Z304"/>
    <mergeCell ref="G304:K304"/>
    <mergeCell ref="L304:P304"/>
    <mergeCell ref="Q302:U302"/>
    <mergeCell ref="G307:K307"/>
    <mergeCell ref="G308:K308"/>
    <mergeCell ref="L307:P307"/>
    <mergeCell ref="L308:P308"/>
    <mergeCell ref="Q307:U307"/>
    <mergeCell ref="V307:Z307"/>
    <mergeCell ref="Q308:U308"/>
    <mergeCell ref="V308:Z308"/>
    <mergeCell ref="AH340:AN340"/>
    <mergeCell ref="O326:AA326"/>
    <mergeCell ref="AB326:AN326"/>
    <mergeCell ref="V286:Z286"/>
    <mergeCell ref="G300:K300"/>
    <mergeCell ref="AH345:AN345"/>
    <mergeCell ref="AK158:AQ158"/>
    <mergeCell ref="B158:H158"/>
    <mergeCell ref="P158:V158"/>
    <mergeCell ref="W158:AC158"/>
    <mergeCell ref="AD158:AJ158"/>
    <mergeCell ref="B200:C200"/>
    <mergeCell ref="B201:C201"/>
    <mergeCell ref="B213:C213"/>
    <mergeCell ref="B208:C208"/>
    <mergeCell ref="B209:C209"/>
    <mergeCell ref="B202:C202"/>
    <mergeCell ref="B197:C197"/>
    <mergeCell ref="B198:C198"/>
    <mergeCell ref="B199:C199"/>
    <mergeCell ref="B206:C206"/>
    <mergeCell ref="B326:N326"/>
    <mergeCell ref="B210:C210"/>
    <mergeCell ref="B211:C211"/>
    <mergeCell ref="Q303:U303"/>
    <mergeCell ref="V303:Z303"/>
    <mergeCell ref="V300:Z300"/>
    <mergeCell ref="B205:C205"/>
    <mergeCell ref="V301:Z301"/>
    <mergeCell ref="B212:C212"/>
    <mergeCell ref="L302:P302"/>
    <mergeCell ref="L300:P300"/>
    <mergeCell ref="G301:K301"/>
    <mergeCell ref="L301:P301"/>
    <mergeCell ref="B221:C221"/>
    <mergeCell ref="B226:C226"/>
    <mergeCell ref="B222:C222"/>
    <mergeCell ref="B207:C207"/>
    <mergeCell ref="G302:K302"/>
    <mergeCell ref="B218:C218"/>
    <mergeCell ref="B219:C219"/>
    <mergeCell ref="B220:C220"/>
    <mergeCell ref="B215:C215"/>
    <mergeCell ref="B216:C216"/>
    <mergeCell ref="B217:C217"/>
    <mergeCell ref="B225:C225"/>
    <mergeCell ref="G286:K286"/>
    <mergeCell ref="L286:P286"/>
    <mergeCell ref="Q301:U301"/>
    <mergeCell ref="Q286:U286"/>
    <mergeCell ref="B203:C203"/>
    <mergeCell ref="B204:C204"/>
    <mergeCell ref="B214:C214"/>
    <mergeCell ref="Q300:U300"/>
    <mergeCell ref="BB326:BN326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223:C223"/>
    <mergeCell ref="B224:C224"/>
    <mergeCell ref="B286:F286"/>
    <mergeCell ref="L303:P303"/>
    <mergeCell ref="AE70:AM70"/>
    <mergeCell ref="AN70:AV70"/>
    <mergeCell ref="B46:B54"/>
    <mergeCell ref="B55:B63"/>
    <mergeCell ref="B1:B9"/>
    <mergeCell ref="B10:B18"/>
    <mergeCell ref="B19:B27"/>
    <mergeCell ref="B28:B36"/>
    <mergeCell ref="B37:B45"/>
    <mergeCell ref="D70:L70"/>
    <mergeCell ref="M70:U70"/>
    <mergeCell ref="V70:AD70"/>
    <mergeCell ref="B64:B68"/>
  </mergeCells>
  <conditionalFormatting sqref="A184:A236 B184:B245 A248:A263 A249:B257 A260:B261">
    <cfRule type="expression" dxfId="5" priority="76" stopIfTrue="1">
      <formula>"F16=D16"</formula>
    </cfRule>
  </conditionalFormatting>
  <pageMargins left="0.7" right="0.7" top="0.75" bottom="0.75" header="0.3" footer="0.3"/>
  <pageSetup orientation="portrait" r:id="rId1"/>
  <ignoredErrors>
    <ignoredError sqref="C12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52"/>
  <sheetViews>
    <sheetView topLeftCell="A488" workbookViewId="0">
      <selection activeCell="E510" sqref="E510:E512"/>
    </sheetView>
  </sheetViews>
  <sheetFormatPr defaultColWidth="9.109375" defaultRowHeight="14.4"/>
  <cols>
    <col min="1" max="1" width="69.44140625" style="21" customWidth="1"/>
    <col min="2" max="2" width="46.109375" style="21" customWidth="1"/>
    <col min="3" max="3" width="46.6640625" style="21" customWidth="1"/>
    <col min="4" max="4" width="36" style="21" customWidth="1"/>
    <col min="5" max="5" width="56.5546875" style="21" customWidth="1"/>
    <col min="6" max="16384" width="9.109375" style="21"/>
  </cols>
  <sheetData>
    <row r="1" spans="1:5">
      <c r="A1" s="152" t="s">
        <v>584</v>
      </c>
      <c r="B1" s="21">
        <v>1</v>
      </c>
      <c r="C1" s="21">
        <v>2</v>
      </c>
      <c r="D1" s="21">
        <v>3</v>
      </c>
      <c r="E1" s="21">
        <v>4</v>
      </c>
    </row>
    <row r="2" spans="1:5">
      <c r="A2" s="21" t="str">
        <f>IF(Select!$B$2048=1,Lang!B2,IF(Select!$B$2048=2,Lang!C2,IF(Select!$B$2048=3,Lang!D2,IF(Select!$B$2048=4,Lang!E2))))</f>
        <v>FORMULAR COMANDA</v>
      </c>
      <c r="B2" s="21" t="s">
        <v>1846</v>
      </c>
      <c r="C2" s="21" t="s">
        <v>589</v>
      </c>
      <c r="D2" s="21" t="s">
        <v>590</v>
      </c>
      <c r="E2" s="21" t="s">
        <v>591</v>
      </c>
    </row>
    <row r="3" spans="1:5">
      <c r="A3" s="21" t="str">
        <f>IF(Select!$B$2048=1,Lang!B3,IF(Select!$B$2048=2,Lang!C3,IF(Select!$B$2048=3,Lang!D3,IF(Select!$B$2048=4,Lang!E3))))</f>
        <v>TIGLA METALICA</v>
      </c>
      <c r="B3" s="21" t="s">
        <v>416</v>
      </c>
      <c r="C3" s="21" t="s">
        <v>592</v>
      </c>
      <c r="D3" s="21" t="s">
        <v>593</v>
      </c>
      <c r="E3" s="21" t="s">
        <v>594</v>
      </c>
    </row>
    <row r="4" spans="1:5">
      <c r="A4" s="21" t="str">
        <f>IF(Select!$B$2048=1,Lang!B4,IF(Select!$B$2048=2,Lang!C4,IF(Select!$B$2048=3,Lang!D4,IF(Select!$B$2048=4,Lang!E4))))</f>
        <v>Grosime</v>
      </c>
      <c r="B4" s="21" t="s">
        <v>5</v>
      </c>
      <c r="C4" s="21" t="s">
        <v>595</v>
      </c>
      <c r="D4" s="21" t="s">
        <v>596</v>
      </c>
      <c r="E4" s="21" t="s">
        <v>597</v>
      </c>
    </row>
    <row r="5" spans="1:5">
      <c r="A5" s="21" t="str">
        <f>IF(Select!$B$2048=1,Lang!B5,IF(Select!$B$2048=2,Lang!C5,IF(Select!$B$2048=3,Lang!D5,IF(Select!$B$2048=4,Lang!E5))))</f>
        <v>Culoare Ral</v>
      </c>
      <c r="B5" s="21" t="s">
        <v>598</v>
      </c>
      <c r="C5" s="21" t="s">
        <v>599</v>
      </c>
      <c r="D5" s="21" t="s">
        <v>600</v>
      </c>
      <c r="E5" s="21" t="s">
        <v>601</v>
      </c>
    </row>
    <row r="6" spans="1:5">
      <c r="A6" s="21" t="str">
        <f>IF(Select!$B$2048=1,Lang!B6,IF(Select!$B$2048=2,Lang!C6,IF(Select!$B$2048=3,Lang!D6,IF(Select!$B$2048=4,Lang!E6))))</f>
        <v>BORDURI</v>
      </c>
      <c r="B6" s="21" t="s">
        <v>414</v>
      </c>
      <c r="C6" s="21" t="s">
        <v>602</v>
      </c>
      <c r="D6" s="21" t="s">
        <v>603</v>
      </c>
      <c r="E6" s="21" t="s">
        <v>604</v>
      </c>
    </row>
    <row r="7" spans="1:5">
      <c r="A7" s="21" t="str">
        <f>IF(Select!$B$2048=1,Lang!B7,IF(Select!$B$2048=2,Lang!C7,IF(Select!$B$2048=3,Lang!D7,IF(Select!$B$2048=4,Lang!E7))))</f>
        <v>Model</v>
      </c>
      <c r="B7" s="21" t="s">
        <v>1485</v>
      </c>
      <c r="C7" s="21" t="s">
        <v>605</v>
      </c>
      <c r="D7" s="21" t="s">
        <v>606</v>
      </c>
      <c r="E7" s="21" t="s">
        <v>607</v>
      </c>
    </row>
    <row r="8" spans="1:5">
      <c r="A8" s="21" t="str">
        <f>IF(Select!$B$2048=1,Lang!B8,IF(Select!$B$2048=2,Lang!C8,IF(Select!$B$2048=3,Lang!D8,IF(Select!$B$2048=4,Lang!E8))))</f>
        <v>Dimensiune</v>
      </c>
      <c r="B8" s="21" t="s">
        <v>79</v>
      </c>
      <c r="C8" s="21" t="s">
        <v>608</v>
      </c>
      <c r="D8" s="21" t="s">
        <v>609</v>
      </c>
      <c r="E8" s="21" t="s">
        <v>610</v>
      </c>
    </row>
    <row r="9" spans="1:5">
      <c r="A9" s="21" t="str">
        <f>IF(Select!$B$2048=1,Lang!B9,IF(Select!$B$2048=2,Lang!C9,IF(Select!$B$2048=3,Lang!D9,IF(Select!$B$2048=4,Lang!E9))))</f>
        <v>SISTEM PLUVIAL</v>
      </c>
      <c r="B9" s="21" t="s">
        <v>415</v>
      </c>
      <c r="C9" s="21" t="s">
        <v>611</v>
      </c>
      <c r="D9" s="21" t="s">
        <v>612</v>
      </c>
      <c r="E9" s="21" t="s">
        <v>613</v>
      </c>
    </row>
    <row r="10" spans="1:5">
      <c r="A10" s="21" t="str">
        <f>IF(Select!$B$2048=1,Lang!B10,IF(Select!$B$2048=2,Lang!C10,IF(Select!$B$2048=3,Lang!D10,IF(Select!$B$2048=4,Lang!E10))))</f>
        <v>MEMBRANE SI ACCESORII</v>
      </c>
      <c r="B10" s="21" t="s">
        <v>441</v>
      </c>
      <c r="C10" s="21" t="s">
        <v>614</v>
      </c>
      <c r="D10" s="21" t="s">
        <v>615</v>
      </c>
      <c r="E10" s="21" t="s">
        <v>616</v>
      </c>
    </row>
    <row r="11" spans="1:5">
      <c r="A11" s="21" t="str">
        <f>IF(Select!$B$2048=1,Lang!B11,IF(Select!$B$2048=2,Lang!C11,IF(Select!$B$2048=3,Lang!D11,IF(Select!$B$2048=4,Lang!E11))))</f>
        <v>SURUBURI</v>
      </c>
      <c r="B11" s="21" t="s">
        <v>442</v>
      </c>
      <c r="C11" s="21" t="s">
        <v>617</v>
      </c>
      <c r="D11" s="21" t="s">
        <v>618</v>
      </c>
      <c r="E11" s="21" t="s">
        <v>619</v>
      </c>
    </row>
    <row r="12" spans="1:5">
      <c r="A12" s="21" t="str">
        <f>IF(Select!$B$2048=1,Lang!B12,IF(Select!$B$2048=2,Lang!C12,IF(Select!$B$2048=3,Lang!D12,IF(Select!$B$2048=4,Lang!E12))))</f>
        <v>Suruburi pentru acoperis</v>
      </c>
      <c r="B12" s="21" t="s">
        <v>92</v>
      </c>
      <c r="C12" s="21" t="s">
        <v>620</v>
      </c>
      <c r="D12" s="21" t="s">
        <v>621</v>
      </c>
      <c r="E12" s="21" t="s">
        <v>622</v>
      </c>
    </row>
    <row r="13" spans="1:5">
      <c r="A13" s="21" t="str">
        <f>IF(Select!$B$2048=1,Lang!B13,IF(Select!$B$2048=2,Lang!C13,IF(Select!$B$2048=3,Lang!D13,IF(Select!$B$2048=4,Lang!E13))))</f>
        <v>Suruburi pentru metal W/OD14mm</v>
      </c>
      <c r="B13" s="21" t="s">
        <v>98</v>
      </c>
      <c r="C13" s="21" t="s">
        <v>623</v>
      </c>
      <c r="D13" s="21" t="s">
        <v>624</v>
      </c>
      <c r="E13" s="21" t="s">
        <v>625</v>
      </c>
    </row>
    <row r="14" spans="1:5">
      <c r="A14" s="21" t="str">
        <f>IF(Select!$B$2048=1,Lang!B14,IF(Select!$B$2048=2,Lang!C14,IF(Select!$B$2048=3,Lang!D14,IF(Select!$B$2048=4,Lang!E14))))</f>
        <v>TABLA CLICK</v>
      </c>
      <c r="B14" s="21" t="s">
        <v>626</v>
      </c>
      <c r="C14" s="21" t="s">
        <v>627</v>
      </c>
      <c r="D14" s="21" t="s">
        <v>628</v>
      </c>
      <c r="E14" s="21" t="s">
        <v>629</v>
      </c>
    </row>
    <row r="15" spans="1:5">
      <c r="A15" s="21" t="str">
        <f>IF(Select!$B$2048=1,Lang!B15,IF(Select!$B$2048=2,Lang!C15,IF(Select!$B$2048=3,Lang!D15,IF(Select!$B$2048=4,Lang!E15))))</f>
        <v>ACCESORII CLICK</v>
      </c>
      <c r="B15" s="21" t="s">
        <v>630</v>
      </c>
      <c r="C15" s="21" t="s">
        <v>631</v>
      </c>
      <c r="D15" s="21" t="s">
        <v>632</v>
      </c>
      <c r="E15" s="21" t="s">
        <v>633</v>
      </c>
    </row>
    <row r="16" spans="1:5">
      <c r="A16" s="21" t="str">
        <f>IF(Select!$B$2048=1,Lang!B16,IF(Select!$B$2048=2,Lang!C16,IF(Select!$B$2048=3,Lang!D16,IF(Select!$B$2048=4,Lang!E16))))</f>
        <v>TABLA CUTATA</v>
      </c>
      <c r="B16" s="21" t="s">
        <v>425</v>
      </c>
      <c r="C16" s="21" t="s">
        <v>634</v>
      </c>
      <c r="D16" s="21" t="s">
        <v>635</v>
      </c>
      <c r="E16" s="21" t="s">
        <v>636</v>
      </c>
    </row>
    <row r="17" spans="1:5">
      <c r="A17" s="21" t="str">
        <f>IF(Select!$B$2048=1,Lang!B17,IF(Select!$B$2048=2,Lang!C17,IF(Select!$B$2048=3,Lang!D17,IF(Select!$B$2048=4,Lang!E17))))</f>
        <v>SIPCA DE GARD</v>
      </c>
      <c r="B17" s="21" t="s">
        <v>637</v>
      </c>
      <c r="C17" s="21" t="s">
        <v>638</v>
      </c>
      <c r="D17" s="21" t="s">
        <v>639</v>
      </c>
      <c r="E17" s="21" t="s">
        <v>640</v>
      </c>
    </row>
    <row r="18" spans="1:5">
      <c r="A18" s="21" t="str">
        <f>IF(Select!$B$2048=1,Lang!B18,IF(Select!$B$2048=2,Lang!C18,IF(Select!$B$2048=3,Lang!D18,IF(Select!$B$2048=4,Lang!E18))))</f>
        <v>MINIRULOU</v>
      </c>
      <c r="B18" s="21" t="s">
        <v>641</v>
      </c>
      <c r="C18" s="21" t="s">
        <v>642</v>
      </c>
      <c r="D18" s="21" t="s">
        <v>643</v>
      </c>
      <c r="E18" s="21" t="s">
        <v>644</v>
      </c>
    </row>
    <row r="19" spans="1:5">
      <c r="A19" s="21" t="str">
        <f>IF(Select!$B$2048=1,Lang!B19,IF(Select!$B$2048=2,Lang!C19,IF(Select!$B$2048=3,Lang!D19,IF(Select!$B$2048=4,Lang!E19))))</f>
        <v>Structuta</v>
      </c>
      <c r="B19" s="21" t="s">
        <v>645</v>
      </c>
      <c r="C19" s="21" t="s">
        <v>646</v>
      </c>
      <c r="D19" s="21" t="s">
        <v>647</v>
      </c>
      <c r="E19" s="21" t="s">
        <v>648</v>
      </c>
    </row>
    <row r="20" spans="1:5">
      <c r="A20" s="21" t="str">
        <f>IF(Select!$B$2048=1,Lang!B20,IF(Select!$B$2048=2,Lang!C20,IF(Select!$B$2048=3,Lang!D20,IF(Select!$B$2048=4,Lang!E20))))</f>
        <v>*Lungimea minima este de 40 ml</v>
      </c>
      <c r="B20" s="21" t="s">
        <v>649</v>
      </c>
      <c r="C20" s="21" t="s">
        <v>650</v>
      </c>
      <c r="D20" s="21" t="s">
        <v>651</v>
      </c>
      <c r="E20" s="21" t="s">
        <v>652</v>
      </c>
    </row>
    <row r="21" spans="1:5">
      <c r="A21" s="21" t="str">
        <f>IF(Select!$B$2048=1,Lang!B21,IF(Select!$B$2048=2,Lang!C21,IF(Select!$B$2048=3,Lang!D21,IF(Select!$B$2048=4,Lang!E21))))</f>
        <v>Membrana Dripstop DA/NU</v>
      </c>
      <c r="B21" s="21" t="s">
        <v>653</v>
      </c>
      <c r="C21" s="21" t="s">
        <v>654</v>
      </c>
      <c r="D21" s="21" t="s">
        <v>655</v>
      </c>
      <c r="E21" s="21" t="s">
        <v>656</v>
      </c>
    </row>
    <row r="22" spans="1:5">
      <c r="A22" s="21" t="str">
        <f>IF(Select!$B$2048=1,Lang!B22,IF(Select!$B$2048=2,Lang!C22,IF(Select!$B$2048=3,Lang!D22,IF(Select!$B$2048=4,Lang!E22))))</f>
        <v>Completare la fact nr /data:</v>
      </c>
      <c r="B22" s="21" t="s">
        <v>657</v>
      </c>
      <c r="C22" s="21" t="s">
        <v>658</v>
      </c>
      <c r="D22" s="21" t="s">
        <v>659</v>
      </c>
      <c r="E22" s="21" t="s">
        <v>660</v>
      </c>
    </row>
    <row r="23" spans="1:5">
      <c r="A23" s="21" t="str">
        <f>IF(Select!$B$2048=1,Lang!B23,IF(Select!$B$2048=2,Lang!C23,IF(Select!$B$2048=3,Lang!D23,IF(Select!$B$2048=4,Lang!E23))))</f>
        <v xml:space="preserve">Total MP </v>
      </c>
      <c r="B23" s="21" t="s">
        <v>2631</v>
      </c>
      <c r="C23" s="21" t="s">
        <v>2632</v>
      </c>
      <c r="D23" s="21" t="s">
        <v>2633</v>
      </c>
      <c r="E23" s="21" t="s">
        <v>2634</v>
      </c>
    </row>
    <row r="24" spans="1:5">
      <c r="A24" s="21" t="str">
        <f>IF(Select!$B$2048=1,Lang!B24,IF(Select!$B$2048=2,Lang!C24,IF(Select!$B$2048=3,Lang!D24,IF(Select!$B$2048=4,Lang!E24))))</f>
        <v>PRET / MP</v>
      </c>
      <c r="B24" s="21" t="s">
        <v>661</v>
      </c>
      <c r="C24" s="21" t="s">
        <v>662</v>
      </c>
      <c r="D24" s="21" t="s">
        <v>663</v>
      </c>
      <c r="E24" s="21" t="s">
        <v>664</v>
      </c>
    </row>
    <row r="25" spans="1:5">
      <c r="A25" s="21" t="str">
        <f>IF(Select!$B$2048=1,Lang!B25,IF(Select!$B$2048=2,Lang!C25,IF(Select!$B$2048=3,Lang!D25,IF(Select!$B$2048=4,Lang!E25))))</f>
        <v>euro</v>
      </c>
      <c r="B25" s="21" t="s">
        <v>665</v>
      </c>
      <c r="C25" s="21" t="s">
        <v>665</v>
      </c>
      <c r="D25" s="21" t="s">
        <v>666</v>
      </c>
      <c r="E25" s="21" t="s">
        <v>665</v>
      </c>
    </row>
    <row r="26" spans="1:5">
      <c r="A26" s="21" t="str">
        <f>IF(Select!$B$2048=1,Lang!B26,IF(Select!$B$2048=2,Lang!C26,IF(Select!$B$2048=3,Lang!D26,IF(Select!$B$2048=4,Lang!E26))))</f>
        <v>FERESTRE SI ACCESORII</v>
      </c>
      <c r="B26" s="21" t="s">
        <v>1481</v>
      </c>
      <c r="C26" s="21" t="s">
        <v>1482</v>
      </c>
      <c r="D26" s="21" t="s">
        <v>1483</v>
      </c>
      <c r="E26" s="21" t="s">
        <v>1484</v>
      </c>
    </row>
    <row r="27" spans="1:5">
      <c r="A27" s="21" t="str">
        <f>IF(Select!$B$2048=1,Lang!B27,IF(Select!$B$2048=2,Lang!C27,IF(Select!$B$2048=3,Lang!D27,IF(Select!$B$2048=4,Lang!E27))))</f>
        <v>cantitate</v>
      </c>
      <c r="B27" s="21" t="s">
        <v>667</v>
      </c>
      <c r="C27" s="21" t="s">
        <v>668</v>
      </c>
      <c r="D27" s="21" t="s">
        <v>669</v>
      </c>
      <c r="E27" s="21" t="s">
        <v>670</v>
      </c>
    </row>
    <row r="28" spans="1:5">
      <c r="A28" s="21" t="str">
        <f>IF(Select!$B$2048=1,Lang!B28,IF(Select!$B$2048=2,Lang!C28,IF(Select!$B$2048=3,Lang!D28,IF(Select!$B$2048=4,Lang!E28))))</f>
        <v>Atipica</v>
      </c>
      <c r="B28" s="21" t="s">
        <v>340</v>
      </c>
      <c r="C28" s="21" t="s">
        <v>671</v>
      </c>
      <c r="D28" s="21" t="s">
        <v>672</v>
      </c>
      <c r="E28" s="21" t="s">
        <v>673</v>
      </c>
    </row>
    <row r="29" spans="1:5">
      <c r="A29" s="21" t="str">
        <f>IF(Select!$B$2048=1,Lang!B29,IF(Select!$B$2048=2,Lang!C29,IF(Select!$B$2048=3,Lang!D29,IF(Select!$B$2048=4,Lang!E29))))</f>
        <v>Ultima Modificare 01.12.2020</v>
      </c>
      <c r="B29" s="21" t="s">
        <v>674</v>
      </c>
      <c r="C29" s="21" t="s">
        <v>675</v>
      </c>
      <c r="D29" s="21" t="s">
        <v>676</v>
      </c>
      <c r="E29" s="21" t="s">
        <v>677</v>
      </c>
    </row>
    <row r="30" spans="1:5">
      <c r="A30" s="21" t="str">
        <f>IF(Select!$B$2048=1,Lang!B30,IF(Select!$B$2048=2,Lang!C30,IF(Select!$B$2048=3,Lang!D30,IF(Select!$B$2048=4,Lang!E30))))</f>
        <v>TABLA PLANA ( 1250x2000 )</v>
      </c>
      <c r="B30" s="21" t="s">
        <v>1704</v>
      </c>
      <c r="C30" s="21" t="s">
        <v>678</v>
      </c>
      <c r="D30" s="21" t="s">
        <v>679</v>
      </c>
      <c r="E30" s="21" t="s">
        <v>680</v>
      </c>
    </row>
    <row r="31" spans="1:5">
      <c r="A31" s="21">
        <f>IF(Select!$B$2048=1,Lang!B31,IF(Select!$B$2048=2,Lang!C31,IF(Select!$B$2048=3,Lang!D31,IF(Select!$B$2048=4,Lang!E31))))</f>
        <v>0</v>
      </c>
    </row>
    <row r="32" spans="1:5">
      <c r="A32" s="21" t="str">
        <f>IF(Select!$B$2048=1,Lang!B32,IF(Select!$B$2048=2,Lang!C32,IF(Select!$B$2048=3,Lang!D32,IF(Select!$B$2048=4,Lang!E32))))</f>
        <v>Bordura speciala calcan BSC</v>
      </c>
      <c r="B32" s="21" t="s">
        <v>42</v>
      </c>
      <c r="C32" s="21" t="s">
        <v>681</v>
      </c>
      <c r="D32" s="21" t="s">
        <v>682</v>
      </c>
      <c r="E32" s="21" t="s">
        <v>683</v>
      </c>
    </row>
    <row r="33" spans="1:5">
      <c r="A33" s="21" t="str">
        <f>IF(Select!$B$2048=1,Lang!B33,IF(Select!$B$2048=2,Lang!C33,IF(Select!$B$2048=3,Lang!D33,IF(Select!$B$2048=4,Lang!E33))))</f>
        <v xml:space="preserve">Coama dreapta mare </v>
      </c>
      <c r="B33" s="21" t="s">
        <v>1863</v>
      </c>
      <c r="C33" s="21" t="s">
        <v>684</v>
      </c>
      <c r="D33" s="21" t="s">
        <v>685</v>
      </c>
      <c r="E33" s="21" t="s">
        <v>686</v>
      </c>
    </row>
    <row r="34" spans="1:5">
      <c r="A34" s="21" t="str">
        <f>IF(Select!$B$2048=1,Lang!B34,IF(Select!$B$2048=2,Lang!C34,IF(Select!$B$2048=3,Lang!D34,IF(Select!$B$2048=4,Lang!E34))))</f>
        <v>Coama dreapta mica CDMI</v>
      </c>
      <c r="B34" s="21" t="s">
        <v>44</v>
      </c>
      <c r="C34" s="21" t="s">
        <v>687</v>
      </c>
      <c r="D34" s="21" t="s">
        <v>688</v>
      </c>
      <c r="E34" s="21" t="s">
        <v>689</v>
      </c>
    </row>
    <row r="35" spans="1:5">
      <c r="A35" s="21" t="str">
        <f>IF(Select!$B$2048=1,Lang!B35,IF(Select!$B$2048=2,Lang!C35,IF(Select!$B$2048=3,Lang!D35,IF(Select!$B$2048=4,Lang!E35))))</f>
        <v>Coama rotunda mica CR</v>
      </c>
      <c r="B35" s="21" t="s">
        <v>384</v>
      </c>
      <c r="C35" s="21" t="s">
        <v>690</v>
      </c>
      <c r="D35" s="21" t="s">
        <v>691</v>
      </c>
      <c r="E35" s="21" t="s">
        <v>692</v>
      </c>
    </row>
    <row r="36" spans="1:5">
      <c r="A36" s="21" t="str">
        <f>IF(Select!$B$2048=1,Lang!B36,IF(Select!$B$2048=2,Lang!C36,IF(Select!$B$2048=3,Lang!D36,IF(Select!$B$2048=4,Lang!E36))))</f>
        <v>Coama rotunda mare CRMA</v>
      </c>
      <c r="B36" s="21" t="s">
        <v>265</v>
      </c>
      <c r="C36" s="21" t="s">
        <v>693</v>
      </c>
      <c r="D36" s="21" t="s">
        <v>694</v>
      </c>
      <c r="E36" s="21" t="s">
        <v>695</v>
      </c>
    </row>
    <row r="37" spans="1:5">
      <c r="A37" s="21" t="str">
        <f>IF(Select!$B$2048=1,Lang!B37,IF(Select!$B$2048=2,Lang!C37,IF(Select!$B$2048=3,Lang!D37,IF(Select!$B$2048=4,Lang!E37))))</f>
        <v>Semicoama</v>
      </c>
      <c r="B37" s="21" t="s">
        <v>1862</v>
      </c>
    </row>
    <row r="38" spans="1:5">
      <c r="A38" s="21" t="str">
        <f>IF(Select!$B$2048=1,Lang!B38,IF(Select!$B$2048=2,Lang!C38,IF(Select!$B$2048=3,Lang!D38,IF(Select!$B$2048=4,Lang!E38))))</f>
        <v>Capac coama</v>
      </c>
      <c r="B38" s="21" t="s">
        <v>1864</v>
      </c>
    </row>
    <row r="39" spans="1:5">
      <c r="A39" s="21" t="str">
        <f>IF(Select!$B$2048=1,Lang!B39,IF(Select!$B$2048=2,Lang!C39,IF(Select!$B$2048=3,Lang!D39,IF(Select!$B$2048=4,Lang!E39))))</f>
        <v>Colector fronton CF</v>
      </c>
      <c r="B39" s="21" t="s">
        <v>45</v>
      </c>
      <c r="C39" s="21" t="s">
        <v>696</v>
      </c>
      <c r="D39" s="21" t="s">
        <v>697</v>
      </c>
      <c r="E39" s="21" t="s">
        <v>698</v>
      </c>
    </row>
    <row r="40" spans="1:5">
      <c r="A40" s="21" t="str">
        <f>IF(Select!$B$2048=1,Lang!B40,IF(Select!$B$2048=2,Lang!C40,IF(Select!$B$2048=3,Lang!D40,IF(Select!$B$2048=4,Lang!E40))))</f>
        <v>Racord calcan</v>
      </c>
      <c r="B40" s="21" t="s">
        <v>237</v>
      </c>
      <c r="C40" s="21" t="s">
        <v>699</v>
      </c>
      <c r="D40" s="21" t="s">
        <v>700</v>
      </c>
      <c r="E40" s="21" t="s">
        <v>701</v>
      </c>
    </row>
    <row r="41" spans="1:5">
      <c r="A41" s="21" t="str">
        <f>IF(Select!$B$2048=1,Lang!B41,IF(Select!$B$2048=2,Lang!C41,IF(Select!$B$2048=3,Lang!D41,IF(Select!$B$2048=4,Lang!E41))))</f>
        <v>Dolie DO</v>
      </c>
      <c r="B41" s="21" t="s">
        <v>80</v>
      </c>
      <c r="C41" s="21" t="s">
        <v>702</v>
      </c>
      <c r="D41" s="21" t="s">
        <v>703</v>
      </c>
      <c r="E41" s="21" t="s">
        <v>704</v>
      </c>
    </row>
    <row r="42" spans="1:5">
      <c r="A42" s="21" t="str">
        <f>IF(Select!$B$2048=1,Lang!B42,IF(Select!$B$2048=2,Lang!C42,IF(Select!$B$2048=3,Lang!D42,IF(Select!$B$2048=4,Lang!E42))))</f>
        <v>Opritor zapada</v>
      </c>
      <c r="B42" s="21" t="s">
        <v>46</v>
      </c>
      <c r="C42" s="21" t="s">
        <v>705</v>
      </c>
      <c r="D42" s="21" t="s">
        <v>706</v>
      </c>
      <c r="E42" s="21" t="s">
        <v>707</v>
      </c>
    </row>
    <row r="43" spans="1:5">
      <c r="A43" s="21" t="str">
        <f>IF(Select!$B$2048=1,Lang!B43,IF(Select!$B$2048=2,Lang!C43,IF(Select!$B$2048=3,Lang!D43,IF(Select!$B$2048=4,Lang!E43))))</f>
        <v>Pazie tip 1 PAZ 1</v>
      </c>
      <c r="B43" s="21" t="s">
        <v>47</v>
      </c>
      <c r="C43" s="21" t="s">
        <v>711</v>
      </c>
      <c r="D43" s="21" t="s">
        <v>712</v>
      </c>
      <c r="E43" s="21" t="s">
        <v>713</v>
      </c>
    </row>
    <row r="44" spans="1:5">
      <c r="A44" s="21" t="str">
        <f>IF(Select!$B$2048=1,Lang!B44,IF(Select!$B$2048=2,Lang!C44,IF(Select!$B$2048=3,Lang!D44,IF(Select!$B$2048=4,Lang!E44))))</f>
        <v>Pazie streasina PAZS</v>
      </c>
      <c r="B44" s="21" t="s">
        <v>48</v>
      </c>
      <c r="C44" s="21" t="s">
        <v>714</v>
      </c>
      <c r="D44" s="21" t="s">
        <v>715</v>
      </c>
      <c r="E44" s="21" t="s">
        <v>716</v>
      </c>
    </row>
    <row r="45" spans="1:5">
      <c r="A45" s="21" t="str">
        <f>IF(Select!$B$2048=1,Lang!B45,IF(Select!$B$2048=2,Lang!C45,IF(Select!$B$2048=3,Lang!D45,IF(Select!$B$2048=4,Lang!E45))))</f>
        <v>Parazapada Ranforsata PRZS</v>
      </c>
      <c r="B45" s="21" t="s">
        <v>301</v>
      </c>
      <c r="C45" s="21" t="s">
        <v>708</v>
      </c>
      <c r="D45" s="21" t="s">
        <v>709</v>
      </c>
      <c r="E45" s="21" t="s">
        <v>710</v>
      </c>
    </row>
    <row r="46" spans="1:5">
      <c r="A46" s="21" t="str">
        <f>IF(Select!$B$2048=1,Lang!B46,IF(Select!$B$2048=2,Lang!C46,IF(Select!$B$2048=3,Lang!D46,IF(Select!$B$2048=4,Lang!E46))))</f>
        <v>Rupere panta interior</v>
      </c>
      <c r="B46" s="21" t="s">
        <v>1851</v>
      </c>
      <c r="C46" s="21" t="s">
        <v>717</v>
      </c>
      <c r="D46" s="21" t="s">
        <v>718</v>
      </c>
      <c r="E46" s="21" t="s">
        <v>719</v>
      </c>
    </row>
    <row r="47" spans="1:5">
      <c r="A47" s="21" t="str">
        <f>IF(Select!$B$2048=1,Lang!B47,IF(Select!$B$2048=2,Lang!C47,IF(Select!$B$2048=3,Lang!D47,IF(Select!$B$2048=4,Lang!E47))))</f>
        <v>Sort rupere perete vertical SRV</v>
      </c>
      <c r="B47" s="21" t="s">
        <v>49</v>
      </c>
      <c r="C47" s="21" t="s">
        <v>720</v>
      </c>
      <c r="D47" s="21" t="s">
        <v>721</v>
      </c>
      <c r="E47" s="21" t="s">
        <v>722</v>
      </c>
    </row>
    <row r="48" spans="1:5">
      <c r="A48" s="21" t="str">
        <f>IF(Select!$B$2048=1,Lang!B48,IF(Select!$B$2048=2,Lang!C48,IF(Select!$B$2048=3,Lang!D48,IF(Select!$B$2048=4,Lang!E48))))</f>
        <v>Sort streasina SO</v>
      </c>
      <c r="B48" s="21" t="s">
        <v>81</v>
      </c>
      <c r="C48" s="21" t="s">
        <v>723</v>
      </c>
      <c r="D48" s="21" t="s">
        <v>724</v>
      </c>
      <c r="E48" s="21" t="s">
        <v>725</v>
      </c>
    </row>
    <row r="49" spans="1:5">
      <c r="A49" s="21" t="str">
        <f>IF(Select!$B$2048=1,Lang!B49,IF(Select!$B$2048=2,Lang!C49,IF(Select!$B$2048=3,Lang!D49,IF(Select!$B$2048=4,Lang!E49))))</f>
        <v>Set Cos Fum</v>
      </c>
      <c r="B49" s="21" t="s">
        <v>1708</v>
      </c>
    </row>
    <row r="50" spans="1:5">
      <c r="A50" s="21" t="str">
        <f>IF(Select!$B$2048=1,Lang!B50,IF(Select!$B$2048=2,Lang!C50,IF(Select!$B$2048=3,Lang!D50,IF(Select!$B$2048=4,Lang!E50))))</f>
        <v>Parazapada grilaj tigla metalica 2M</v>
      </c>
      <c r="B50" s="21" t="s">
        <v>272</v>
      </c>
      <c r="C50" s="21" t="s">
        <v>726</v>
      </c>
      <c r="D50" s="21" t="s">
        <v>727</v>
      </c>
      <c r="E50" s="21" t="s">
        <v>728</v>
      </c>
    </row>
    <row r="51" spans="1:5">
      <c r="A51" s="21" t="str">
        <f>IF(Select!$B$2048=1,Lang!B51,IF(Select!$B$2048=2,Lang!C51,IF(Select!$B$2048=3,Lang!D51,IF(Select!$B$2048=4,Lang!E51))))</f>
        <v>Piesa conectare grilaj</v>
      </c>
      <c r="B51" s="21" t="s">
        <v>273</v>
      </c>
      <c r="C51" s="21" t="s">
        <v>729</v>
      </c>
      <c r="D51" s="21" t="s">
        <v>730</v>
      </c>
      <c r="E51" s="21" t="s">
        <v>731</v>
      </c>
    </row>
    <row r="52" spans="1:5">
      <c r="A52" s="21" t="str">
        <f>IF(Select!$B$2048=1,Lang!B52,IF(Select!$B$2048=2,Lang!C52,IF(Select!$B$2048=3,Lang!D52,IF(Select!$B$2048=4,Lang!E52))))</f>
        <v>Suport parazapada tigla metalica</v>
      </c>
      <c r="B52" s="21" t="s">
        <v>274</v>
      </c>
      <c r="C52" s="21" t="s">
        <v>732</v>
      </c>
      <c r="D52" s="21" t="s">
        <v>733</v>
      </c>
      <c r="E52" s="21" t="s">
        <v>734</v>
      </c>
    </row>
    <row r="53" spans="1:5">
      <c r="A53" s="21">
        <f>IF(Select!$B$2048=1,Lang!B53,IF(Select!$B$2048=2,Lang!C53,IF(Select!$B$2048=3,Lang!D53,IF(Select!$B$2048=4,Lang!E53))))</f>
        <v>0</v>
      </c>
    </row>
    <row r="54" spans="1:5">
      <c r="A54" s="21">
        <f>IF(Select!$B$2048=1,Lang!B54,IF(Select!$B$2048=2,Lang!C54,IF(Select!$B$2048=3,Lang!D54,IF(Select!$B$2048=4,Lang!E54))))</f>
        <v>0</v>
      </c>
    </row>
    <row r="55" spans="1:5">
      <c r="A55" s="21" t="str">
        <f>IF(Select!$B$2048=1,Lang!B55,IF(Select!$B$2048=2,Lang!C55,IF(Select!$B$2048=3,Lang!D55,IF(Select!$B$2048=4,Lang!E55))))</f>
        <v>Bordura SPECIALA MP</v>
      </c>
      <c r="B55" s="21" t="s">
        <v>409</v>
      </c>
      <c r="C55" s="21" t="s">
        <v>735</v>
      </c>
      <c r="D55" s="21" t="s">
        <v>736</v>
      </c>
      <c r="E55" s="21" t="s">
        <v>737</v>
      </c>
    </row>
    <row r="56" spans="1:5">
      <c r="A56" s="21" t="str">
        <f>IF(Select!$B$2048=1,Lang!B56,IF(Select!$B$2048=2,Lang!C56,IF(Select!$B$2048=3,Lang!D56,IF(Select!$B$2048=4,Lang!E56))))</f>
        <v>Bordura SPECIALA ZINCAT</v>
      </c>
      <c r="B56" s="21" t="s">
        <v>410</v>
      </c>
      <c r="C56" s="21" t="s">
        <v>738</v>
      </c>
      <c r="D56" s="21" t="s">
        <v>739</v>
      </c>
      <c r="E56" s="21" t="s">
        <v>740</v>
      </c>
    </row>
    <row r="57" spans="1:5">
      <c r="A57" s="21" t="str">
        <f>IF(Select!$B$2048=1,Lang!B57,IF(Select!$B$2048=2,Lang!C57,IF(Select!$B$2048=3,Lang!D57,IF(Select!$B$2048=4,Lang!E57))))</f>
        <v xml:space="preserve">Bordura SPECIALA </v>
      </c>
      <c r="B57" s="21" t="s">
        <v>741</v>
      </c>
      <c r="C57" s="21" t="s">
        <v>742</v>
      </c>
      <c r="D57" s="21" t="s">
        <v>743</v>
      </c>
      <c r="E57" s="21" t="s">
        <v>744</v>
      </c>
    </row>
    <row r="58" spans="1:5">
      <c r="A58" s="21" t="str">
        <f>IF(Select!$B$2048=1,Lang!B58,IF(Select!$B$2048=2,Lang!C58,IF(Select!$B$2048=3,Lang!D58,IF(Select!$B$2048=4,Lang!E58))))</f>
        <v>Bord 1</v>
      </c>
      <c r="B58" s="21" t="s">
        <v>100</v>
      </c>
      <c r="C58" s="21" t="s">
        <v>745</v>
      </c>
      <c r="D58" s="21" t="s">
        <v>746</v>
      </c>
      <c r="E58" s="21" t="s">
        <v>747</v>
      </c>
    </row>
    <row r="59" spans="1:5">
      <c r="A59" s="21" t="str">
        <f>IF(Select!$B$2048=1,Lang!B59,IF(Select!$B$2048=2,Lang!C59,IF(Select!$B$2048=3,Lang!D59,IF(Select!$B$2048=4,Lang!E59))))</f>
        <v>Bord 2</v>
      </c>
      <c r="B59" s="21" t="s">
        <v>101</v>
      </c>
      <c r="C59" s="21" t="s">
        <v>748</v>
      </c>
      <c r="D59" s="21" t="s">
        <v>749</v>
      </c>
      <c r="E59" s="21" t="s">
        <v>750</v>
      </c>
    </row>
    <row r="60" spans="1:5">
      <c r="A60" s="21" t="str">
        <f>IF(Select!$B$2048=1,Lang!B60,IF(Select!$B$2048=2,Lang!C60,IF(Select!$B$2048=3,Lang!D60,IF(Select!$B$2048=4,Lang!E60))))</f>
        <v>Bord 3</v>
      </c>
      <c r="B60" s="21" t="s">
        <v>102</v>
      </c>
      <c r="C60" s="21" t="s">
        <v>751</v>
      </c>
      <c r="D60" s="21" t="s">
        <v>752</v>
      </c>
      <c r="E60" s="21" t="s">
        <v>753</v>
      </c>
    </row>
    <row r="61" spans="1:5">
      <c r="A61" s="21" t="str">
        <f>IF(Select!$B$2048=1,Lang!B61,IF(Select!$B$2048=2,Lang!C61,IF(Select!$B$2048=3,Lang!D61,IF(Select!$B$2048=4,Lang!E61))))</f>
        <v>Bord 4</v>
      </c>
      <c r="B61" s="21" t="s">
        <v>103</v>
      </c>
      <c r="C61" s="21" t="s">
        <v>754</v>
      </c>
      <c r="D61" s="21" t="s">
        <v>755</v>
      </c>
      <c r="E61" s="21" t="s">
        <v>756</v>
      </c>
    </row>
    <row r="62" spans="1:5">
      <c r="A62" s="21" t="str">
        <f>IF(Select!$B$2048=1,Lang!B62,IF(Select!$B$2048=2,Lang!C62,IF(Select!$B$2048=3,Lang!D62,IF(Select!$B$2048=4,Lang!E62))))</f>
        <v>Bord 5</v>
      </c>
      <c r="B62" s="21" t="s">
        <v>104</v>
      </c>
      <c r="C62" s="21" t="s">
        <v>757</v>
      </c>
      <c r="D62" s="21" t="s">
        <v>758</v>
      </c>
      <c r="E62" s="21" t="s">
        <v>759</v>
      </c>
    </row>
    <row r="63" spans="1:5">
      <c r="A63" s="21" t="str">
        <f>IF(Select!$B$2048=1,Lang!B63,IF(Select!$B$2048=2,Lang!C63,IF(Select!$B$2048=3,Lang!D63,IF(Select!$B$2048=4,Lang!E63))))</f>
        <v>Bord 6</v>
      </c>
      <c r="B63" s="21" t="s">
        <v>105</v>
      </c>
      <c r="C63" s="21" t="s">
        <v>760</v>
      </c>
      <c r="D63" s="21" t="s">
        <v>761</v>
      </c>
      <c r="E63" s="21" t="s">
        <v>762</v>
      </c>
    </row>
    <row r="64" spans="1:5">
      <c r="A64" s="21" t="str">
        <f>IF(Select!$B$2048=1,Lang!B64,IF(Select!$B$2048=2,Lang!C64,IF(Select!$B$2048=3,Lang!D64,IF(Select!$B$2048=4,Lang!E64))))</f>
        <v>Bord 7</v>
      </c>
      <c r="B64" s="21" t="s">
        <v>106</v>
      </c>
      <c r="C64" s="21" t="s">
        <v>763</v>
      </c>
      <c r="D64" s="21" t="s">
        <v>764</v>
      </c>
      <c r="E64" s="21" t="s">
        <v>765</v>
      </c>
    </row>
    <row r="65" spans="1:5">
      <c r="A65" s="21" t="str">
        <f>IF(Select!$B$2048=1,Lang!B65,IF(Select!$B$2048=2,Lang!C65,IF(Select!$B$2048=3,Lang!D65,IF(Select!$B$2048=4,Lang!E65))))</f>
        <v>Bord 8</v>
      </c>
      <c r="B65" s="21" t="s">
        <v>107</v>
      </c>
      <c r="C65" s="21" t="s">
        <v>766</v>
      </c>
      <c r="D65" s="21" t="s">
        <v>767</v>
      </c>
      <c r="E65" s="21" t="s">
        <v>768</v>
      </c>
    </row>
    <row r="66" spans="1:5">
      <c r="A66" s="21" t="str">
        <f>IF(Select!$B$2048=1,Lang!B66,IF(Select!$B$2048=2,Lang!C66,IF(Select!$B$2048=3,Lang!D66,IF(Select!$B$2048=4,Lang!E66))))</f>
        <v>Bord 9</v>
      </c>
      <c r="B66" s="21" t="s">
        <v>108</v>
      </c>
      <c r="C66" s="21" t="s">
        <v>769</v>
      </c>
      <c r="D66" s="21" t="s">
        <v>770</v>
      </c>
      <c r="E66" s="21" t="s">
        <v>771</v>
      </c>
    </row>
    <row r="67" spans="1:5">
      <c r="A67" s="21" t="str">
        <f>IF(Select!$B$2048=1,Lang!B67,IF(Select!$B$2048=2,Lang!C67,IF(Select!$B$2048=3,Lang!D67,IF(Select!$B$2048=4,Lang!E67))))</f>
        <v>Bord 10</v>
      </c>
      <c r="B67" s="21" t="s">
        <v>109</v>
      </c>
      <c r="C67" s="21" t="s">
        <v>772</v>
      </c>
      <c r="D67" s="21" t="s">
        <v>773</v>
      </c>
      <c r="E67" s="21" t="s">
        <v>774</v>
      </c>
    </row>
    <row r="68" spans="1:5">
      <c r="A68" s="21" t="str">
        <f>IF(Select!$B$2048=1,Lang!B68,IF(Select!$B$2048=2,Lang!C68,IF(Select!$B$2048=3,Lang!D68,IF(Select!$B$2048=4,Lang!E68))))</f>
        <v>NR.</v>
      </c>
      <c r="B68" s="21" t="s">
        <v>397</v>
      </c>
      <c r="C68" s="21" t="s">
        <v>775</v>
      </c>
      <c r="D68" s="21" t="s">
        <v>776</v>
      </c>
      <c r="E68" s="21" t="s">
        <v>777</v>
      </c>
    </row>
    <row r="69" spans="1:5">
      <c r="A69" s="21" t="str">
        <f>IF(Select!$B$2048=1,Lang!B69,IF(Select!$B$2048=2,Lang!C69,IF(Select!$B$2048=3,Lang!D69,IF(Select!$B$2048=4,Lang!E69))))</f>
        <v>LATIME</v>
      </c>
      <c r="B69" s="21" t="s">
        <v>394</v>
      </c>
      <c r="C69" s="21" t="s">
        <v>778</v>
      </c>
      <c r="D69" s="21" t="s">
        <v>779</v>
      </c>
      <c r="E69" s="21" t="s">
        <v>780</v>
      </c>
    </row>
    <row r="70" spans="1:5">
      <c r="A70" s="21" t="str">
        <f>IF(Select!$B$2048=1,Lang!B70,IF(Select!$B$2048=2,Lang!C70,IF(Select!$B$2048=3,Lang!D70,IF(Select!$B$2048=4,Lang!E70))))</f>
        <v>LUNGIME</v>
      </c>
      <c r="B70" s="21" t="s">
        <v>395</v>
      </c>
      <c r="C70" s="21" t="s">
        <v>781</v>
      </c>
      <c r="D70" s="21" t="s">
        <v>782</v>
      </c>
      <c r="E70" s="21" t="s">
        <v>783</v>
      </c>
    </row>
    <row r="71" spans="1:5">
      <c r="A71" s="21" t="str">
        <f>IF(Select!$B$2048=1,Lang!B71,IF(Select!$B$2048=2,Lang!C71,IF(Select!$B$2048=3,Lang!D71,IF(Select!$B$2048=4,Lang!E71))))</f>
        <v>BUC</v>
      </c>
      <c r="B71" s="21" t="s">
        <v>396</v>
      </c>
      <c r="C71" s="21" t="s">
        <v>784</v>
      </c>
      <c r="D71" s="21" t="s">
        <v>785</v>
      </c>
      <c r="E71" s="21" t="s">
        <v>786</v>
      </c>
    </row>
    <row r="72" spans="1:5">
      <c r="A72" s="21" t="str">
        <f>IF(Select!$B$2048=1,Lang!B72,IF(Select!$B$2048=2,Lang!C72,IF(Select!$B$2048=3,Lang!D72,IF(Select!$B$2048=4,Lang!E72))))</f>
        <v>Colorat</v>
      </c>
      <c r="B72" s="21" t="s">
        <v>69</v>
      </c>
      <c r="C72" s="21" t="s">
        <v>787</v>
      </c>
      <c r="D72" s="21" t="s">
        <v>788</v>
      </c>
      <c r="E72" s="21" t="s">
        <v>789</v>
      </c>
    </row>
    <row r="73" spans="1:5">
      <c r="A73" s="21" t="str">
        <f>IF(Select!$B$2048=1,Lang!B73,IF(Select!$B$2048=2,Lang!C73,IF(Select!$B$2048=3,Lang!D73,IF(Select!$B$2048=4,Lang!E73))))</f>
        <v>Aluzinc</v>
      </c>
      <c r="B73" s="21" t="s">
        <v>71</v>
      </c>
      <c r="C73" s="21" t="s">
        <v>71</v>
      </c>
      <c r="D73" s="21" t="s">
        <v>790</v>
      </c>
      <c r="E73" s="21" t="s">
        <v>791</v>
      </c>
    </row>
    <row r="74" spans="1:5">
      <c r="A74" s="21" t="str">
        <f>IF(Select!$B$2048=1,Lang!B74,IF(Select!$B$2048=2,Lang!C74,IF(Select!$B$2048=3,Lang!D74,IF(Select!$B$2048=4,Lang!E74))))</f>
        <v>Culori speciale</v>
      </c>
      <c r="B74" s="21" t="s">
        <v>269</v>
      </c>
      <c r="C74" s="21" t="s">
        <v>792</v>
      </c>
      <c r="D74" s="21" t="s">
        <v>793</v>
      </c>
      <c r="E74" s="21" t="s">
        <v>794</v>
      </c>
    </row>
    <row r="75" spans="1:5">
      <c r="A75" s="21" t="str">
        <f>IF(Select!$B$2048=1,Lang!B75,IF(Select!$B$2048=2,Lang!C75,IF(Select!$B$2048=3,Lang!D75,IF(Select!$B$2048=4,Lang!E75))))</f>
        <v>Carlig,  210 mm</v>
      </c>
      <c r="B75" s="21" t="s">
        <v>55</v>
      </c>
      <c r="C75" s="21" t="s">
        <v>795</v>
      </c>
      <c r="D75" s="21" t="s">
        <v>796</v>
      </c>
      <c r="E75" s="21" t="s">
        <v>797</v>
      </c>
    </row>
    <row r="76" spans="1:5">
      <c r="A76" s="21" t="str">
        <f>IF(Select!$B$2048=1,Lang!B76,IF(Select!$B$2048=2,Lang!C76,IF(Select!$B$2048=3,Lang!D76,IF(Select!$B$2048=4,Lang!E76))))</f>
        <v>Carlig,  RASUCIT 210 mm</v>
      </c>
      <c r="B76" s="21" t="s">
        <v>56</v>
      </c>
      <c r="C76" s="21" t="s">
        <v>798</v>
      </c>
      <c r="D76" s="21" t="s">
        <v>799</v>
      </c>
      <c r="E76" s="21" t="s">
        <v>800</v>
      </c>
    </row>
    <row r="77" spans="1:5">
      <c r="A77" s="21" t="str">
        <f>IF(Select!$B$2048=1,Lang!B77,IF(Select!$B$2048=2,Lang!C77,IF(Select!$B$2048=3,Lang!D77,IF(Select!$B$2048=4,Lang!E77))))</f>
        <v>Carlig zincat 210mm</v>
      </c>
      <c r="B77" s="21" t="s">
        <v>801</v>
      </c>
      <c r="C77" s="21" t="s">
        <v>802</v>
      </c>
      <c r="D77" s="21" t="s">
        <v>803</v>
      </c>
      <c r="E77" s="21" t="s">
        <v>804</v>
      </c>
    </row>
    <row r="78" spans="1:5">
      <c r="A78" s="21" t="str">
        <f>IF(Select!$B$2048=1,Lang!B78,IF(Select!$B$2048=2,Lang!C78,IF(Select!$B$2048=3,Lang!D78,IF(Select!$B$2048=4,Lang!E78))))</f>
        <v>Carlig,  RASUCIT ZINCAT 210 mm</v>
      </c>
      <c r="B78" s="21" t="s">
        <v>805</v>
      </c>
      <c r="C78" s="21" t="s">
        <v>806</v>
      </c>
      <c r="D78" s="21" t="s">
        <v>807</v>
      </c>
      <c r="E78" s="21" t="s">
        <v>808</v>
      </c>
    </row>
    <row r="79" spans="1:5">
      <c r="A79" s="21" t="str">
        <f>IF(Select!$B$2048=1,Lang!B79,IF(Select!$B$2048=2,Lang!C79,IF(Select!$B$2048=3,Lang!D79,IF(Select!$B$2048=4,Lang!E79))))</f>
        <v>Carlig,  160 mm</v>
      </c>
      <c r="B79" s="21" t="s">
        <v>809</v>
      </c>
      <c r="C79" s="21" t="s">
        <v>810</v>
      </c>
      <c r="D79" s="21" t="s">
        <v>811</v>
      </c>
      <c r="E79" s="21" t="s">
        <v>812</v>
      </c>
    </row>
    <row r="80" spans="1:5">
      <c r="A80" s="21" t="str">
        <f>IF(Select!$B$2048=1,Lang!B80,IF(Select!$B$2048=2,Lang!C80,IF(Select!$B$2048=3,Lang!D80,IF(Select!$B$2048=4,Lang!E80))))</f>
        <v>Carlig zincat 160mm</v>
      </c>
      <c r="B80" s="21" t="s">
        <v>813</v>
      </c>
      <c r="C80" s="21" t="s">
        <v>814</v>
      </c>
      <c r="D80" s="21" t="s">
        <v>815</v>
      </c>
      <c r="E80" s="21" t="s">
        <v>816</v>
      </c>
    </row>
    <row r="81" spans="1:5">
      <c r="A81" s="21" t="str">
        <f>IF(Select!$B$2048=1,Lang!B81,IF(Select!$B$2048=2,Lang!C81,IF(Select!$B$2048=3,Lang!D81,IF(Select!$B$2048=4,Lang!E81))))</f>
        <v>Carlig aplicat</v>
      </c>
      <c r="B81" s="21" t="s">
        <v>57</v>
      </c>
      <c r="C81" s="21" t="s">
        <v>817</v>
      </c>
      <c r="D81" s="21" t="s">
        <v>818</v>
      </c>
      <c r="E81" s="21" t="s">
        <v>819</v>
      </c>
    </row>
    <row r="82" spans="1:5">
      <c r="A82" s="21" t="str">
        <f>IF(Select!$B$2048=1,Lang!B82,IF(Select!$B$2048=2,Lang!C82,IF(Select!$B$2048=3,Lang!D82,IF(Select!$B$2048=4,Lang!E82))))</f>
        <v>Carlig aplicat Zincat</v>
      </c>
      <c r="B82" s="21" t="s">
        <v>820</v>
      </c>
      <c r="C82" s="21" t="s">
        <v>821</v>
      </c>
      <c r="D82" s="21" t="s">
        <v>803</v>
      </c>
      <c r="E82" s="21" t="s">
        <v>822</v>
      </c>
    </row>
    <row r="83" spans="1:5">
      <c r="A83" s="21" t="str">
        <f>IF(Select!$B$2048=1,Lang!B83,IF(Select!$B$2048=2,Lang!C83,IF(Select!$B$2048=3,Lang!D83,IF(Select!$B$2048=4,Lang!E83))))</f>
        <v>Jgheab 4 metri</v>
      </c>
      <c r="B83" s="21" t="s">
        <v>568</v>
      </c>
      <c r="C83" s="21" t="s">
        <v>1535</v>
      </c>
      <c r="D83" s="21" t="s">
        <v>1536</v>
      </c>
      <c r="E83" s="21" t="s">
        <v>1542</v>
      </c>
    </row>
    <row r="84" spans="1:5">
      <c r="A84" s="21" t="str">
        <f>IF(Select!$B$2048=1,Lang!B84,IF(Select!$B$2048=2,Lang!C84,IF(Select!$B$2048=3,Lang!D84,IF(Select!$B$2048=4,Lang!E84))))</f>
        <v>Jgheab 3 metri Lichidare stoc</v>
      </c>
      <c r="B84" s="21" t="s">
        <v>1540</v>
      </c>
      <c r="C84" s="21" t="s">
        <v>1541</v>
      </c>
      <c r="D84" s="21" t="s">
        <v>823</v>
      </c>
      <c r="E84" s="21" t="s">
        <v>824</v>
      </c>
    </row>
    <row r="85" spans="1:5">
      <c r="A85" s="21" t="str">
        <f>IF(Select!$B$2048=1,Lang!B85,IF(Select!$B$2048=2,Lang!C85,IF(Select!$B$2048=3,Lang!D85,IF(Select!$B$2048=4,Lang!E85))))</f>
        <v>Jgheab 2 metri</v>
      </c>
      <c r="B85" s="21" t="s">
        <v>1534</v>
      </c>
      <c r="C85" s="21" t="s">
        <v>1537</v>
      </c>
      <c r="D85" s="21" t="s">
        <v>1538</v>
      </c>
      <c r="E85" s="21" t="s">
        <v>1539</v>
      </c>
    </row>
    <row r="86" spans="1:5">
      <c r="A86" s="21" t="str">
        <f>IF(Select!$B$2048=1,Lang!B86,IF(Select!$B$2048=2,Lang!C86,IF(Select!$B$2048=3,Lang!D86,IF(Select!$B$2048=4,Lang!E86))))</f>
        <v>Jgheab 2 metri</v>
      </c>
      <c r="B86" s="21" t="s">
        <v>1534</v>
      </c>
      <c r="C86" s="21" t="s">
        <v>1537</v>
      </c>
      <c r="D86" s="21" t="s">
        <v>1538</v>
      </c>
      <c r="E86" s="21" t="s">
        <v>1539</v>
      </c>
    </row>
    <row r="87" spans="1:5">
      <c r="A87" s="21" t="str">
        <f>IF(Select!$B$2048=1,Lang!B87,IF(Select!$B$2048=2,Lang!C87,IF(Select!$B$2048=3,Lang!D87,IF(Select!$B$2048=4,Lang!E87))))</f>
        <v>Coltar jgheab exterior</v>
      </c>
      <c r="B87" s="21" t="s">
        <v>189</v>
      </c>
      <c r="C87" s="21" t="s">
        <v>825</v>
      </c>
      <c r="D87" s="21" t="s">
        <v>826</v>
      </c>
      <c r="E87" s="21" t="s">
        <v>827</v>
      </c>
    </row>
    <row r="88" spans="1:5">
      <c r="A88" s="21" t="str">
        <f>IF(Select!$B$2048=1,Lang!B88,IF(Select!$B$2048=2,Lang!C88,IF(Select!$B$2048=3,Lang!D88,IF(Select!$B$2048=4,Lang!E88))))</f>
        <v>Coltar jgheab interior</v>
      </c>
      <c r="B88" s="21" t="s">
        <v>190</v>
      </c>
      <c r="C88" s="21" t="s">
        <v>828</v>
      </c>
      <c r="D88" s="21" t="s">
        <v>829</v>
      </c>
      <c r="E88" s="21" t="s">
        <v>830</v>
      </c>
    </row>
    <row r="89" spans="1:5">
      <c r="A89" s="21" t="str">
        <f>IF(Select!$B$2048=1,Lang!B89,IF(Select!$B$2048=2,Lang!C89,IF(Select!$B$2048=3,Lang!D89,IF(Select!$B$2048=4,Lang!E89))))</f>
        <v>Bratara jgheab</v>
      </c>
      <c r="B89" s="21" t="s">
        <v>58</v>
      </c>
      <c r="C89" s="21" t="s">
        <v>831</v>
      </c>
      <c r="D89" s="21" t="s">
        <v>832</v>
      </c>
      <c r="E89" s="21" t="s">
        <v>833</v>
      </c>
    </row>
    <row r="90" spans="1:5">
      <c r="A90" s="21" t="str">
        <f>IF(Select!$B$2048=1,Lang!B90,IF(Select!$B$2048=2,Lang!C90,IF(Select!$B$2048=3,Lang!D90,IF(Select!$B$2048=4,Lang!E90))))</f>
        <v>Capac jgheab</v>
      </c>
      <c r="B90" s="21" t="s">
        <v>59</v>
      </c>
      <c r="C90" s="21" t="s">
        <v>834</v>
      </c>
      <c r="D90" s="21" t="s">
        <v>835</v>
      </c>
      <c r="E90" s="21" t="s">
        <v>836</v>
      </c>
    </row>
    <row r="91" spans="1:5">
      <c r="A91" s="21" t="str">
        <f>IF(Select!$B$2048=1,Lang!B91,IF(Select!$B$2048=2,Lang!C91,IF(Select!$B$2048=3,Lang!D91,IF(Select!$B$2048=4,Lang!E91))))</f>
        <v>Contracarlig</v>
      </c>
      <c r="B91" s="21" t="s">
        <v>60</v>
      </c>
      <c r="C91" s="21" t="s">
        <v>837</v>
      </c>
      <c r="D91" s="21" t="s">
        <v>838</v>
      </c>
      <c r="E91" s="21" t="s">
        <v>839</v>
      </c>
    </row>
    <row r="92" spans="1:5">
      <c r="A92" s="21" t="str">
        <f>IF(Select!$B$2048=1,Lang!B92,IF(Select!$B$2048=2,Lang!C92,IF(Select!$B$2048=3,Lang!D92,IF(Select!$B$2048=4,Lang!E92))))</f>
        <v>Racord jgheab-burlan</v>
      </c>
      <c r="B92" s="21" t="s">
        <v>61</v>
      </c>
      <c r="C92" s="21" t="s">
        <v>840</v>
      </c>
      <c r="D92" s="21" t="s">
        <v>841</v>
      </c>
      <c r="E92" s="21" t="s">
        <v>842</v>
      </c>
    </row>
    <row r="93" spans="1:5">
      <c r="A93" s="21" t="str">
        <f>IF(Select!$B$2048=1,Lang!B93,IF(Select!$B$2048=2,Lang!C93,IF(Select!$B$2048=3,Lang!D93,IF(Select!$B$2048=4,Lang!E93))))</f>
        <v>Cot burlan</v>
      </c>
      <c r="B93" s="21" t="s">
        <v>62</v>
      </c>
      <c r="C93" s="21" t="s">
        <v>843</v>
      </c>
      <c r="D93" s="21" t="s">
        <v>844</v>
      </c>
      <c r="E93" s="21" t="s">
        <v>845</v>
      </c>
    </row>
    <row r="94" spans="1:5">
      <c r="A94" s="21" t="str">
        <f>IF(Select!$B$2048=1,Lang!B94,IF(Select!$B$2048=2,Lang!C94,IF(Select!$B$2048=3,Lang!D94,IF(Select!$B$2048=4,Lang!E94))))</f>
        <v>Prelungire burlan 0.9m</v>
      </c>
      <c r="B94" s="21" t="s">
        <v>63</v>
      </c>
      <c r="C94" s="21" t="s">
        <v>846</v>
      </c>
      <c r="D94" s="21" t="s">
        <v>847</v>
      </c>
      <c r="E94" s="21" t="s">
        <v>848</v>
      </c>
    </row>
    <row r="95" spans="1:5">
      <c r="A95" s="21" t="str">
        <f>IF(Select!$B$2048=1,Lang!B95,IF(Select!$B$2048=2,Lang!C95,IF(Select!$B$2048=3,Lang!D95,IF(Select!$B$2048=4,Lang!E95))))</f>
        <v>Burlan 3 metri</v>
      </c>
      <c r="B95" s="21" t="s">
        <v>561</v>
      </c>
      <c r="C95" s="21" t="s">
        <v>849</v>
      </c>
      <c r="D95" s="21" t="s">
        <v>850</v>
      </c>
      <c r="E95" s="21" t="s">
        <v>851</v>
      </c>
    </row>
    <row r="96" spans="1:5">
      <c r="A96" s="21" t="str">
        <f>IF(Select!$B$2048=1,Lang!B96,IF(Select!$B$2048=2,Lang!C96,IF(Select!$B$2048=3,Lang!D96,IF(Select!$B$2048=4,Lang!E96))))</f>
        <v>Colier burlan</v>
      </c>
      <c r="B96" s="21" t="s">
        <v>64</v>
      </c>
      <c r="C96" s="21" t="s">
        <v>852</v>
      </c>
      <c r="D96" s="21" t="s">
        <v>853</v>
      </c>
      <c r="E96" s="21" t="s">
        <v>854</v>
      </c>
    </row>
    <row r="97" spans="1:5">
      <c r="A97" s="21" t="str">
        <f>IF(Select!$B$2048=1,Lang!B97,IF(Select!$B$2048=2,Lang!C97,IF(Select!$B$2048=3,Lang!D97,IF(Select!$B$2048=4,Lang!E97))))</f>
        <v>Ramificatie burlan Y</v>
      </c>
      <c r="B97" s="21" t="s">
        <v>65</v>
      </c>
      <c r="C97" s="21" t="s">
        <v>855</v>
      </c>
      <c r="D97" s="21" t="s">
        <v>856</v>
      </c>
      <c r="E97" s="21" t="s">
        <v>857</v>
      </c>
    </row>
    <row r="98" spans="1:5">
      <c r="A98" s="21" t="str">
        <f>IF(Select!$B$2048=1,Lang!B98,IF(Select!$B$2048=2,Lang!C98,IF(Select!$B$2048=3,Lang!D98,IF(Select!$B$2048=4,Lang!E98))))</f>
        <v>Evacuare</v>
      </c>
      <c r="B98" s="21" t="s">
        <v>66</v>
      </c>
      <c r="C98" s="21" t="s">
        <v>858</v>
      </c>
      <c r="D98" s="21" t="s">
        <v>859</v>
      </c>
      <c r="E98" s="21" t="s">
        <v>860</v>
      </c>
    </row>
    <row r="99" spans="1:5">
      <c r="A99" s="21" t="str">
        <f>IF(Select!$B$2048=1,Lang!B99,IF(Select!$B$2048=2,Lang!C99,IF(Select!$B$2048=3,Lang!D99,IF(Select!$B$2048=4,Lang!E99))))</f>
        <v>Palnie colectoare</v>
      </c>
      <c r="B99" s="21" t="s">
        <v>67</v>
      </c>
      <c r="C99" s="21" t="s">
        <v>861</v>
      </c>
      <c r="D99" s="21" t="s">
        <v>862</v>
      </c>
      <c r="E99" s="21" t="s">
        <v>863</v>
      </c>
    </row>
    <row r="100" spans="1:5">
      <c r="A100" s="21" t="str">
        <f>IF(Select!$B$2048=1,Lang!B100,IF(Select!$B$2048=2,Lang!C100,IF(Select!$B$2048=3,Lang!D100,IF(Select!$B$2048=4,Lang!E100))))</f>
        <v>Membrana  anticondens ACOVENT – 90 gr/mp - 80 mp</v>
      </c>
      <c r="B100" s="21" t="s">
        <v>1758</v>
      </c>
      <c r="C100" s="21" t="s">
        <v>864</v>
      </c>
      <c r="D100" s="21" t="s">
        <v>865</v>
      </c>
      <c r="E100" s="21" t="s">
        <v>866</v>
      </c>
    </row>
    <row r="101" spans="1:5">
      <c r="A101" s="21" t="s">
        <v>36</v>
      </c>
      <c r="B101" s="21" t="s">
        <v>439</v>
      </c>
      <c r="C101" s="21" t="s">
        <v>1543</v>
      </c>
      <c r="D101" s="21" t="s">
        <v>1544</v>
      </c>
      <c r="E101" s="21" t="s">
        <v>1545</v>
      </c>
    </row>
    <row r="102" spans="1:5">
      <c r="A102" s="21" t="str">
        <f>IF(Select!$B$2048=1,Lang!B102,IF(Select!$B$2048=2,Lang!C102,IF(Select!$B$2048=3,Lang!D102,IF(Select!$B$2048=4,Lang!E102))))</f>
        <v>Membrana anticondens  WTB 115 gr/mp - 80mp</v>
      </c>
      <c r="B102" s="21" t="s">
        <v>304</v>
      </c>
      <c r="C102" s="21" t="s">
        <v>1647</v>
      </c>
      <c r="D102" s="21" t="s">
        <v>867</v>
      </c>
      <c r="E102" s="21" t="s">
        <v>868</v>
      </c>
    </row>
    <row r="103" spans="1:5">
      <c r="A103" s="21" t="str">
        <f>IF(Select!$B$2048=1,Lang!B103,IF(Select!$B$2048=2,Lang!C103,IF(Select!$B$2048=3,Lang!D103,IF(Select!$B$2048=4,Lang!E103))))</f>
        <v>Membrana anticondens DACHOVA   115 gr/mp - 80mp</v>
      </c>
      <c r="B103" s="21" t="s">
        <v>305</v>
      </c>
      <c r="C103" s="21" t="s">
        <v>869</v>
      </c>
      <c r="D103" s="21" t="s">
        <v>870</v>
      </c>
      <c r="E103" s="21" t="s">
        <v>871</v>
      </c>
    </row>
    <row r="104" spans="1:5">
      <c r="A104" s="21" t="str">
        <f>IF(Select!$B$2048=1,Lang!B104,IF(Select!$B$2048=2,Lang!C104,IF(Select!$B$2048=3,Lang!D104,IF(Select!$B$2048=4,Lang!E104))))</f>
        <v>Membrana ACOVENT 135/80 MP</v>
      </c>
      <c r="B104" s="21" t="s">
        <v>312</v>
      </c>
      <c r="C104" s="21" t="s">
        <v>872</v>
      </c>
      <c r="D104" s="21" t="s">
        <v>873</v>
      </c>
      <c r="E104" s="21" t="s">
        <v>874</v>
      </c>
    </row>
    <row r="105" spans="1:5">
      <c r="A105" s="21" t="str">
        <f>IF(Select!$B$2048=1,Lang!B105,IF(Select!$B$2048=2,Lang!C105,IF(Select!$B$2048=3,Lang!D105,IF(Select!$B$2048=4,Lang!E105))))</f>
        <v>Membrana anticondens WTB 135 gr/mp - 80mp</v>
      </c>
      <c r="B105" s="21" t="s">
        <v>313</v>
      </c>
      <c r="C105" s="21" t="s">
        <v>1645</v>
      </c>
      <c r="D105" s="21" t="s">
        <v>875</v>
      </c>
      <c r="E105" s="21" t="s">
        <v>876</v>
      </c>
    </row>
    <row r="106" spans="1:5">
      <c r="A106" s="21" t="str">
        <f>IF(Select!$B$2048=1,Lang!B106,IF(Select!$B$2048=2,Lang!C106,IF(Select!$B$2048=3,Lang!D106,IF(Select!$B$2048=4,Lang!E106))))</f>
        <v>Membrana DACHOVA 150 G/80 MP</v>
      </c>
      <c r="B106" s="21" t="s">
        <v>314</v>
      </c>
      <c r="C106" s="21" t="s">
        <v>877</v>
      </c>
      <c r="D106" s="21" t="s">
        <v>878</v>
      </c>
      <c r="E106" s="21" t="s">
        <v>879</v>
      </c>
    </row>
    <row r="107" spans="1:5">
      <c r="A107" s="21" t="str">
        <f>IF(Select!$B$2048=1,Lang!B107,IF(Select!$B$2048=2,Lang!C107,IF(Select!$B$2048=3,Lang!D107,IF(Select!$B$2048=4,Lang!E107))))</f>
        <v>Membrana anticondens WTB 150 gr/mp - 80mp</v>
      </c>
      <c r="B107" s="21" t="s">
        <v>315</v>
      </c>
      <c r="C107" s="21" t="s">
        <v>1646</v>
      </c>
      <c r="D107" s="21" t="s">
        <v>880</v>
      </c>
      <c r="E107" s="21" t="s">
        <v>881</v>
      </c>
    </row>
    <row r="108" spans="1:5">
      <c r="A108" s="21" t="str">
        <f>IF(Select!$B$2048=1,Lang!B108,IF(Select!$B$2048=2,Lang!C108,IF(Select!$B$2048=3,Lang!D108,IF(Select!$B$2048=4,Lang!E108))))</f>
        <v>Membrana anticondens 185 gr/mp - 80mp</v>
      </c>
      <c r="B108" s="21" t="s">
        <v>238</v>
      </c>
      <c r="C108" s="21" t="s">
        <v>882</v>
      </c>
      <c r="D108" s="21" t="s">
        <v>883</v>
      </c>
      <c r="E108" s="21" t="s">
        <v>884</v>
      </c>
    </row>
    <row r="109" spans="1:5">
      <c r="A109" s="21" t="str">
        <f>IF(Select!$B$2048=1,Lang!B109,IF(Select!$B$2048=2,Lang!C109,IF(Select!$B$2048=3,Lang!D109,IF(Select!$B$2048=4,Lang!E109))))</f>
        <v>Membrana METALLIC pentru tabla faltuita 450gr/mp 1,5 X 25-37.5mp .</v>
      </c>
      <c r="B109" s="21" t="s">
        <v>316</v>
      </c>
      <c r="C109" s="21" t="s">
        <v>885</v>
      </c>
      <c r="D109" s="21" t="s">
        <v>886</v>
      </c>
      <c r="E109" s="21" t="s">
        <v>887</v>
      </c>
    </row>
    <row r="110" spans="1:5">
      <c r="A110" s="21" t="str">
        <f>IF(Select!$B$2048=1,Lang!B110,IF(Select!$B$2048=2,Lang!C110,IF(Select!$B$2048=3,Lang!D110,IF(Select!$B$2048=4,Lang!E110))))</f>
        <v>Aluband 100 - 10000 mm</v>
      </c>
      <c r="B110" s="21" t="s">
        <v>82</v>
      </c>
      <c r="C110" s="21" t="s">
        <v>82</v>
      </c>
      <c r="D110" s="21" t="s">
        <v>888</v>
      </c>
      <c r="E110" s="21" t="s">
        <v>889</v>
      </c>
    </row>
    <row r="111" spans="1:5">
      <c r="A111" s="21" t="str">
        <f>IF(Select!$B$2048=1,Lang!B111,IF(Select!$B$2048=2,Lang!C111,IF(Select!$B$2048=3,Lang!D111,IF(Select!$B$2048=4,Lang!E111))))</f>
        <v>Aluband 150 - 10000 mm</v>
      </c>
      <c r="B111" s="21" t="s">
        <v>83</v>
      </c>
      <c r="C111" s="21" t="s">
        <v>83</v>
      </c>
      <c r="D111" s="21" t="s">
        <v>890</v>
      </c>
      <c r="E111" s="21" t="s">
        <v>891</v>
      </c>
    </row>
    <row r="112" spans="1:5">
      <c r="A112" s="21" t="str">
        <f>IF(Select!$B$2048=1,Lang!B112,IF(Select!$B$2048=2,Lang!C112,IF(Select!$B$2048=3,Lang!D112,IF(Select!$B$2048=4,Lang!E112))))</f>
        <v>Aluband 300 - 10000 mm</v>
      </c>
      <c r="B112" s="21" t="s">
        <v>84</v>
      </c>
      <c r="C112" s="21" t="s">
        <v>84</v>
      </c>
      <c r="D112" s="21" t="s">
        <v>892</v>
      </c>
      <c r="E112" s="21" t="s">
        <v>893</v>
      </c>
    </row>
    <row r="113" spans="1:5">
      <c r="A113" s="21" t="str">
        <f>IF(Select!$B$2048=1,Lang!B113,IF(Select!$B$2048=2,Lang!C113,IF(Select!$B$2048=3,Lang!D113,IF(Select!$B$2048=4,Lang!E113))))</f>
        <v>Folie cu permisivitate redusa la vapori MSL LIGHT– 75 mp</v>
      </c>
      <c r="B113" s="21" t="s">
        <v>239</v>
      </c>
      <c r="C113" s="21" t="s">
        <v>894</v>
      </c>
      <c r="D113" s="21" t="s">
        <v>895</v>
      </c>
      <c r="E113" s="21" t="s">
        <v>896</v>
      </c>
    </row>
    <row r="114" spans="1:5">
      <c r="A114" s="21" t="s">
        <v>36</v>
      </c>
      <c r="B114" s="21" t="s">
        <v>240</v>
      </c>
      <c r="C114" s="21" t="s">
        <v>897</v>
      </c>
      <c r="D114" s="21" t="s">
        <v>898</v>
      </c>
      <c r="E114" s="21" t="s">
        <v>899</v>
      </c>
    </row>
    <row r="115" spans="1:5">
      <c r="A115" s="21" t="str">
        <f>IF(Select!$B$2048=1,Lang!B115,IF(Select!$B$2048=2,Lang!C115,IF(Select!$B$2048=3,Lang!D115,IF(Select!$B$2048=4,Lang!E115))))</f>
        <v>Bariera de vapori aluminizata ML110AL - 75 mp</v>
      </c>
      <c r="B115" s="21" t="s">
        <v>262</v>
      </c>
      <c r="C115" s="21" t="s">
        <v>900</v>
      </c>
      <c r="D115" s="21" t="s">
        <v>901</v>
      </c>
      <c r="E115" s="21" t="s">
        <v>902</v>
      </c>
    </row>
    <row r="116" spans="1:5">
      <c r="A116" s="21" t="str">
        <f>IF(Select!$B$2048=1,Lang!B116,IF(Select!$B$2048=2,Lang!C116,IF(Select!$B$2048=3,Lang!D116,IF(Select!$B$2048=4,Lang!E116))))</f>
        <v>Bariera de vapori aluminizata ML140AL - 75 mp</v>
      </c>
      <c r="B116" s="21" t="s">
        <v>263</v>
      </c>
      <c r="C116" s="21" t="s">
        <v>903</v>
      </c>
      <c r="D116" s="21" t="s">
        <v>904</v>
      </c>
      <c r="E116" s="21" t="s">
        <v>905</v>
      </c>
    </row>
    <row r="117" spans="1:5">
      <c r="A117" s="21" t="str">
        <f>IF(Select!$B$2048=1,Lang!B117,IF(Select!$B$2048=2,Lang!C117,IF(Select!$B$2048=3,Lang!D117,IF(Select!$B$2048=4,Lang!E117))))</f>
        <v>Rola autoadeziva de protectie sub coame IZOVENT - 0,31 x 5m</v>
      </c>
      <c r="B117" s="21" t="s">
        <v>85</v>
      </c>
      <c r="C117" s="21" t="s">
        <v>906</v>
      </c>
      <c r="D117" s="21" t="s">
        <v>907</v>
      </c>
      <c r="E117" s="21" t="s">
        <v>908</v>
      </c>
    </row>
    <row r="118" spans="1:5">
      <c r="A118" s="21" t="str">
        <f>IF(Select!$B$2048=1,Lang!B118,IF(Select!$B$2048=2,Lang!C118,IF(Select!$B$2048=3,Lang!D118,IF(Select!$B$2048=4,Lang!E118))))</f>
        <v>Rola autoadeziva de protectie sub coame IZOVENT - 0,24 x 5m</v>
      </c>
      <c r="B118" s="21" t="s">
        <v>86</v>
      </c>
      <c r="C118" s="21" t="s">
        <v>909</v>
      </c>
      <c r="D118" s="21" t="s">
        <v>910</v>
      </c>
      <c r="E118" s="21" t="s">
        <v>911</v>
      </c>
    </row>
    <row r="119" spans="1:5">
      <c r="A119" s="21" t="str">
        <f>IF(Select!$B$2048=1,Lang!B119,IF(Select!$B$2048=2,Lang!C119,IF(Select!$B$2048=3,Lang!D119,IF(Select!$B$2048=4,Lang!E119))))</f>
        <v>Rola etansare horn IZOLEN - 0,31 x 5m</v>
      </c>
      <c r="B119" s="21" t="s">
        <v>87</v>
      </c>
      <c r="C119" s="21" t="s">
        <v>912</v>
      </c>
      <c r="D119" s="21" t="s">
        <v>913</v>
      </c>
      <c r="E119" s="21" t="s">
        <v>914</v>
      </c>
    </row>
    <row r="120" spans="1:5">
      <c r="A120" s="21" t="str">
        <f>IF(Select!$B$2048=1,Lang!B120,IF(Select!$B$2048=2,Lang!C120,IF(Select!$B$2048=3,Lang!D120,IF(Select!$B$2048=4,Lang!E120))))</f>
        <v>Rola adeziva aluminizata 50mm x 50m</v>
      </c>
      <c r="B120" s="21" t="s">
        <v>915</v>
      </c>
      <c r="C120" s="21" t="s">
        <v>916</v>
      </c>
      <c r="D120" s="21" t="s">
        <v>917</v>
      </c>
      <c r="E120" s="21" t="s">
        <v>918</v>
      </c>
    </row>
    <row r="121" spans="1:5">
      <c r="A121" s="21" t="str">
        <f>IF(Select!$B$2048=1,Lang!B121,IF(Select!$B$2048=2,Lang!C121,IF(Select!$B$2048=3,Lang!D121,IF(Select!$B$2048=4,Lang!E121))))</f>
        <v>Rola adeziva IZOBUTYL (pentru   CLICK )- 15mm x 60m</v>
      </c>
      <c r="B121" s="21" t="s">
        <v>264</v>
      </c>
      <c r="C121" s="21" t="s">
        <v>919</v>
      </c>
      <c r="D121" s="21" t="s">
        <v>920</v>
      </c>
      <c r="E121" s="21" t="s">
        <v>921</v>
      </c>
    </row>
    <row r="122" spans="1:5">
      <c r="A122" s="21" t="str">
        <f>IF(Select!$B$2048=1,Lang!B122,IF(Select!$B$2048=2,Lang!C122,IF(Select!$B$2048=3,Lang!D122,IF(Select!$B$2048=4,Lang!E122))))</f>
        <v>BANDA EXPANDABILA IZOLANT 30X8/4</v>
      </c>
      <c r="B122" s="21" t="s">
        <v>922</v>
      </c>
      <c r="C122" s="21" t="s">
        <v>923</v>
      </c>
      <c r="D122" s="21" t="s">
        <v>924</v>
      </c>
      <c r="E122" s="21" t="s">
        <v>925</v>
      </c>
    </row>
    <row r="123" spans="1:5">
      <c r="A123" s="21" t="str">
        <f>IF(Select!$B$2048=1,Lang!B123,IF(Select!$B$2048=2,Lang!C123,IF(Select!$B$2048=3,Lang!D123,IF(Select!$B$2048=4,Lang!E123))))</f>
        <v>Banda universala autoadeziva (dolie), lungime 1000 mm</v>
      </c>
      <c r="B123" s="21" t="s">
        <v>241</v>
      </c>
      <c r="C123" s="21" t="s">
        <v>926</v>
      </c>
      <c r="D123" s="21" t="s">
        <v>927</v>
      </c>
      <c r="E123" s="21" t="s">
        <v>928</v>
      </c>
    </row>
    <row r="124" spans="1:5">
      <c r="A124" s="21" t="str">
        <f>IF(Select!$B$2048=1,Lang!B124,IF(Select!$B$2048=2,Lang!C124,IF(Select!$B$2048=3,Lang!D124,IF(Select!$B$2048=4,Lang!E124))))</f>
        <v>Banda etansare Wtb Clasic ETM (coama),  lungime 1100 mm</v>
      </c>
      <c r="B124" s="21" t="s">
        <v>317</v>
      </c>
      <c r="C124" s="21" t="s">
        <v>929</v>
      </c>
      <c r="D124" s="21" t="s">
        <v>930</v>
      </c>
      <c r="E124" s="21" t="s">
        <v>931</v>
      </c>
    </row>
    <row r="125" spans="1:5">
      <c r="A125" s="21" t="str">
        <f>IF(Select!$B$2048=1,Lang!B125,IF(Select!$B$2048=2,Lang!C125,IF(Select!$B$2048=3,Lang!D125,IF(Select!$B$2048=4,Lang!E125))))</f>
        <v>Banda etansare Wtb Gladiator /Plus ETM (coama),  lungime 1100 mm</v>
      </c>
      <c r="B125" s="21" t="s">
        <v>242</v>
      </c>
      <c r="C125" s="21" t="s">
        <v>932</v>
      </c>
      <c r="D125" s="21" t="s">
        <v>933</v>
      </c>
      <c r="E125" s="21" t="s">
        <v>934</v>
      </c>
    </row>
    <row r="126" spans="1:5">
      <c r="A126" s="21" t="str">
        <f>IF(Select!$B$2048=1,Lang!B126,IF(Select!$B$2048=2,Lang!C126,IF(Select!$B$2048=3,Lang!D126,IF(Select!$B$2048=4,Lang!E126))))</f>
        <v>Banda etansare Wtb Colosseum ETM (coama),  lungime 1100 mm</v>
      </c>
      <c r="B126" s="21" t="s">
        <v>270</v>
      </c>
      <c r="C126" s="21" t="s">
        <v>935</v>
      </c>
      <c r="D126" s="21" t="s">
        <v>936</v>
      </c>
      <c r="E126" s="21" t="s">
        <v>937</v>
      </c>
    </row>
    <row r="127" spans="1:5">
      <c r="A127" s="21" t="str">
        <f>IF(Select!$B$2048=1,Lang!B127,IF(Select!$B$2048=2,Lang!C127,IF(Select!$B$2048=3,Lang!D127,IF(Select!$B$2048=4,Lang!E127))))</f>
        <v>Banda etansare W18</v>
      </c>
      <c r="B127" s="21" t="s">
        <v>193</v>
      </c>
      <c r="C127" s="21" t="s">
        <v>938</v>
      </c>
      <c r="D127" s="21" t="s">
        <v>939</v>
      </c>
      <c r="E127" s="21" t="s">
        <v>940</v>
      </c>
    </row>
    <row r="128" spans="1:5">
      <c r="A128" s="21" t="str">
        <f>IF(Select!$B$2048=1,Lang!B128,IF(Select!$B$2048=2,Lang!C128,IF(Select!$B$2048=3,Lang!D128,IF(Select!$B$2048=4,Lang!E128))))</f>
        <v>Banda etansare W35</v>
      </c>
      <c r="B128" s="21" t="s">
        <v>88</v>
      </c>
      <c r="C128" s="21" t="s">
        <v>941</v>
      </c>
      <c r="D128" s="21" t="s">
        <v>942</v>
      </c>
      <c r="E128" s="21" t="s">
        <v>943</v>
      </c>
    </row>
    <row r="129" spans="1:5">
      <c r="A129" s="21" t="str">
        <f>IF(Select!$B$2048=1,Lang!B129,IF(Select!$B$2048=2,Lang!C129,IF(Select!$B$2048=3,Lang!D129,IF(Select!$B$2048=4,Lang!E129))))</f>
        <v>Banda etansare W60 SET</v>
      </c>
      <c r="B129" s="21" t="s">
        <v>318</v>
      </c>
      <c r="C129" s="21" t="s">
        <v>944</v>
      </c>
      <c r="D129" s="21" t="s">
        <v>945</v>
      </c>
      <c r="E129" s="21" t="s">
        <v>946</v>
      </c>
    </row>
    <row r="130" spans="1:5">
      <c r="A130" s="21" t="str">
        <f>IF(Select!$B$2048=1,Lang!B130,IF(Select!$B$2048=2,Lang!C130,IF(Select!$B$2048=3,Lang!D130,IF(Select!$B$2048=4,Lang!E130))))</f>
        <v>Piepten plastic anti-pasari 1000x60 mm</v>
      </c>
      <c r="B130" s="21" t="s">
        <v>89</v>
      </c>
      <c r="C130" s="21" t="s">
        <v>947</v>
      </c>
      <c r="D130" s="21" t="s">
        <v>948</v>
      </c>
      <c r="E130" s="21" t="s">
        <v>949</v>
      </c>
    </row>
    <row r="131" spans="1:5">
      <c r="A131" s="21" t="str">
        <f>IF(Select!$B$2048=1,Lang!B131,IF(Select!$B$2048=2,Lang!C131,IF(Select!$B$2048=3,Lang!D131,IF(Select!$B$2048=4,Lang!E131))))</f>
        <v>Silicon Aquafix</v>
      </c>
      <c r="B131" s="21" t="s">
        <v>319</v>
      </c>
      <c r="C131" s="21" t="s">
        <v>950</v>
      </c>
      <c r="D131" s="21" t="s">
        <v>951</v>
      </c>
      <c r="E131" s="21" t="s">
        <v>952</v>
      </c>
    </row>
    <row r="132" spans="1:5">
      <c r="A132" s="21" t="str">
        <f>IF(Select!$B$2048=1,Lang!B132,IF(Select!$B$2048=2,Lang!C132,IF(Select!$B$2048=3,Lang!D132,IF(Select!$B$2048=4,Lang!E132))))</f>
        <v>Vopsea retus+pensula 20 ml</v>
      </c>
      <c r="B132" s="21" t="s">
        <v>320</v>
      </c>
      <c r="C132" s="21" t="s">
        <v>953</v>
      </c>
      <c r="D132" s="21" t="s">
        <v>954</v>
      </c>
      <c r="E132" s="21" t="s">
        <v>955</v>
      </c>
    </row>
    <row r="133" spans="1:5">
      <c r="A133" s="21" t="str">
        <f>IF(Select!$B$2048=1,Lang!B133,IF(Select!$B$2048=2,Lang!C133,IF(Select!$B$2048=3,Lang!D133,IF(Select!$B$2048=4,Lang!E133))))</f>
        <v>Ventilatie Acoperis CLASIC RAL 7024, 8017 si 9005 ( alte RAL-uri comanda )</v>
      </c>
      <c r="B133" s="21" t="s">
        <v>1759</v>
      </c>
      <c r="C133" s="21" t="s">
        <v>956</v>
      </c>
      <c r="D133" s="21" t="s">
        <v>957</v>
      </c>
      <c r="E133" s="21" t="s">
        <v>958</v>
      </c>
    </row>
    <row r="134" spans="1:5">
      <c r="A134" s="21" t="str">
        <f>IF(Select!$B$2048=1,Lang!B134,IF(Select!$B$2048=2,Lang!C134,IF(Select!$B$2048=3,Lang!D134,IF(Select!$B$2048=4,Lang!E134))))</f>
        <v>Ventilatie Invelitori plate RAL 7024 si 9005 ( alte RAL-uri comanda )</v>
      </c>
      <c r="B134" s="21" t="s">
        <v>1760</v>
      </c>
      <c r="C134" s="21" t="s">
        <v>959</v>
      </c>
      <c r="D134" s="21" t="s">
        <v>960</v>
      </c>
      <c r="E134" s="21" t="s">
        <v>961</v>
      </c>
    </row>
    <row r="135" spans="1:5">
      <c r="A135" s="21" t="str">
        <f>IF(Select!$B$2048=1,Lang!B135,IF(Select!$B$2048=2,Lang!C135,IF(Select!$B$2048=3,Lang!D135,IF(Select!$B$2048=4,Lang!E135))))</f>
        <v>Ventilatie Acoperis COLOSSEUM</v>
      </c>
      <c r="B135" s="21" t="s">
        <v>321</v>
      </c>
      <c r="C135" s="21" t="s">
        <v>962</v>
      </c>
      <c r="D135" s="21" t="s">
        <v>963</v>
      </c>
      <c r="E135" s="21" t="s">
        <v>964</v>
      </c>
    </row>
    <row r="136" spans="1:5">
      <c r="A136" s="21" t="str">
        <f>IF(Select!$B$2048=1,Lang!B136,IF(Select!$B$2048=2,Lang!C136,IF(Select!$B$2048=3,Lang!D136,IF(Select!$B$2048=4,Lang!E136))))</f>
        <v>Ventilatie Acoperis GLADIATOR</v>
      </c>
      <c r="B136" s="21" t="s">
        <v>322</v>
      </c>
      <c r="C136" s="21" t="s">
        <v>965</v>
      </c>
      <c r="D136" s="21" t="s">
        <v>966</v>
      </c>
      <c r="E136" s="21" t="s">
        <v>967</v>
      </c>
    </row>
    <row r="137" spans="1:5">
      <c r="A137" s="21" t="str">
        <f>IF(Select!$B$2048=1,Lang!B137,IF(Select!$B$2048=2,Lang!C137,IF(Select!$B$2048=3,Lang!D137,IF(Select!$B$2048=4,Lang!E137))))</f>
        <v>Ventilatie Acoperis PLUS</v>
      </c>
      <c r="B137" s="21" t="s">
        <v>323</v>
      </c>
      <c r="C137" s="21" t="s">
        <v>968</v>
      </c>
      <c r="D137" s="21" t="s">
        <v>969</v>
      </c>
      <c r="E137" s="21" t="s">
        <v>970</v>
      </c>
    </row>
    <row r="138" spans="1:5">
      <c r="A138" s="21" t="str">
        <f>IF(Select!$B$2048=1,Lang!B138,IF(Select!$B$2048=2,Lang!C138,IF(Select!$B$2048=3,Lang!D138,IF(Select!$B$2048=4,Lang!E138))))</f>
        <v>Ventilatie Acoperis CARDINAL</v>
      </c>
      <c r="B138" s="21" t="s">
        <v>440</v>
      </c>
      <c r="C138" s="21" t="s">
        <v>1478</v>
      </c>
      <c r="D138" s="21" t="s">
        <v>1479</v>
      </c>
      <c r="E138" s="21" t="s">
        <v>1480</v>
      </c>
    </row>
    <row r="139" spans="1:5">
      <c r="A139" s="21" t="str">
        <f>IF(Select!$B$2048=1,Lang!B139,IF(Select!$B$2048=2,Lang!C139,IF(Select!$B$2048=3,Lang!D139,IF(Select!$B$2048=4,Lang!E139))))</f>
        <v>Racord flexibil aerisire</v>
      </c>
      <c r="B139" s="21" t="s">
        <v>243</v>
      </c>
      <c r="C139" s="21" t="s">
        <v>971</v>
      </c>
      <c r="D139" s="21" t="s">
        <v>972</v>
      </c>
      <c r="E139" s="21" t="s">
        <v>973</v>
      </c>
    </row>
    <row r="140" spans="1:5">
      <c r="A140" s="21" t="str">
        <f>IF(Select!$B$2048=1,Lang!B140,IF(Select!$B$2048=2,Lang!C140,IF(Select!$B$2048=3,Lang!D140,IF(Select!$B$2048=4,Lang!E140))))</f>
        <v>Manson etansare MF 1 ( 6-60mm )</v>
      </c>
      <c r="B140" s="21" t="s">
        <v>324</v>
      </c>
      <c r="C140" s="21" t="s">
        <v>974</v>
      </c>
      <c r="D140" s="21" t="s">
        <v>975</v>
      </c>
      <c r="E140" s="21" t="s">
        <v>976</v>
      </c>
    </row>
    <row r="141" spans="1:5">
      <c r="A141" s="21" t="str">
        <f>IF(Select!$B$2048=1,Lang!B141,IF(Select!$B$2048=2,Lang!C141,IF(Select!$B$2048=3,Lang!D141,IF(Select!$B$2048=4,Lang!E141))))</f>
        <v>Manson etansare MF 2 ( 32-82 mm )</v>
      </c>
      <c r="B141" s="21" t="s">
        <v>325</v>
      </c>
      <c r="C141" s="21" t="s">
        <v>977</v>
      </c>
      <c r="D141" s="21" t="s">
        <v>978</v>
      </c>
      <c r="E141" s="21" t="s">
        <v>979</v>
      </c>
    </row>
    <row r="142" spans="1:5">
      <c r="A142" s="21" t="str">
        <f>IF(Select!$B$2048=1,Lang!B142,IF(Select!$B$2048=2,Lang!C142,IF(Select!$B$2048=3,Lang!D142,IF(Select!$B$2048=4,Lang!E142))))</f>
        <v>Manson etansare MF 3 ( 6-110 mm)</v>
      </c>
      <c r="B142" s="21" t="s">
        <v>326</v>
      </c>
      <c r="C142" s="21" t="s">
        <v>980</v>
      </c>
      <c r="D142" s="21" t="s">
        <v>981</v>
      </c>
      <c r="E142" s="21" t="s">
        <v>982</v>
      </c>
    </row>
    <row r="143" spans="1:5">
      <c r="A143" s="21" t="str">
        <f>IF(Select!$B$2048=1,Lang!B143,IF(Select!$B$2048=2,Lang!C143,IF(Select!$B$2048=3,Lang!D143,IF(Select!$B$2048=4,Lang!E143))))</f>
        <v>Manson etansare MF 4 ( 75-150mm )</v>
      </c>
      <c r="B143" s="21" t="s">
        <v>327</v>
      </c>
      <c r="C143" s="21" t="s">
        <v>983</v>
      </c>
      <c r="D143" s="21" t="s">
        <v>984</v>
      </c>
      <c r="E143" s="21" t="s">
        <v>985</v>
      </c>
    </row>
    <row r="144" spans="1:5">
      <c r="A144" s="21" t="str">
        <f>IF(Select!$B$2048=1,Lang!B144,IF(Select!$B$2048=2,Lang!C144,IF(Select!$B$2048=3,Lang!D144,IF(Select!$B$2048=4,Lang!E144))))</f>
        <v>Manson etansare MF 5 ( 102-175mm )</v>
      </c>
      <c r="B144" s="21" t="s">
        <v>328</v>
      </c>
      <c r="C144" s="21" t="s">
        <v>986</v>
      </c>
      <c r="D144" s="21" t="s">
        <v>987</v>
      </c>
      <c r="E144" s="21" t="s">
        <v>988</v>
      </c>
    </row>
    <row r="145" spans="1:5">
      <c r="A145" s="21" t="str">
        <f>IF(Select!$B$2048=1,Lang!B145,IF(Select!$B$2048=2,Lang!C145,IF(Select!$B$2048=3,Lang!D145,IF(Select!$B$2048=4,Lang!E145))))</f>
        <v>Manson etansare MF 6 ( 125-230mm )</v>
      </c>
      <c r="B145" s="21" t="s">
        <v>329</v>
      </c>
      <c r="C145" s="21" t="s">
        <v>989</v>
      </c>
      <c r="D145" s="21" t="s">
        <v>990</v>
      </c>
      <c r="E145" s="21" t="s">
        <v>991</v>
      </c>
    </row>
    <row r="146" spans="1:5">
      <c r="A146" s="21" t="str">
        <f>IF(Select!$B$2048=1,Lang!B146,IF(Select!$B$2048=2,Lang!C146,IF(Select!$B$2048=3,Lang!D146,IF(Select!$B$2048=4,Lang!E146))))</f>
        <v>Manson etansare MF 8(175-330)</v>
      </c>
      <c r="B146" s="21" t="s">
        <v>330</v>
      </c>
      <c r="C146" s="21" t="s">
        <v>992</v>
      </c>
      <c r="D146" s="21" t="s">
        <v>993</v>
      </c>
      <c r="E146" s="21" t="s">
        <v>994</v>
      </c>
    </row>
    <row r="147" spans="1:5">
      <c r="A147" s="21" t="str">
        <f>IF(Select!$B$2048=1,Lang!B147,IF(Select!$B$2048=2,Lang!C147,IF(Select!$B$2048=3,Lang!D147,IF(Select!$B$2048=4,Lang!E147))))</f>
        <v>Manson etansare MF 9(240-475)</v>
      </c>
      <c r="B147" s="21" t="s">
        <v>331</v>
      </c>
      <c r="C147" s="21" t="s">
        <v>995</v>
      </c>
      <c r="D147" s="21" t="s">
        <v>996</v>
      </c>
      <c r="E147" s="21" t="s">
        <v>997</v>
      </c>
    </row>
    <row r="148" spans="1:5">
      <c r="A148" s="21" t="str">
        <f>IF(Select!$B$2048=1,Lang!B148,IF(Select!$B$2048=2,Lang!C148,IF(Select!$B$2048=3,Lang!D148,IF(Select!$B$2048=4,Lang!E148))))</f>
        <v xml:space="preserve">          Membrana anticondens ACOFORT M  115 gr/mp - 75mp</v>
      </c>
      <c r="B148" s="21" t="s">
        <v>1648</v>
      </c>
      <c r="C148" s="21" t="s">
        <v>1649</v>
      </c>
      <c r="D148" s="21" t="s">
        <v>1650</v>
      </c>
      <c r="E148" s="21" t="s">
        <v>1651</v>
      </c>
    </row>
    <row r="149" spans="1:5">
      <c r="A149" s="21" t="str">
        <f>IF(Select!$B$2048=1,Lang!B149,IF(Select!$B$2048=2,Lang!C149,IF(Select!$B$2048=3,Lang!D149,IF(Select!$B$2048=4,Lang!E149))))</f>
        <v xml:space="preserve">          Membrana anticondens ACOFORT M  100 gr/mp - 75mp</v>
      </c>
      <c r="B149" s="21" t="s">
        <v>1652</v>
      </c>
      <c r="C149" s="21" t="s">
        <v>1653</v>
      </c>
      <c r="D149" s="21" t="s">
        <v>1654</v>
      </c>
      <c r="E149" s="21" t="s">
        <v>1655</v>
      </c>
    </row>
    <row r="150" spans="1:5">
      <c r="A150" s="21" t="str">
        <f>IF(Select!$B$2048=1,Lang!B150,IF(Select!$B$2048=2,Lang!C150,IF(Select!$B$2048=3,Lang!D150,IF(Select!$B$2048=4,Lang!E150))))</f>
        <v>Rola adeziva IZOBUTYL (pentru   CLICK )- 15mm x 90m</v>
      </c>
      <c r="B150" s="21" t="s">
        <v>998</v>
      </c>
      <c r="C150" s="21" t="s">
        <v>999</v>
      </c>
      <c r="D150" s="21" t="s">
        <v>1000</v>
      </c>
      <c r="E150" s="21" t="s">
        <v>1001</v>
      </c>
    </row>
    <row r="151" spans="1:5">
      <c r="A151" s="21" t="str">
        <f>IF(Select!$B$2048=1,Lang!B151,IF(Select!$B$2048=2,Lang!C151,IF(Select!$B$2048=3,Lang!D151,IF(Select!$B$2048=4,Lang!E151))))</f>
        <v>Suruburi pentru acoperis</v>
      </c>
      <c r="B151" s="21" t="s">
        <v>92</v>
      </c>
      <c r="C151" s="21" t="s">
        <v>620</v>
      </c>
      <c r="D151" s="21" t="s">
        <v>621</v>
      </c>
      <c r="E151" s="21" t="s">
        <v>622</v>
      </c>
    </row>
    <row r="152" spans="1:5">
      <c r="A152" s="21" t="str">
        <f>IF(Select!$B$2048=1,Lang!B152,IF(Select!$B$2048=2,Lang!C152,IF(Select!$B$2048=3,Lang!D152,IF(Select!$B$2048=4,Lang!E152))))</f>
        <v>Surub 4,8*20 Zn</v>
      </c>
      <c r="B152" s="21" t="s">
        <v>94</v>
      </c>
      <c r="C152" s="21" t="s">
        <v>1002</v>
      </c>
      <c r="D152" s="21" t="s">
        <v>1003</v>
      </c>
      <c r="E152" s="21" t="s">
        <v>1004</v>
      </c>
    </row>
    <row r="153" spans="1:5">
      <c r="A153" s="21" t="str">
        <f>IF(Select!$B$2048=1,Lang!B153,IF(Select!$B$2048=2,Lang!C153,IF(Select!$B$2048=3,Lang!D153,IF(Select!$B$2048=4,Lang!E153))))</f>
        <v>Surub 4,8*35 Zn</v>
      </c>
      <c r="B153" s="21" t="s">
        <v>95</v>
      </c>
      <c r="C153" s="21" t="s">
        <v>1005</v>
      </c>
      <c r="D153" s="21" t="s">
        <v>1006</v>
      </c>
      <c r="E153" s="21" t="s">
        <v>1007</v>
      </c>
    </row>
    <row r="154" spans="1:5">
      <c r="A154" s="21" t="str">
        <f>IF(Select!$B$2048=1,Lang!B154,IF(Select!$B$2048=2,Lang!C154,IF(Select!$B$2048=3,Lang!D154,IF(Select!$B$2048=4,Lang!E154))))</f>
        <v>Surub 4,8*20 RAL</v>
      </c>
      <c r="B154" s="21" t="s">
        <v>338</v>
      </c>
      <c r="C154" s="21" t="s">
        <v>1008</v>
      </c>
      <c r="D154" s="21" t="s">
        <v>1009</v>
      </c>
      <c r="E154" s="21" t="s">
        <v>1010</v>
      </c>
    </row>
    <row r="155" spans="1:5">
      <c r="A155" s="21" t="str">
        <f>IF(Select!$B$2048=1,Lang!B155,IF(Select!$B$2048=2,Lang!C155,IF(Select!$B$2048=3,Lang!D155,IF(Select!$B$2048=4,Lang!E155))))</f>
        <v>Surub 4,8*35 RAL</v>
      </c>
      <c r="B155" s="21" t="s">
        <v>96</v>
      </c>
      <c r="C155" s="21" t="s">
        <v>1011</v>
      </c>
      <c r="D155" s="21" t="s">
        <v>1012</v>
      </c>
      <c r="E155" s="21" t="s">
        <v>1013</v>
      </c>
    </row>
    <row r="156" spans="1:5">
      <c r="A156" s="21" t="str">
        <f>IF(Select!$B$2048=1,Lang!B156,IF(Select!$B$2048=2,Lang!C156,IF(Select!$B$2048=3,Lang!D156,IF(Select!$B$2048=4,Lang!E156))))</f>
        <v>Surub 4,8*50 Zn</v>
      </c>
      <c r="B156" s="21" t="s">
        <v>93</v>
      </c>
      <c r="C156" s="21" t="s">
        <v>1014</v>
      </c>
      <c r="D156" s="21" t="s">
        <v>1015</v>
      </c>
      <c r="E156" s="21" t="s">
        <v>1016</v>
      </c>
    </row>
    <row r="157" spans="1:5">
      <c r="A157" s="21" t="str">
        <f>IF(Select!$B$2048=1,Lang!B157,IF(Select!$B$2048=2,Lang!C157,IF(Select!$B$2048=3,Lang!D157,IF(Select!$B$2048=4,Lang!E157))))</f>
        <v>Surub 4,8*50 RAL - 250 Buc/cutie</v>
      </c>
      <c r="B157" s="21" t="s">
        <v>1017</v>
      </c>
      <c r="C157" s="21" t="s">
        <v>1018</v>
      </c>
      <c r="D157" s="21" t="s">
        <v>1019</v>
      </c>
      <c r="E157" s="21" t="s">
        <v>1020</v>
      </c>
    </row>
    <row r="158" spans="1:5">
      <c r="A158" s="21" t="str">
        <f>IF(Select!$B$2048=1,Lang!B158,IF(Select!$B$2048=2,Lang!C158,IF(Select!$B$2048=3,Lang!D158,IF(Select!$B$2048=4,Lang!E158))))</f>
        <v>Surub 4,8*70 Zn</v>
      </c>
      <c r="B158" s="21" t="s">
        <v>97</v>
      </c>
      <c r="C158" s="21" t="s">
        <v>1021</v>
      </c>
      <c r="D158" s="21" t="s">
        <v>1022</v>
      </c>
      <c r="E158" s="21" t="s">
        <v>1023</v>
      </c>
    </row>
    <row r="159" spans="1:5">
      <c r="A159" s="21" t="str">
        <f>IF(Select!$B$2048=1,Lang!B159,IF(Select!$B$2048=2,Lang!C159,IF(Select!$B$2048=3,Lang!D159,IF(Select!$B$2048=4,Lang!E159))))</f>
        <v>Surub 4,8*70 RAL - 100 Buc/cutie</v>
      </c>
      <c r="B159" s="21" t="s">
        <v>1024</v>
      </c>
      <c r="C159" s="21" t="s">
        <v>1025</v>
      </c>
      <c r="D159" s="21" t="s">
        <v>1026</v>
      </c>
      <c r="E159" s="21" t="s">
        <v>1027</v>
      </c>
    </row>
    <row r="160" spans="1:5">
      <c r="A160" s="21" t="str">
        <f>IF(Select!$B$2048=1,Lang!B160,IF(Select!$B$2048=2,Lang!C160,IF(Select!$B$2048=3,Lang!D160,IF(Select!$B$2048=4,Lang!E160))))</f>
        <v xml:space="preserve">Surub Click 4.2 x 32 pt fixare in astereala </v>
      </c>
      <c r="B160" s="21" t="s">
        <v>337</v>
      </c>
      <c r="C160" s="21" t="s">
        <v>1028</v>
      </c>
      <c r="D160" s="21" t="s">
        <v>1029</v>
      </c>
      <c r="E160" s="21" t="s">
        <v>1030</v>
      </c>
    </row>
    <row r="161" spans="1:5">
      <c r="A161" s="21" t="str">
        <f>IF(Select!$B$2048=1,Lang!B161,IF(Select!$B$2048=2,Lang!C161,IF(Select!$B$2048=3,Lang!D161,IF(Select!$B$2048=4,Lang!E161))))</f>
        <v>Suruburi pentru metal W/OD14mm</v>
      </c>
      <c r="B161" s="21" t="s">
        <v>98</v>
      </c>
      <c r="C161" s="21" t="s">
        <v>623</v>
      </c>
      <c r="D161" s="21" t="s">
        <v>624</v>
      </c>
      <c r="E161" s="21" t="s">
        <v>625</v>
      </c>
    </row>
    <row r="162" spans="1:5">
      <c r="A162" s="21" t="str">
        <f>IF(Select!$B$2048=1,Lang!B162,IF(Select!$B$2048=2,Lang!C162,IF(Select!$B$2048=3,Lang!D162,IF(Select!$B$2048=4,Lang!E162))))</f>
        <v>Surub 4.8*19 CF 3mm Zn</v>
      </c>
      <c r="B162" s="21" t="s">
        <v>2581</v>
      </c>
      <c r="C162" s="21" t="s">
        <v>2582</v>
      </c>
      <c r="D162" s="21" t="s">
        <v>2583</v>
      </c>
      <c r="E162" s="21" t="s">
        <v>2584</v>
      </c>
    </row>
    <row r="163" spans="1:5">
      <c r="A163" s="21" t="str">
        <f>IF(Select!$B$2048=1,Lang!B163,IF(Select!$B$2048=2,Lang!C163,IF(Select!$B$2048=3,Lang!D163,IF(Select!$B$2048=4,Lang!E163))))</f>
        <v>Surub 4.8*19 CF3 RAL</v>
      </c>
      <c r="B163" s="21" t="s">
        <v>2588</v>
      </c>
      <c r="C163" s="21" t="s">
        <v>2587</v>
      </c>
      <c r="D163" s="21" t="s">
        <v>2586</v>
      </c>
      <c r="E163" s="21" t="s">
        <v>2585</v>
      </c>
    </row>
    <row r="164" spans="1:5">
      <c r="A164" s="21" t="str">
        <f>IF(Select!$B$2048=1,Lang!B164,IF(Select!$B$2048=2,Lang!C164,IF(Select!$B$2048=3,Lang!D164,IF(Select!$B$2048=4,Lang!E164))))</f>
        <v>Surub 4.8*16 CF3 RAL</v>
      </c>
      <c r="B164" s="21" t="s">
        <v>1712</v>
      </c>
      <c r="C164" s="21" t="s">
        <v>1713</v>
      </c>
      <c r="D164" s="21" t="s">
        <v>1714</v>
      </c>
      <c r="E164" s="21" t="s">
        <v>1715</v>
      </c>
    </row>
    <row r="165" spans="1:5">
      <c r="A165" s="21" t="str">
        <f>IF(Select!$B$2048=1,Lang!B165,IF(Select!$B$2048=2,Lang!C165,IF(Select!$B$2048=3,Lang!D165,IF(Select!$B$2048=4,Lang!E165))))</f>
        <v>Cheie tubulara 8mm</v>
      </c>
      <c r="B165" s="21" t="s">
        <v>99</v>
      </c>
      <c r="C165" s="21" t="s">
        <v>1031</v>
      </c>
      <c r="D165" s="21" t="s">
        <v>1032</v>
      </c>
      <c r="E165" s="21" t="s">
        <v>1033</v>
      </c>
    </row>
    <row r="166" spans="1:5">
      <c r="A166" s="21" t="str">
        <f>IF(Select!$B$2048=1,Lang!B166,IF(Select!$B$2048=2,Lang!C166,IF(Select!$B$2048=3,Lang!D166,IF(Select!$B$2048=4,Lang!E166))))</f>
        <v>materiale diverse</v>
      </c>
      <c r="B166" s="21" t="s">
        <v>1034</v>
      </c>
      <c r="C166" s="21" t="s">
        <v>1035</v>
      </c>
      <c r="D166" s="21" t="s">
        <v>1036</v>
      </c>
      <c r="E166" s="21" t="s">
        <v>1037</v>
      </c>
    </row>
    <row r="167" spans="1:5">
      <c r="A167" s="21" t="str">
        <f>IF(Select!$B$2048=1,Lang!B167,IF(Select!$B$2048=2,Lang!C167,IF(Select!$B$2048=3,Lang!D167,IF(Select!$B$2048=4,Lang!E167))))</f>
        <v>Denumire</v>
      </c>
      <c r="B167" s="21" t="s">
        <v>1038</v>
      </c>
      <c r="C167" s="21" t="s">
        <v>1039</v>
      </c>
      <c r="D167" s="21" t="s">
        <v>1040</v>
      </c>
      <c r="E167" s="21" t="s">
        <v>1041</v>
      </c>
    </row>
    <row r="168" spans="1:5">
      <c r="A168" s="21" t="str">
        <f>IF(Select!$B$2048=1,Lang!B168,IF(Select!$B$2048=2,Lang!C168,IF(Select!$B$2048=3,Lang!D168,IF(Select!$B$2048=4,Lang!E168))))</f>
        <v>Coama Click</v>
      </c>
      <c r="B168" s="21" t="s">
        <v>143</v>
      </c>
      <c r="C168" s="21" t="s">
        <v>1042</v>
      </c>
      <c r="D168" s="21" t="s">
        <v>1043</v>
      </c>
      <c r="E168" s="21" t="s">
        <v>1044</v>
      </c>
    </row>
    <row r="169" spans="1:5">
      <c r="A169" s="21" t="str">
        <f>IF(Select!$B$2048=1,Lang!B169,IF(Select!$B$2048=2,Lang!C169,IF(Select!$B$2048=3,Lang!D169,IF(Select!$B$2048=4,Lang!E169))))</f>
        <v xml:space="preserve">Coltar perete Click </v>
      </c>
      <c r="B169" s="21" t="s">
        <v>144</v>
      </c>
      <c r="C169" s="21" t="s">
        <v>1045</v>
      </c>
      <c r="D169" s="21" t="s">
        <v>1046</v>
      </c>
      <c r="E169" s="21" t="s">
        <v>1047</v>
      </c>
    </row>
    <row r="170" spans="1:5">
      <c r="A170" s="21" t="str">
        <f>IF(Select!$B$2048=1,Lang!B170,IF(Select!$B$2048=2,Lang!C170,IF(Select!$B$2048=3,Lang!D170,IF(Select!$B$2048=4,Lang!E170))))</f>
        <v>Dolie</v>
      </c>
      <c r="B170" s="21" t="s">
        <v>145</v>
      </c>
      <c r="C170" s="21" t="s">
        <v>1048</v>
      </c>
      <c r="D170" s="21" t="s">
        <v>703</v>
      </c>
      <c r="E170" s="21" t="s">
        <v>1049</v>
      </c>
    </row>
    <row r="171" spans="1:5">
      <c r="A171" s="21" t="str">
        <f>IF(Select!$B$2048=1,Lang!B171,IF(Select!$B$2048=2,Lang!C171,IF(Select!$B$2048=3,Lang!D171,IF(Select!$B$2048=4,Lang!E171))))</f>
        <v>Pazie  Click</v>
      </c>
      <c r="B171" s="21" t="s">
        <v>146</v>
      </c>
      <c r="C171" s="21" t="s">
        <v>1050</v>
      </c>
      <c r="D171" s="21" t="s">
        <v>1051</v>
      </c>
      <c r="E171" s="21" t="s">
        <v>1052</v>
      </c>
    </row>
    <row r="172" spans="1:5">
      <c r="A172" s="21" t="str">
        <f>IF(Select!$B$2048=1,Lang!B172,IF(Select!$B$2048=2,Lang!C172,IF(Select!$B$2048=3,Lang!D172,IF(Select!$B$2048=4,Lang!E172))))</f>
        <v>Racord Calcan Click</v>
      </c>
      <c r="B172" s="21" t="s">
        <v>147</v>
      </c>
      <c r="C172" s="21" t="s">
        <v>1053</v>
      </c>
      <c r="D172" s="21" t="s">
        <v>1054</v>
      </c>
      <c r="E172" s="21" t="s">
        <v>1055</v>
      </c>
    </row>
    <row r="173" spans="1:5">
      <c r="A173" s="21" t="str">
        <f>IF(Select!$B$2048=1,Lang!B173,IF(Select!$B$2048=2,Lang!C173,IF(Select!$B$2048=3,Lang!D173,IF(Select!$B$2048=4,Lang!E173))))</f>
        <v>Semicoama Click</v>
      </c>
      <c r="B173" s="21" t="s">
        <v>148</v>
      </c>
      <c r="C173" s="21" t="s">
        <v>1056</v>
      </c>
      <c r="D173" s="21" t="s">
        <v>1057</v>
      </c>
      <c r="E173" s="21" t="s">
        <v>1058</v>
      </c>
    </row>
    <row r="174" spans="1:5">
      <c r="A174" s="21" t="str">
        <f>IF(Select!$B$2048=1,Lang!B174,IF(Select!$B$2048=2,Lang!C174,IF(Select!$B$2048=3,Lang!D174,IF(Select!$B$2048=4,Lang!E174))))</f>
        <v>Sort  Click streasina</v>
      </c>
      <c r="B174" s="21" t="s">
        <v>149</v>
      </c>
      <c r="C174" s="21" t="s">
        <v>1059</v>
      </c>
      <c r="D174" s="21" t="s">
        <v>1060</v>
      </c>
      <c r="E174" s="21" t="s">
        <v>1061</v>
      </c>
    </row>
    <row r="175" spans="1:5">
      <c r="A175" s="21" t="str">
        <f>IF(Select!$B$2048=1,Lang!B175,IF(Select!$B$2048=2,Lang!C175,IF(Select!$B$2048=3,Lang!D175,IF(Select!$B$2048=4,Lang!E175))))</f>
        <v>Sort imbinare Click</v>
      </c>
      <c r="B175" s="21" t="s">
        <v>150</v>
      </c>
      <c r="C175" s="21" t="s">
        <v>1062</v>
      </c>
      <c r="D175" s="21" t="s">
        <v>1063</v>
      </c>
      <c r="E175" s="21" t="s">
        <v>1064</v>
      </c>
    </row>
    <row r="176" spans="1:5">
      <c r="A176" s="21" t="str">
        <f>IF(Select!$B$2048=1,Lang!B176,IF(Select!$B$2048=2,Lang!C176,IF(Select!$B$2048=3,Lang!D176,IF(Select!$B$2048=4,Lang!E176))))</f>
        <v>Rupere panta interior Click</v>
      </c>
      <c r="B176" s="21" t="s">
        <v>151</v>
      </c>
      <c r="C176" s="21" t="s">
        <v>1065</v>
      </c>
      <c r="D176" s="21" t="s">
        <v>1066</v>
      </c>
      <c r="E176" s="21" t="s">
        <v>1067</v>
      </c>
    </row>
    <row r="177" spans="1:5">
      <c r="A177" s="21" t="str">
        <f>IF(Select!$B$2048=1,Lang!B177,IF(Select!$B$2048=2,Lang!C177,IF(Select!$B$2048=3,Lang!D177,IF(Select!$B$2048=4,Lang!E177))))</f>
        <v>Rupere panta exerior Click</v>
      </c>
      <c r="B177" s="21" t="s">
        <v>152</v>
      </c>
      <c r="C177" s="21" t="s">
        <v>1068</v>
      </c>
      <c r="D177" s="21" t="s">
        <v>1069</v>
      </c>
      <c r="E177" s="21" t="s">
        <v>1070</v>
      </c>
    </row>
    <row r="178" spans="1:5">
      <c r="A178" s="21" t="str">
        <f>IF(Select!$B$2048=1,Lang!B178,IF(Select!$B$2048=2,Lang!C178,IF(Select!$B$2048=3,Lang!D178,IF(Select!$B$2048=4,Lang!E178))))</f>
        <v>Suport inchideri Click</v>
      </c>
      <c r="B178" s="21" t="s">
        <v>153</v>
      </c>
      <c r="C178" s="21" t="s">
        <v>1071</v>
      </c>
      <c r="D178" s="21" t="s">
        <v>1072</v>
      </c>
      <c r="E178" s="21" t="s">
        <v>1073</v>
      </c>
    </row>
    <row r="179" spans="1:5">
      <c r="A179" s="21" t="str">
        <f>IF(Select!$B$2048=1,Lang!B179,IF(Select!$B$2048=2,Lang!C179,IF(Select!$B$2048=3,Lang!D179,IF(Select!$B$2048=4,Lang!E179))))</f>
        <v>Parazapada grilaj tigla metalica 2M</v>
      </c>
      <c r="B179" s="21" t="s">
        <v>272</v>
      </c>
      <c r="C179" s="21" t="s">
        <v>726</v>
      </c>
      <c r="D179" s="21" t="s">
        <v>1074</v>
      </c>
      <c r="E179" s="21" t="s">
        <v>728</v>
      </c>
    </row>
    <row r="180" spans="1:5">
      <c r="A180" s="21" t="str">
        <f>IF(Select!$B$2048=1,Lang!B180,IF(Select!$B$2048=2,Lang!C180,IF(Select!$B$2048=3,Lang!D180,IF(Select!$B$2048=4,Lang!E180))))</f>
        <v>Piesa conectare grilaj</v>
      </c>
      <c r="B180" s="21" t="s">
        <v>273</v>
      </c>
      <c r="C180" s="21" t="s">
        <v>729</v>
      </c>
      <c r="D180" s="21" t="s">
        <v>1075</v>
      </c>
      <c r="E180" s="21" t="s">
        <v>731</v>
      </c>
    </row>
    <row r="181" spans="1:5">
      <c r="A181" s="21" t="str">
        <f>IF(Select!$B$2048=1,Lang!B181,IF(Select!$B$2048=2,Lang!C181,IF(Select!$B$2048=3,Lang!D181,IF(Select!$B$2048=4,Lang!E181))))</f>
        <v>Suport parazapada tigla metalica</v>
      </c>
      <c r="B181" s="21" t="s">
        <v>274</v>
      </c>
      <c r="C181" s="21" t="s">
        <v>732</v>
      </c>
      <c r="D181" s="21" t="s">
        <v>1076</v>
      </c>
      <c r="E181" s="21" t="s">
        <v>734</v>
      </c>
    </row>
    <row r="182" spans="1:5">
      <c r="A182" s="21" t="str">
        <f>IF(Select!$B$2048=1,Lang!B182,IF(Select!$B$2048=2,Lang!C182,IF(Select!$B$2048=3,Lang!D182,IF(Select!$B$2048=4,Lang!E182))))</f>
        <v>CLEMA FIXA</v>
      </c>
      <c r="B182" s="21" t="s">
        <v>1077</v>
      </c>
      <c r="C182" s="21" t="s">
        <v>1078</v>
      </c>
      <c r="D182" s="21" t="s">
        <v>1079</v>
      </c>
      <c r="E182" s="21" t="s">
        <v>1080</v>
      </c>
    </row>
    <row r="183" spans="1:5">
      <c r="A183" s="21" t="str">
        <f>IF(Select!$B$2048=1,Lang!B183,IF(Select!$B$2048=2,Lang!C183,IF(Select!$B$2048=3,Lang!D183,IF(Select!$B$2048=4,Lang!E183))))</f>
        <v>CLEMA MOBILA</v>
      </c>
      <c r="B183" s="21" t="s">
        <v>1081</v>
      </c>
      <c r="C183" s="21" t="s">
        <v>1082</v>
      </c>
      <c r="D183" s="21" t="s">
        <v>1083</v>
      </c>
      <c r="E183" s="21" t="s">
        <v>1084</v>
      </c>
    </row>
    <row r="184" spans="1:5">
      <c r="A184" s="21" t="str">
        <f>IF(Select!$B$2048=1,Lang!B184,IF(Select!$B$2048=2,Lang!C184,IF(Select!$B$2048=3,Lang!D184,IF(Select!$B$2048=4,Lang!E184))))</f>
        <v xml:space="preserve">Suport Parazapada Click </v>
      </c>
      <c r="B184" s="21" t="s">
        <v>1696</v>
      </c>
      <c r="C184" s="21" t="s">
        <v>1085</v>
      </c>
      <c r="D184" s="21" t="s">
        <v>1086</v>
      </c>
      <c r="E184" s="21" t="s">
        <v>734</v>
      </c>
    </row>
    <row r="185" spans="1:5">
      <c r="A185" s="21" t="str">
        <f>IF(Select!$B$2048=1,Lang!B185,IF(Select!$B$2048=2,Lang!C185,IF(Select!$B$2048=3,Lang!D185,IF(Select!$B$2048=4,Lang!E185))))</f>
        <v>Bara parazapada click 2m</v>
      </c>
      <c r="B185" s="21" t="s">
        <v>1695</v>
      </c>
      <c r="C185" s="21" t="s">
        <v>1697</v>
      </c>
      <c r="D185" s="21" t="s">
        <v>1087</v>
      </c>
      <c r="E185" s="21" t="s">
        <v>1088</v>
      </c>
    </row>
    <row r="186" spans="1:5">
      <c r="A186" s="21" t="str">
        <f>IF(Select!$B$2048=1,Lang!B186,IF(Select!$B$2048=2,Lang!C186,IF(Select!$B$2048=3,Lang!D186,IF(Select!$B$2048=4,Lang!E186))))</f>
        <v>Conector bara</v>
      </c>
      <c r="B186" s="21" t="s">
        <v>1694</v>
      </c>
      <c r="C186" s="21" t="s">
        <v>1698</v>
      </c>
      <c r="D186" s="21" t="s">
        <v>1089</v>
      </c>
      <c r="E186" s="21" t="s">
        <v>1090</v>
      </c>
    </row>
    <row r="187" spans="1:5">
      <c r="A187" s="21" t="str">
        <f>IF(Select!$B$2048=1,Lang!B187,IF(Select!$B$2048=2,Lang!C187,IF(Select!$B$2048=3,Lang!D187,IF(Select!$B$2048=4,Lang!E187))))</f>
        <v xml:space="preserve">Capac bara </v>
      </c>
      <c r="B187" s="21" t="s">
        <v>1693</v>
      </c>
      <c r="C187" s="21" t="s">
        <v>1699</v>
      </c>
      <c r="D187" s="21" t="s">
        <v>1091</v>
      </c>
      <c r="E187" s="21" t="s">
        <v>1092</v>
      </c>
    </row>
    <row r="188" spans="1:5" hidden="1">
      <c r="A188" s="21" t="str">
        <f>IF(Select!$B$2048=1,Lang!B188,IF(Select!$B$2048=2,Lang!C188,IF(Select!$B$2048=3,Lang!D188,IF(Select!$B$2048=4,Lang!E188))))</f>
        <v>Fereastra</v>
      </c>
      <c r="B188" s="21" t="s">
        <v>128</v>
      </c>
      <c r="C188" s="21" t="s">
        <v>1093</v>
      </c>
      <c r="D188" s="21" t="s">
        <v>1094</v>
      </c>
      <c r="E188" s="21" t="s">
        <v>1095</v>
      </c>
    </row>
    <row r="189" spans="1:5" hidden="1">
      <c r="A189" s="21" t="str">
        <f>IF(Select!$B$2048=1,Lang!B189,IF(Select!$B$2048=2,Lang!C189,IF(Select!$B$2048=3,Lang!D189,IF(Select!$B$2048=4,Lang!E189))))</f>
        <v>Rama</v>
      </c>
      <c r="B189" s="21" t="s">
        <v>111</v>
      </c>
      <c r="C189" s="21" t="s">
        <v>1096</v>
      </c>
      <c r="D189" s="21" t="s">
        <v>1097</v>
      </c>
      <c r="E189" s="21" t="s">
        <v>1098</v>
      </c>
    </row>
    <row r="190" spans="1:5" hidden="1">
      <c r="A190" s="21" t="str">
        <f>IF(Select!$B$2048=1,Lang!B190,IF(Select!$B$2048=2,Lang!C190,IF(Select!$B$2048=3,Lang!D190,IF(Select!$B$2048=4,Lang!E190))))</f>
        <v>Trapa</v>
      </c>
      <c r="B190" s="21" t="s">
        <v>1099</v>
      </c>
      <c r="C190" s="21" t="s">
        <v>1100</v>
      </c>
      <c r="D190" s="21" t="s">
        <v>1101</v>
      </c>
      <c r="E190" s="21" t="s">
        <v>1102</v>
      </c>
    </row>
    <row r="191" spans="1:5" hidden="1">
      <c r="A191" s="21" t="str">
        <f>IF(Select!$B$2048=1,Lang!B191,IF(Select!$B$2048=2,Lang!C191,IF(Select!$B$2048=3,Lang!D191,IF(Select!$B$2048=4,Lang!E191))))</f>
        <v>Accesorii</v>
      </c>
      <c r="B191" s="21" t="s">
        <v>52</v>
      </c>
      <c r="C191" s="21" t="s">
        <v>1103</v>
      </c>
      <c r="D191" s="21" t="s">
        <v>1104</v>
      </c>
      <c r="E191" s="21" t="s">
        <v>1105</v>
      </c>
    </row>
    <row r="192" spans="1:5" hidden="1">
      <c r="A192" s="21" t="str">
        <f>IF(Select!$B$2048=1,Lang!B192,IF(Select!$B$2048=2,Lang!C192,IF(Select!$B$2048=3,Lang!D192,IF(Select!$B$2048=4,Lang!E192))))</f>
        <v>Scara Dakea Step</v>
      </c>
      <c r="B192" s="21" t="s">
        <v>1106</v>
      </c>
      <c r="C192" s="21" t="s">
        <v>1107</v>
      </c>
      <c r="D192" s="21" t="s">
        <v>1108</v>
      </c>
      <c r="E192" s="21" t="s">
        <v>1109</v>
      </c>
    </row>
    <row r="193" spans="1:5" hidden="1">
      <c r="A193" s="21" t="str">
        <f>IF(Select!$B$2048=1,Lang!B193,IF(Select!$B$2048=2,Lang!C193,IF(Select!$B$2048=3,Lang!D193,IF(Select!$B$2048=4,Lang!E193))))</f>
        <v>Scara Dakea Max</v>
      </c>
      <c r="B193" s="21" t="s">
        <v>1110</v>
      </c>
      <c r="C193" s="21" t="s">
        <v>1111</v>
      </c>
      <c r="D193" s="21" t="s">
        <v>1112</v>
      </c>
      <c r="E193" s="21" t="s">
        <v>1113</v>
      </c>
    </row>
    <row r="194" spans="1:5" hidden="1">
      <c r="A194" s="21" t="str">
        <f>IF(Select!$B$2048=1,Lang!B194,IF(Select!$B$2048=2,Lang!C194,IF(Select!$B$2048=3,Lang!D194,IF(Select!$B$2048=4,Lang!E194))))</f>
        <v>Trapa Acces</v>
      </c>
      <c r="B194" s="21" t="s">
        <v>1114</v>
      </c>
      <c r="C194" s="21" t="s">
        <v>1115</v>
      </c>
      <c r="D194" s="21" t="s">
        <v>1116</v>
      </c>
      <c r="E194" s="21" t="s">
        <v>1117</v>
      </c>
    </row>
    <row r="195" spans="1:5" hidden="1">
      <c r="A195" s="21" t="str">
        <f>IF(Select!$B$2048=1,Lang!B195,IF(Select!$B$2048=2,Lang!C195,IF(Select!$B$2048=3,Lang!D195,IF(Select!$B$2048=4,Lang!E195))))</f>
        <v>Trapa acces flex</v>
      </c>
      <c r="B195" s="21" t="s">
        <v>1118</v>
      </c>
      <c r="C195" s="21" t="s">
        <v>1119</v>
      </c>
      <c r="D195" s="21" t="s">
        <v>1120</v>
      </c>
      <c r="E195" s="21" t="s">
        <v>1121</v>
      </c>
    </row>
    <row r="196" spans="1:5" hidden="1">
      <c r="A196" s="21" t="str">
        <f>IF(Select!$B$2048=1,Lang!B196,IF(Select!$B$2048=2,Lang!C196,IF(Select!$B$2048=3,Lang!D196,IF(Select!$B$2048=4,Lang!E196))))</f>
        <v>Rulou interior DUA</v>
      </c>
      <c r="B196" s="21" t="s">
        <v>1122</v>
      </c>
      <c r="C196" s="21" t="s">
        <v>1123</v>
      </c>
      <c r="D196" s="21" t="s">
        <v>1124</v>
      </c>
      <c r="E196" s="21" t="s">
        <v>1125</v>
      </c>
    </row>
    <row r="197" spans="1:5" hidden="1">
      <c r="A197" s="21" t="str">
        <f>IF(Select!$B$2048=1,Lang!B197,IF(Select!$B$2048=2,Lang!C197,IF(Select!$B$2048=3,Lang!D197,IF(Select!$B$2048=4,Lang!E197))))</f>
        <v>Rulou interior RHA</v>
      </c>
      <c r="B197" s="21" t="s">
        <v>1126</v>
      </c>
      <c r="C197" s="21" t="s">
        <v>1127</v>
      </c>
      <c r="D197" s="21" t="s">
        <v>1128</v>
      </c>
      <c r="E197" s="21" t="s">
        <v>1129</v>
      </c>
    </row>
    <row r="198" spans="1:5" hidden="1">
      <c r="A198" s="21" t="str">
        <f>IF(Select!$B$2048=1,Lang!B198,IF(Select!$B$2048=2,Lang!C198,IF(Select!$B$2048=3,Lang!D198,IF(Select!$B$2048=4,Lang!E198))))</f>
        <v>Rulou exterior MIA</v>
      </c>
      <c r="B198" s="21" t="s">
        <v>1130</v>
      </c>
      <c r="C198" s="21" t="s">
        <v>1131</v>
      </c>
      <c r="D198" s="21" t="s">
        <v>1132</v>
      </c>
      <c r="E198" s="21" t="s">
        <v>1133</v>
      </c>
    </row>
    <row r="199" spans="1:5" hidden="1">
      <c r="A199" s="21" t="str">
        <f>IF(Select!$B$2048=1,Lang!B199,IF(Select!$B$2048=2,Lang!C199,IF(Select!$B$2048=3,Lang!D199,IF(Select!$B$2048=4,Lang!E199))))</f>
        <v>Dispozitiv inchidere</v>
      </c>
      <c r="B199" s="21" t="s">
        <v>1134</v>
      </c>
      <c r="C199" s="21" t="s">
        <v>1135</v>
      </c>
      <c r="D199" s="21" t="s">
        <v>1136</v>
      </c>
      <c r="E199" s="21" t="s">
        <v>1137</v>
      </c>
    </row>
    <row r="200" spans="1:5" hidden="1">
      <c r="A200" s="21" t="str">
        <f>IF(Select!$B$2048=1,Lang!B200,IF(Select!$B$2048=2,Lang!C200,IF(Select!$B$2048=3,Lang!D200,IF(Select!$B$2048=4,Lang!E200))))</f>
        <v>0.5 Lucios</v>
      </c>
      <c r="B200" s="21" t="s">
        <v>155</v>
      </c>
      <c r="C200" s="21" t="s">
        <v>1138</v>
      </c>
      <c r="D200" s="21" t="s">
        <v>1139</v>
      </c>
      <c r="E200" s="21" t="s">
        <v>1140</v>
      </c>
    </row>
    <row r="201" spans="1:5" hidden="1">
      <c r="A201" s="21" t="str">
        <f>IF(Select!$B$2048=1,Lang!B201,IF(Select!$B$2048=2,Lang!C201,IF(Select!$B$2048=3,Lang!D201,IF(Select!$B$2048=4,Lang!E201))))</f>
        <v>0.5 Mat</v>
      </c>
      <c r="B201" s="21" t="s">
        <v>156</v>
      </c>
      <c r="C201" s="21" t="s">
        <v>372</v>
      </c>
      <c r="D201" s="21" t="s">
        <v>1141</v>
      </c>
      <c r="E201" s="21" t="s">
        <v>1142</v>
      </c>
    </row>
    <row r="202" spans="1:5" hidden="1">
      <c r="A202" s="21" t="str">
        <f>IF(Select!$B$2048=1,Lang!B202,IF(Select!$B$2048=2,Lang!C202,IF(Select!$B$2048=3,Lang!D202,IF(Select!$B$2048=4,Lang!E202))))</f>
        <v>0.45 Mat</v>
      </c>
      <c r="B202" s="21" t="s">
        <v>261</v>
      </c>
      <c r="C202" s="21" t="s">
        <v>371</v>
      </c>
      <c r="D202" s="21" t="s">
        <v>1143</v>
      </c>
      <c r="E202" s="21" t="s">
        <v>1144</v>
      </c>
    </row>
    <row r="203" spans="1:5" hidden="1">
      <c r="A203" s="21" t="str">
        <f>IF(Select!$B$2048=1,Lang!B203,IF(Select!$B$2048=2,Lang!C203,IF(Select!$B$2048=3,Lang!D203,IF(Select!$B$2048=4,Lang!E203))))</f>
        <v>0.5 Neomat 30</v>
      </c>
      <c r="B203" s="21" t="s">
        <v>427</v>
      </c>
      <c r="C203" s="21" t="s">
        <v>374</v>
      </c>
      <c r="D203" s="21" t="s">
        <v>1145</v>
      </c>
      <c r="E203" s="21" t="s">
        <v>374</v>
      </c>
    </row>
    <row r="204" spans="1:5" hidden="1">
      <c r="A204" s="21" t="str">
        <f>IF(Select!$B$2048=1,Lang!B204,IF(Select!$B$2048=2,Lang!C204,IF(Select!$B$2048=3,Lang!D204,IF(Select!$B$2048=4,Lang!E204))))</f>
        <v>0.5 Suprem 50</v>
      </c>
      <c r="B204" s="21" t="s">
        <v>489</v>
      </c>
      <c r="C204" s="21" t="s">
        <v>373</v>
      </c>
      <c r="D204" s="21" t="s">
        <v>1146</v>
      </c>
      <c r="E204" s="21" t="s">
        <v>373</v>
      </c>
    </row>
    <row r="205" spans="1:5" hidden="1">
      <c r="A205" s="21" t="str">
        <f>IF(Select!$B$2048=1,Lang!B205,IF(Select!$B$2048=2,Lang!C205,IF(Select!$B$2048=3,Lang!D205,IF(Select!$B$2048=4,Lang!E205))))</f>
        <v>MP:</v>
      </c>
      <c r="B205" s="21" t="s">
        <v>167</v>
      </c>
      <c r="C205" s="21" t="s">
        <v>1147</v>
      </c>
      <c r="D205" s="21" t="s">
        <v>1148</v>
      </c>
      <c r="E205" s="21" t="s">
        <v>1149</v>
      </c>
    </row>
    <row r="206" spans="1:5" hidden="1">
      <c r="A206" s="21" t="str">
        <f>IF(Select!$B$2048=1,Lang!B206,IF(Select!$B$2048=2,Lang!C206,IF(Select!$B$2048=3,Lang!D206,IF(Select!$B$2048=4,Lang!E206))))</f>
        <v>euro/mp:</v>
      </c>
      <c r="B206" s="21" t="s">
        <v>168</v>
      </c>
      <c r="C206" s="21" t="s">
        <v>1150</v>
      </c>
      <c r="D206" s="21" t="s">
        <v>1151</v>
      </c>
      <c r="E206" s="21" t="s">
        <v>1152</v>
      </c>
    </row>
    <row r="207" spans="1:5" hidden="1">
      <c r="A207" s="21" t="str">
        <f>IF(Select!$B$2048=1,Lang!B207,IF(Select!$B$2048=2,Lang!C207,IF(Select!$B$2048=3,Lang!D207,IF(Select!$B$2048=4,Lang!E207))))</f>
        <v>Lucios</v>
      </c>
      <c r="B207" s="21" t="s">
        <v>53</v>
      </c>
      <c r="C207" s="21" t="s">
        <v>1153</v>
      </c>
      <c r="D207" s="21" t="s">
        <v>1154</v>
      </c>
      <c r="E207" s="21" t="s">
        <v>1155</v>
      </c>
    </row>
    <row r="208" spans="1:5" hidden="1">
      <c r="A208" s="21" t="str">
        <f>IF(Select!$B$2048=1,Lang!B208,IF(Select!$B$2048=2,Lang!C208,IF(Select!$B$2048=3,Lang!D208,IF(Select!$B$2048=4,Lang!E208))))</f>
        <v>Mat</v>
      </c>
      <c r="B208" s="21" t="s">
        <v>9</v>
      </c>
      <c r="C208" s="21" t="s">
        <v>9</v>
      </c>
      <c r="D208" s="21" t="s">
        <v>1156</v>
      </c>
      <c r="E208" s="21" t="s">
        <v>1157</v>
      </c>
    </row>
    <row r="209" spans="1:5" hidden="1">
      <c r="A209" s="21" t="str">
        <f>IF(Select!$B$2048=1,Lang!B209,IF(Select!$B$2048=2,Lang!C209,IF(Select!$B$2048=3,Lang!D209,IF(Select!$B$2048=4,Lang!E209))))</f>
        <v>Zincat</v>
      </c>
      <c r="B209" s="21" t="s">
        <v>54</v>
      </c>
      <c r="C209" s="21" t="s">
        <v>1158</v>
      </c>
      <c r="D209" s="21" t="s">
        <v>1159</v>
      </c>
      <c r="E209" s="21" t="s">
        <v>1160</v>
      </c>
    </row>
    <row r="210" spans="1:5" hidden="1">
      <c r="A210" s="21" t="str">
        <f>IF(Select!$B$2048=1,Lang!B210,IF(Select!$B$2048=2,Lang!C210,IF(Select!$B$2048=3,Lang!D210,IF(Select!$B$2048=4,Lang!E210))))</f>
        <v>Imitatie de lemn DP</v>
      </c>
      <c r="B210" s="21" t="s">
        <v>1161</v>
      </c>
      <c r="C210" s="21" t="s">
        <v>1162</v>
      </c>
      <c r="D210" s="21" t="s">
        <v>1163</v>
      </c>
      <c r="E210" s="21" t="s">
        <v>1164</v>
      </c>
    </row>
    <row r="211" spans="1:5" hidden="1">
      <c r="A211" s="21" t="str">
        <f>IF(Select!$B$2048=1,Lang!B211,IF(Select!$B$2048=2,Lang!C211,IF(Select!$B$2048=3,Lang!D211,IF(Select!$B$2048=4,Lang!E211))))</f>
        <v>Imitatie de lemn</v>
      </c>
      <c r="B211" s="21" t="s">
        <v>1624</v>
      </c>
      <c r="C211" s="21" t="s">
        <v>1625</v>
      </c>
      <c r="D211" s="21" t="s">
        <v>1626</v>
      </c>
      <c r="E211" s="21" t="s">
        <v>1165</v>
      </c>
    </row>
    <row r="212" spans="1:5" hidden="1">
      <c r="A212" s="21" t="str">
        <f>IF(Select!$B$2048=1,Lang!B212,IF(Select!$B$2048=2,Lang!C212,IF(Select!$B$2048=3,Lang!D212,IF(Select!$B$2048=4,Lang!E212))))</f>
        <v>L</v>
      </c>
      <c r="B212" s="21" t="s">
        <v>306</v>
      </c>
      <c r="C212" s="21" t="s">
        <v>1166</v>
      </c>
      <c r="D212" s="21" t="s">
        <v>1167</v>
      </c>
      <c r="E212" s="21" t="s">
        <v>1168</v>
      </c>
    </row>
    <row r="213" spans="1:5" hidden="1">
      <c r="A213" s="21" t="str">
        <f>IF(Select!$B$2048=1,Lang!B213,IF(Select!$B$2048=2,Lang!C213,IF(Select!$B$2048=3,Lang!D213,IF(Select!$B$2048=4,Lang!E213))))</f>
        <v>Neomat</v>
      </c>
      <c r="B213" s="21" t="s">
        <v>1169</v>
      </c>
      <c r="C213" s="21" t="s">
        <v>1169</v>
      </c>
      <c r="D213" s="21" t="s">
        <v>1170</v>
      </c>
      <c r="E213" s="21" t="s">
        <v>1169</v>
      </c>
    </row>
    <row r="214" spans="1:5" hidden="1">
      <c r="A214" s="21" t="str">
        <f>IF(Select!$B$2048=1,Lang!B214,IF(Select!$B$2048=2,Lang!C214,IF(Select!$B$2048=3,Lang!D214,IF(Select!$B$2048=4,Lang!E214))))</f>
        <v>Suprem</v>
      </c>
      <c r="B214" s="21" t="s">
        <v>1171</v>
      </c>
      <c r="C214" s="21" t="s">
        <v>1171</v>
      </c>
      <c r="D214" s="21" t="s">
        <v>1172</v>
      </c>
      <c r="E214" s="21" t="s">
        <v>1171</v>
      </c>
    </row>
    <row r="215" spans="1:5" hidden="1">
      <c r="A215" s="21" t="str">
        <f>IF(Select!$B$2048=1,Lang!B215,IF(Select!$B$2048=2,Lang!C215,IF(Select!$B$2048=3,Lang!D215,IF(Select!$B$2048=4,Lang!E215))))</f>
        <v>Aluzinc</v>
      </c>
      <c r="B215" s="21" t="s">
        <v>71</v>
      </c>
      <c r="C215" s="21" t="s">
        <v>1173</v>
      </c>
      <c r="D215" s="21" t="s">
        <v>790</v>
      </c>
      <c r="E215" s="21" t="s">
        <v>1174</v>
      </c>
    </row>
    <row r="216" spans="1:5" hidden="1">
      <c r="A216" s="21" t="str">
        <f>IF(Select!$B$2048=1,Lang!B216,IF(Select!$B$2048=2,Lang!C216,IF(Select!$B$2048=3,Lang!D216,IF(Select!$B$2048=4,Lang!E216))))</f>
        <v>Prevopsit Lucios</v>
      </c>
      <c r="B216" s="21" t="s">
        <v>165</v>
      </c>
      <c r="C216" s="21" t="s">
        <v>1175</v>
      </c>
      <c r="D216" s="21" t="s">
        <v>1176</v>
      </c>
      <c r="E216" s="21" t="s">
        <v>1177</v>
      </c>
    </row>
    <row r="217" spans="1:5" hidden="1">
      <c r="A217" s="21" t="str">
        <f>IF(Select!$B$2048=1,Lang!B217,IF(Select!$B$2048=2,Lang!C217,IF(Select!$B$2048=3,Lang!D217,IF(Select!$B$2048=4,Lang!E217))))</f>
        <v>Prevopsit Mat</v>
      </c>
      <c r="B217" s="21" t="s">
        <v>166</v>
      </c>
      <c r="C217" s="21" t="s">
        <v>1178</v>
      </c>
      <c r="D217" s="21" t="s">
        <v>1179</v>
      </c>
      <c r="E217" s="21" t="s">
        <v>1180</v>
      </c>
    </row>
    <row r="218" spans="1:5" hidden="1">
      <c r="A218" s="21" t="str">
        <f>IF(Select!$B$2048=1,Lang!B218,IF(Select!$B$2048=2,Lang!C218,IF(Select!$B$2048=3,Lang!D218,IF(Select!$B$2048=4,Lang!E218))))</f>
        <v>Dublu prevopsit</v>
      </c>
      <c r="B218" s="21" t="s">
        <v>164</v>
      </c>
      <c r="C218" s="21" t="s">
        <v>1181</v>
      </c>
      <c r="D218" s="21" t="s">
        <v>1182</v>
      </c>
      <c r="E218" s="21" t="s">
        <v>1183</v>
      </c>
    </row>
    <row r="219" spans="1:5" hidden="1">
      <c r="A219" s="21" t="str">
        <f>IF(Select!$B$2048=1,Lang!B219,IF(Select!$B$2048=2,Lang!C219,IF(Select!$B$2048=3,Lang!D219,IF(Select!$B$2048=4,Lang!E219))))</f>
        <v>Accesorii</v>
      </c>
      <c r="B219" s="21" t="s">
        <v>52</v>
      </c>
      <c r="C219" s="21" t="s">
        <v>1103</v>
      </c>
      <c r="D219" s="21" t="s">
        <v>1104</v>
      </c>
      <c r="E219" s="21" t="s">
        <v>1105</v>
      </c>
    </row>
    <row r="220" spans="1:5" hidden="1">
      <c r="A220" s="21" t="str">
        <f>IF(Select!$B$2048=1,Lang!B220,IF(Select!$B$2048=2,Lang!C220,IF(Select!$B$2048=3,Lang!D220,IF(Select!$B$2048=4,Lang!E220))))</f>
        <v>Sipca de gard</v>
      </c>
      <c r="B220" s="21" t="s">
        <v>1184</v>
      </c>
      <c r="C220" s="21" t="s">
        <v>1185</v>
      </c>
      <c r="D220" s="21" t="s">
        <v>1186</v>
      </c>
      <c r="E220" s="21" t="s">
        <v>640</v>
      </c>
    </row>
    <row r="221" spans="1:5" hidden="1">
      <c r="A221" s="21" t="str">
        <f>IF(Select!$B$2048=1,Lang!B221,IF(Select!$B$2048=2,Lang!C221,IF(Select!$B$2048=3,Lang!D221,IF(Select!$B$2048=4,Lang!E221))))</f>
        <v>Membrane</v>
      </c>
      <c r="B221" s="21" t="s">
        <v>90</v>
      </c>
      <c r="C221" s="21" t="s">
        <v>1187</v>
      </c>
      <c r="D221" s="21" t="s">
        <v>1188</v>
      </c>
      <c r="E221" s="21" t="s">
        <v>1189</v>
      </c>
    </row>
    <row r="222" spans="1:5" hidden="1">
      <c r="A222" s="21" t="str">
        <f>IF(Select!$B$2048=1,Lang!B222,IF(Select!$B$2048=2,Lang!C222,IF(Select!$B$2048=3,Lang!D222,IF(Select!$B$2048=4,Lang!E222))))</f>
        <v>Suruburi</v>
      </c>
      <c r="B222" s="21" t="s">
        <v>91</v>
      </c>
      <c r="C222" s="21" t="s">
        <v>1190</v>
      </c>
      <c r="D222" s="21" t="s">
        <v>1191</v>
      </c>
      <c r="E222" s="21" t="s">
        <v>1192</v>
      </c>
    </row>
    <row r="223" spans="1:5" hidden="1">
      <c r="A223" s="21" t="str">
        <f>IF(Select!$B$2048=1,Lang!B223,IF(Select!$B$2048=2,Lang!C223,IF(Select!$B$2048=3,Lang!D223,IF(Select!$B$2048=4,Lang!E223))))</f>
        <v>Tabla plana</v>
      </c>
      <c r="B223" s="21" t="s">
        <v>171</v>
      </c>
      <c r="C223" s="21" t="s">
        <v>1193</v>
      </c>
      <c r="D223" s="21" t="s">
        <v>679</v>
      </c>
      <c r="E223" s="21" t="s">
        <v>680</v>
      </c>
    </row>
    <row r="224" spans="1:5" hidden="1">
      <c r="A224" s="21" t="str">
        <f>IF(Select!$B$2048=1,Lang!B224,IF(Select!$B$2048=2,Lang!C224,IF(Select!$B$2048=3,Lang!D224,IF(Select!$B$2048=4,Lang!E224))))</f>
        <v>Fereastra Dakea</v>
      </c>
      <c r="B224" s="21" t="s">
        <v>1194</v>
      </c>
      <c r="C224" s="21" t="s">
        <v>1195</v>
      </c>
      <c r="D224" s="21" t="s">
        <v>1196</v>
      </c>
      <c r="E224" s="21" t="s">
        <v>1197</v>
      </c>
    </row>
    <row r="225" spans="1:5" hidden="1">
      <c r="A225" s="21" t="str">
        <f>IF(Select!$B$2048=1,Lang!B225,IF(Select!$B$2048=2,Lang!C225,IF(Select!$B$2048=3,Lang!D225,IF(Select!$B$2048=4,Lang!E225))))</f>
        <v>Accesorii Dakea</v>
      </c>
      <c r="B225" s="21" t="s">
        <v>133</v>
      </c>
      <c r="C225" s="21" t="s">
        <v>1198</v>
      </c>
      <c r="D225" s="21" t="s">
        <v>1199</v>
      </c>
      <c r="E225" s="21" t="s">
        <v>1200</v>
      </c>
    </row>
    <row r="226" spans="1:5" hidden="1">
      <c r="A226" s="21" t="str">
        <f>IF(Select!$B$2048=1,Lang!B226,IF(Select!$B$2048=2,Lang!C226,IF(Select!$B$2048=3,Lang!D226,IF(Select!$B$2048=4,Lang!E226))))</f>
        <v>Ferestre Rooflite</v>
      </c>
      <c r="B226" s="21" t="s">
        <v>138</v>
      </c>
      <c r="C226" s="21" t="s">
        <v>1201</v>
      </c>
      <c r="D226" s="21" t="s">
        <v>1202</v>
      </c>
      <c r="E226" s="21" t="s">
        <v>1203</v>
      </c>
    </row>
    <row r="227" spans="1:5" hidden="1">
      <c r="A227" s="21" t="str">
        <f>IF(Select!$B$2048=1,Lang!B227,IF(Select!$B$2048=2,Lang!C227,IF(Select!$B$2048=3,Lang!D227,IF(Select!$B$2048=4,Lang!E227))))</f>
        <v>Ferestre Balio</v>
      </c>
      <c r="B227" s="21" t="s">
        <v>1204</v>
      </c>
      <c r="C227" s="21" t="s">
        <v>1205</v>
      </c>
      <c r="D227" s="21" t="s">
        <v>1206</v>
      </c>
      <c r="E227" s="21" t="s">
        <v>1207</v>
      </c>
    </row>
    <row r="228" spans="1:5" hidden="1">
      <c r="A228" s="21" t="str">
        <f>IF(Select!$B$2048=1,Lang!B228,IF(Select!$B$2048=2,Lang!C228,IF(Select!$B$2048=3,Lang!D228,IF(Select!$B$2048=4,Lang!E228))))</f>
        <v>Tabla click</v>
      </c>
      <c r="B228" s="21" t="s">
        <v>1208</v>
      </c>
      <c r="C228" s="21" t="s">
        <v>1209</v>
      </c>
      <c r="D228" s="21" t="s">
        <v>1210</v>
      </c>
      <c r="E228" s="21" t="s">
        <v>1211</v>
      </c>
    </row>
    <row r="229" spans="1:5" hidden="1">
      <c r="A229" s="21" t="str">
        <f>IF(Select!$B$2048=1,Lang!B229,IF(Select!$B$2048=2,Lang!C229,IF(Select!$B$2048=3,Lang!D229,IF(Select!$B$2048=4,Lang!E229))))</f>
        <v>Accesorii click</v>
      </c>
      <c r="B229" s="21" t="s">
        <v>1212</v>
      </c>
      <c r="C229" s="21" t="s">
        <v>1213</v>
      </c>
      <c r="D229" s="21" t="s">
        <v>1214</v>
      </c>
      <c r="E229" s="21" t="s">
        <v>1215</v>
      </c>
    </row>
    <row r="230" spans="1:5" hidden="1">
      <c r="A230" s="21" t="str">
        <f>IF(Select!$B$2048=1,Lang!B230,IF(Select!$B$2048=2,Lang!C230,IF(Select!$B$2048=3,Lang!D230,IF(Select!$B$2048=4,Lang!E230))))</f>
        <v>Tabla cutata</v>
      </c>
      <c r="B230" s="21" t="s">
        <v>1216</v>
      </c>
      <c r="C230" s="21" t="s">
        <v>1217</v>
      </c>
      <c r="D230" s="21" t="s">
        <v>1218</v>
      </c>
      <c r="E230" s="21" t="s">
        <v>1219</v>
      </c>
    </row>
    <row r="231" spans="1:5" hidden="1">
      <c r="A231" s="21" t="str">
        <f>IF(Select!$B$2048=1,Lang!B231,IF(Select!$B$2048=2,Lang!C231,IF(Select!$B$2048=3,Lang!D231,IF(Select!$B$2048=4,Lang!E231))))</f>
        <v>Minirulou</v>
      </c>
      <c r="B231" s="21" t="s">
        <v>163</v>
      </c>
      <c r="C231" s="21" t="s">
        <v>1220</v>
      </c>
      <c r="D231" s="21" t="s">
        <v>1221</v>
      </c>
      <c r="E231" s="21" t="s">
        <v>644</v>
      </c>
    </row>
    <row r="232" spans="1:5" hidden="1">
      <c r="A232" s="21" t="str">
        <f>IF(Select!$B$2048=1,Lang!B232,IF(Select!$B$2048=2,Lang!C232,IF(Select!$B$2048=3,Lang!D232,IF(Select!$B$2048=4,Lang!E232))))</f>
        <v>Borduri speciale color</v>
      </c>
      <c r="B232" s="21" t="s">
        <v>1222</v>
      </c>
      <c r="C232" s="21" t="s">
        <v>1223</v>
      </c>
      <c r="D232" s="21" t="s">
        <v>1224</v>
      </c>
      <c r="E232" s="21" t="s">
        <v>1225</v>
      </c>
    </row>
    <row r="233" spans="1:5" hidden="1">
      <c r="A233" s="21" t="str">
        <f>IF(Select!$B$2048=1,Lang!B233,IF(Select!$B$2048=2,Lang!C233,IF(Select!$B$2048=3,Lang!D233,IF(Select!$B$2048=4,Lang!E233))))</f>
        <v>Borduri speciale zincate</v>
      </c>
      <c r="B233" s="21" t="s">
        <v>558</v>
      </c>
      <c r="C233" s="21" t="s">
        <v>1226</v>
      </c>
      <c r="D233" s="21" t="s">
        <v>1227</v>
      </c>
      <c r="E233" s="21" t="s">
        <v>1228</v>
      </c>
    </row>
    <row r="234" spans="1:5" hidden="1">
      <c r="A234" s="21" t="str">
        <f>IF(Select!$B$2048=1,Lang!B234,IF(Select!$B$2048=2,Lang!C234,IF(Select!$B$2048=3,Lang!D234,IF(Select!$B$2048=4,Lang!E234))))</f>
        <v>Drenaj</v>
      </c>
      <c r="B234" s="21" t="s">
        <v>68</v>
      </c>
      <c r="C234" s="21" t="s">
        <v>858</v>
      </c>
      <c r="D234" s="21" t="s">
        <v>1229</v>
      </c>
      <c r="E234" s="21" t="s">
        <v>1230</v>
      </c>
    </row>
    <row r="235" spans="1:5" hidden="1">
      <c r="A235" s="21" t="str">
        <f>IF(Select!$B$2048=1,Lang!B235,IF(Select!$B$2048=2,Lang!C235,IF(Select!$B$2048=3,Lang!D235,IF(Select!$B$2048=4,Lang!E235))))</f>
        <v>Discount tigla metalica</v>
      </c>
      <c r="B235" s="21" t="s">
        <v>1231</v>
      </c>
      <c r="C235" s="21" t="s">
        <v>1232</v>
      </c>
      <c r="D235" s="21" t="s">
        <v>1233</v>
      </c>
      <c r="E235" s="21" t="s">
        <v>1234</v>
      </c>
    </row>
    <row r="236" spans="1:5" hidden="1">
      <c r="A236" s="21" t="str">
        <f>IF(Select!$B$2048=1,Lang!B236,IF(Select!$B$2048=2,Lang!C236,IF(Select!$B$2048=3,Lang!D236,IF(Select!$B$2048=4,Lang!E236))))</f>
        <v>Discount Drenaj</v>
      </c>
      <c r="B236" s="21" t="s">
        <v>1235</v>
      </c>
      <c r="C236" s="21" t="s">
        <v>1236</v>
      </c>
      <c r="D236" s="21" t="s">
        <v>1237</v>
      </c>
      <c r="E236" s="21" t="s">
        <v>1238</v>
      </c>
    </row>
    <row r="237" spans="1:5" hidden="1">
      <c r="A237" s="21" t="str">
        <f>IF(Select!$B$2048=1,Lang!B237,IF(Select!$B$2048=2,Lang!C237,IF(Select!$B$2048=3,Lang!D237,IF(Select!$B$2048=4,Lang!E237))))</f>
        <v>MIC</v>
      </c>
      <c r="B237" s="21" t="s">
        <v>281</v>
      </c>
      <c r="C237" s="21" t="s">
        <v>1239</v>
      </c>
      <c r="D237" s="21" t="s">
        <v>1240</v>
      </c>
      <c r="E237" s="21" t="s">
        <v>1241</v>
      </c>
    </row>
    <row r="238" spans="1:5" hidden="1">
      <c r="A238" s="21" t="str">
        <f>IF(Select!$B$2048=1,Lang!B238,IF(Select!$B$2048=2,Lang!C238,IF(Select!$B$2048=3,Lang!D238,IF(Select!$B$2048=4,Lang!E238))))</f>
        <v>MARE</v>
      </c>
      <c r="B238" s="21" t="s">
        <v>280</v>
      </c>
      <c r="C238" s="21" t="s">
        <v>1242</v>
      </c>
      <c r="D238" s="21" t="s">
        <v>1243</v>
      </c>
      <c r="E238" s="21" t="s">
        <v>1244</v>
      </c>
    </row>
    <row r="239" spans="1:5" hidden="1">
      <c r="A239" s="21" t="str">
        <f>IF(Select!$B$2048=1,Lang!B239,IF(Select!$B$2048=2,Lang!C239,IF(Select!$B$2048=3,Lang!D239,IF(Select!$B$2048=4,Lang!E239))))</f>
        <v>Adaos tigla metalica</v>
      </c>
      <c r="B239" s="21" t="s">
        <v>1245</v>
      </c>
      <c r="C239" s="21" t="s">
        <v>1246</v>
      </c>
      <c r="D239" s="21" t="s">
        <v>1247</v>
      </c>
      <c r="E239" s="21" t="s">
        <v>1248</v>
      </c>
    </row>
    <row r="240" spans="1:5" hidden="1">
      <c r="A240" s="21" t="str">
        <f>IF(Select!$B$2048=1,Lang!B240,IF(Select!$B$2048=2,Lang!C240,IF(Select!$B$2048=3,Lang!D240,IF(Select!$B$2048=4,Lang!E240))))</f>
        <v>LUCIOS 0.35</v>
      </c>
      <c r="B240" s="21" t="s">
        <v>366</v>
      </c>
      <c r="C240" s="21" t="s">
        <v>1249</v>
      </c>
      <c r="D240" s="21" t="s">
        <v>1250</v>
      </c>
      <c r="E240" s="21" t="s">
        <v>1251</v>
      </c>
    </row>
    <row r="241" spans="1:5" hidden="1">
      <c r="A241" s="21" t="str">
        <f>IF(Select!$B$2048=1,Lang!B241,IF(Select!$B$2048=2,Lang!C241,IF(Select!$B$2048=3,Lang!D241,IF(Select!$B$2048=4,Lang!E241))))</f>
        <v>LUCIOS 0.4</v>
      </c>
      <c r="B241" s="21" t="s">
        <v>367</v>
      </c>
      <c r="C241" s="21" t="s">
        <v>1252</v>
      </c>
      <c r="D241" s="21" t="s">
        <v>1253</v>
      </c>
      <c r="E241" s="21" t="s">
        <v>1254</v>
      </c>
    </row>
    <row r="242" spans="1:5" hidden="1">
      <c r="A242" s="21" t="str">
        <f>IF(Select!$B$2048=1,Lang!B242,IF(Select!$B$2048=2,Lang!C242,IF(Select!$B$2048=3,Lang!D242,IF(Select!$B$2048=4,Lang!E242))))</f>
        <v>LUCIOS 0.45</v>
      </c>
      <c r="B242" s="21" t="s">
        <v>368</v>
      </c>
      <c r="C242" s="21" t="s">
        <v>1255</v>
      </c>
      <c r="D242" s="21" t="s">
        <v>1256</v>
      </c>
      <c r="E242" s="21" t="s">
        <v>1257</v>
      </c>
    </row>
    <row r="243" spans="1:5" hidden="1">
      <c r="A243" s="21" t="str">
        <f>IF(Select!$B$2048=1,Lang!B243,IF(Select!$B$2048=2,Lang!C243,IF(Select!$B$2048=3,Lang!D243,IF(Select!$B$2048=4,Lang!E243))))</f>
        <v>LUCIOS 0.5</v>
      </c>
      <c r="B243" s="21" t="s">
        <v>369</v>
      </c>
      <c r="C243" s="21" t="s">
        <v>1138</v>
      </c>
      <c r="D243" s="21" t="s">
        <v>1139</v>
      </c>
      <c r="E243" s="21" t="s">
        <v>1140</v>
      </c>
    </row>
    <row r="244" spans="1:5" hidden="1">
      <c r="A244" s="21" t="str">
        <f>IF(Select!$B$2048=1,Lang!B244,IF(Select!$B$2048=2,Lang!C244,IF(Select!$B$2048=3,Lang!D244,IF(Select!$B$2048=4,Lang!E244))))</f>
        <v>MAT 0.4</v>
      </c>
      <c r="B244" s="21" t="s">
        <v>370</v>
      </c>
      <c r="C244" s="21" t="s">
        <v>370</v>
      </c>
      <c r="D244" s="21" t="s">
        <v>1258</v>
      </c>
      <c r="E244" s="21" t="s">
        <v>1259</v>
      </c>
    </row>
    <row r="245" spans="1:5" hidden="1">
      <c r="A245" s="21" t="str">
        <f>IF(Select!$B$2048=1,Lang!B245,IF(Select!$B$2048=2,Lang!C245,IF(Select!$B$2048=3,Lang!D245,IF(Select!$B$2048=4,Lang!E245))))</f>
        <v>MAT 0.45</v>
      </c>
      <c r="B245" s="21" t="s">
        <v>371</v>
      </c>
      <c r="C245" s="21" t="s">
        <v>371</v>
      </c>
      <c r="D245" s="21" t="s">
        <v>1143</v>
      </c>
      <c r="E245" s="21" t="s">
        <v>1144</v>
      </c>
    </row>
    <row r="246" spans="1:5" hidden="1">
      <c r="A246" s="21" t="str">
        <f>IF(Select!$B$2048=1,Lang!B246,IF(Select!$B$2048=2,Lang!C246,IF(Select!$B$2048=3,Lang!D246,IF(Select!$B$2048=4,Lang!E246))))</f>
        <v>MAT 0.5</v>
      </c>
      <c r="B246" s="21" t="s">
        <v>372</v>
      </c>
      <c r="C246" s="21" t="s">
        <v>372</v>
      </c>
      <c r="D246" s="21" t="s">
        <v>1141</v>
      </c>
      <c r="E246" s="21" t="s">
        <v>1142</v>
      </c>
    </row>
    <row r="247" spans="1:5" hidden="1">
      <c r="A247" s="21" t="str">
        <f>IF(Select!$B$2048=1,Lang!B247,IF(Select!$B$2048=2,Lang!C247,IF(Select!$B$2048=3,Lang!D247,IF(Select!$B$2048=4,Lang!E247))))</f>
        <v>SUPREM 50 0.5</v>
      </c>
      <c r="B247" s="21" t="s">
        <v>373</v>
      </c>
      <c r="C247" s="21" t="s">
        <v>373</v>
      </c>
      <c r="D247" s="21" t="s">
        <v>1146</v>
      </c>
      <c r="E247" s="21" t="s">
        <v>373</v>
      </c>
    </row>
    <row r="248" spans="1:5" hidden="1">
      <c r="A248" s="21" t="str">
        <f>IF(Select!$B$2048=1,Lang!B248,IF(Select!$B$2048=2,Lang!C248,IF(Select!$B$2048=3,Lang!D248,IF(Select!$B$2048=4,Lang!E248))))</f>
        <v>NEOMAT 30 0.5</v>
      </c>
      <c r="B248" s="21" t="s">
        <v>374</v>
      </c>
      <c r="C248" s="21" t="s">
        <v>374</v>
      </c>
      <c r="D248" s="21" t="s">
        <v>1145</v>
      </c>
      <c r="E248" s="21" t="s">
        <v>374</v>
      </c>
    </row>
    <row r="249" spans="1:5" hidden="1">
      <c r="A249" s="21" t="str">
        <f>IF(Select!$B$2048=1,Lang!B249,IF(Select!$B$2048=2,Lang!C249,IF(Select!$B$2048=3,Lang!D249,IF(Select!$B$2048=4,Lang!E249))))</f>
        <v>Client</v>
      </c>
      <c r="B249" s="21" t="s">
        <v>179</v>
      </c>
      <c r="C249" s="21" t="s">
        <v>1260</v>
      </c>
      <c r="D249" s="21" t="s">
        <v>1261</v>
      </c>
      <c r="E249" s="21" t="s">
        <v>1262</v>
      </c>
    </row>
    <row r="250" spans="1:5" hidden="1">
      <c r="A250" s="21" t="str">
        <f>IF(Select!$B$2048=1,Lang!B250,IF(Select!$B$2048=2,Lang!C250,IF(Select!$B$2048=3,Lang!D250,IF(Select!$B$2048=4,Lang!E250))))</f>
        <v>Livrare oras***</v>
      </c>
      <c r="B250" s="21" t="s">
        <v>1263</v>
      </c>
      <c r="C250" s="21" t="s">
        <v>1264</v>
      </c>
      <c r="D250" s="21" t="s">
        <v>1265</v>
      </c>
      <c r="E250" s="21" t="s">
        <v>1266</v>
      </c>
    </row>
    <row r="251" spans="1:5" hidden="1">
      <c r="A251" s="21" t="str">
        <f>IF(Select!$B$2048=1,Lang!B251,IF(Select!$B$2048=2,Lang!C251,IF(Select!$B$2048=3,Lang!D251,IF(Select!$B$2048=4,Lang!E251))))</f>
        <v>Judet Livrare***</v>
      </c>
      <c r="B251" s="21" t="s">
        <v>1267</v>
      </c>
      <c r="C251" s="21" t="s">
        <v>1268</v>
      </c>
      <c r="D251" s="21" t="s">
        <v>1269</v>
      </c>
      <c r="E251" s="21" t="s">
        <v>1270</v>
      </c>
    </row>
    <row r="252" spans="1:5" hidden="1">
      <c r="A252" s="21" t="str">
        <f>IF(Select!$B$2048=1,Lang!B252,IF(Select!$B$2048=2,Lang!C252,IF(Select!$B$2048=3,Lang!D252,IF(Select!$B$2048=4,Lang!E252))))</f>
        <v>Strada***</v>
      </c>
      <c r="B252" s="21" t="s">
        <v>1271</v>
      </c>
      <c r="C252" s="21" t="s">
        <v>1272</v>
      </c>
      <c r="D252" s="21" t="s">
        <v>1273</v>
      </c>
      <c r="E252" s="21" t="s">
        <v>1274</v>
      </c>
    </row>
    <row r="253" spans="1:5" hidden="1">
      <c r="A253" s="21" t="str">
        <f>IF(Select!$B$2048=1,Lang!B253,IF(Select!$B$2048=2,Lang!C253,IF(Select!$B$2048=3,Lang!D253,IF(Select!$B$2048=4,Lang!E253))))</f>
        <v>Ziua/ Data</v>
      </c>
      <c r="B253" s="21" t="s">
        <v>1275</v>
      </c>
      <c r="C253" s="21" t="s">
        <v>1276</v>
      </c>
      <c r="D253" s="21" t="s">
        <v>1277</v>
      </c>
      <c r="E253" s="21" t="s">
        <v>1278</v>
      </c>
    </row>
    <row r="254" spans="1:5" hidden="1">
      <c r="A254" s="21" t="str">
        <f>IF(Select!$B$2048=1,Lang!B254,IF(Select!$B$2048=2,Lang!C254,IF(Select!$B$2048=3,Lang!D254,IF(Select!$B$2048=4,Lang!E254))))</f>
        <v>Observatii</v>
      </c>
      <c r="B254" s="21" t="s">
        <v>1279</v>
      </c>
      <c r="C254" s="21" t="s">
        <v>1280</v>
      </c>
      <c r="D254" s="21" t="s">
        <v>1281</v>
      </c>
      <c r="E254" s="21" t="s">
        <v>1282</v>
      </c>
    </row>
    <row r="255" spans="1:5" hidden="1">
      <c r="A255" s="21" t="str">
        <f>IF(Select!$B$2048=1,Lang!B255,IF(Select!$B$2048=2,Lang!C255,IF(Select!$B$2048=3,Lang!D255,IF(Select!$B$2048=4,Lang!E255))))</f>
        <v>Nume</v>
      </c>
      <c r="B255" s="21" t="s">
        <v>180</v>
      </c>
      <c r="C255" s="21" t="s">
        <v>1283</v>
      </c>
      <c r="D255" s="21" t="s">
        <v>1040</v>
      </c>
      <c r="E255" s="21" t="s">
        <v>1041</v>
      </c>
    </row>
    <row r="256" spans="1:5" hidden="1">
      <c r="A256" s="21" t="str">
        <f>IF(Select!$B$2048=1,Lang!B256,IF(Select!$B$2048=2,Lang!C256,IF(Select!$B$2048=3,Lang!D256,IF(Select!$B$2048=4,Lang!E256))))</f>
        <v>Telefon contact</v>
      </c>
      <c r="B256" s="21" t="s">
        <v>1284</v>
      </c>
      <c r="C256" s="21" t="s">
        <v>1285</v>
      </c>
      <c r="D256" s="21" t="s">
        <v>1286</v>
      </c>
      <c r="E256" s="21" t="s">
        <v>1287</v>
      </c>
    </row>
    <row r="257" spans="1:5" hidden="1">
      <c r="A257" s="21" t="str">
        <f>IF(Select!$B$2048=1,Lang!B257,IF(Select!$B$2048=2,Lang!C257,IF(Select!$B$2048=3,Lang!D257,IF(Select!$B$2048=4,Lang!E257))))</f>
        <v>Camp obligatoriu de completat</v>
      </c>
      <c r="B257" s="21" t="s">
        <v>1288</v>
      </c>
      <c r="C257" s="21" t="s">
        <v>1289</v>
      </c>
      <c r="D257" s="21" t="s">
        <v>1290</v>
      </c>
      <c r="E257" s="21" t="s">
        <v>1291</v>
      </c>
    </row>
    <row r="258" spans="1:5" hidden="1">
      <c r="A258" s="21" t="str">
        <f>IF(Select!$B$2048=1,Lang!B258,IF(Select!$B$2048=2,Lang!C258,IF(Select!$B$2048=3,Lang!D258,IF(Select!$B$2048=4,Lang!E258))))</f>
        <v>Doc. de plata</v>
      </c>
      <c r="B258" s="21" t="s">
        <v>1292</v>
      </c>
      <c r="C258" s="21" t="s">
        <v>1293</v>
      </c>
      <c r="D258" s="21" t="s">
        <v>1294</v>
      </c>
      <c r="E258" s="21" t="s">
        <v>1295</v>
      </c>
    </row>
    <row r="259" spans="1:5" hidden="1">
      <c r="A259" s="21" t="str">
        <f>IF(Select!$B$2048=1,Lang!B259,IF(Select!$B$2048=2,Lang!C259,IF(Select!$B$2048=3,Lang!D259,IF(Select!$B$2048=4,Lang!E259))))</f>
        <v>Zile</v>
      </c>
      <c r="B259" s="21" t="s">
        <v>1296</v>
      </c>
      <c r="C259" s="21" t="s">
        <v>1297</v>
      </c>
      <c r="D259" s="21" t="s">
        <v>1298</v>
      </c>
      <c r="E259" s="21" t="s">
        <v>1299</v>
      </c>
    </row>
    <row r="260" spans="1:5" hidden="1">
      <c r="A260" s="21" t="str">
        <f>IF(Select!$B$2048=1,Lang!B260,IF(Select!$B$2048=2,Lang!C260,IF(Select!$B$2048=3,Lang!D260,IF(Select!$B$2048=4,Lang!E260))))</f>
        <v>Livrare cu</v>
      </c>
      <c r="B260" s="21" t="s">
        <v>1300</v>
      </c>
      <c r="C260" s="21" t="s">
        <v>1301</v>
      </c>
      <c r="D260" s="21" t="s">
        <v>1302</v>
      </c>
      <c r="E260" s="21" t="s">
        <v>1303</v>
      </c>
    </row>
    <row r="261" spans="1:5" hidden="1">
      <c r="A261" s="21" t="str">
        <f>IF(Select!$B$2048=1,Lang!B261,IF(Select!$B$2048=2,Lang!C261,IF(Select!$B$2048=3,Lang!D261,IF(Select!$B$2048=4,Lang!E261))))</f>
        <v>Agent</v>
      </c>
      <c r="B261" s="21" t="s">
        <v>1304</v>
      </c>
      <c r="C261" s="21" t="s">
        <v>1305</v>
      </c>
      <c r="D261" s="21" t="s">
        <v>1306</v>
      </c>
      <c r="E261" s="21" t="s">
        <v>1307</v>
      </c>
    </row>
    <row r="262" spans="1:5" hidden="1">
      <c r="A262" s="21" t="str">
        <f>IF(Select!$B$2048=1,Lang!B262,IF(Select!$B$2048=2,Lang!C262,IF(Select!$B$2048=3,Lang!D262,IF(Select!$B$2048=4,Lang!E262))))</f>
        <v>Soferul incaseaza / ridica</v>
      </c>
      <c r="B262" s="21" t="s">
        <v>1308</v>
      </c>
      <c r="C262" s="21" t="s">
        <v>1309</v>
      </c>
      <c r="D262" s="21" t="s">
        <v>1310</v>
      </c>
      <c r="E262" s="21" t="s">
        <v>1311</v>
      </c>
    </row>
    <row r="263" spans="1:5" hidden="1">
      <c r="A263" s="21" t="str">
        <f>IF(Select!$B$2048=1,Lang!B263,IF(Select!$B$2048=2,Lang!C263,IF(Select!$B$2048=3,Lang!D263,IF(Select!$B$2048=4,Lang!E263))))</f>
        <v>OP (ordin de plata)</v>
      </c>
      <c r="B263" s="21" t="s">
        <v>1312</v>
      </c>
      <c r="C263" s="21" t="s">
        <v>1313</v>
      </c>
      <c r="D263" s="21" t="s">
        <v>1314</v>
      </c>
      <c r="E263" s="21" t="s">
        <v>1315</v>
      </c>
    </row>
    <row r="264" spans="1:5" hidden="1">
      <c r="A264" s="21" t="str">
        <f>IF(Select!$B$2048=1,Lang!B264,IF(Select!$B$2048=2,Lang!C264,IF(Select!$B$2048=3,Lang!D264,IF(Select!$B$2048=4,Lang!E264))))</f>
        <v>BO (bilet al ordin)</v>
      </c>
      <c r="B264" s="21" t="s">
        <v>1316</v>
      </c>
      <c r="C264" s="21" t="s">
        <v>1317</v>
      </c>
      <c r="D264" s="21" t="s">
        <v>1318</v>
      </c>
      <c r="E264" s="21" t="s">
        <v>1319</v>
      </c>
    </row>
    <row r="265" spans="1:5" hidden="1">
      <c r="A265" s="21" t="str">
        <f>IF(Select!$B$2048=1,Lang!B265,IF(Select!$B$2048=2,Lang!C265,IF(Select!$B$2048=3,Lang!D265,IF(Select!$B$2048=4,Lang!E265))))</f>
        <v>CEC</v>
      </c>
      <c r="B265" s="21" t="s">
        <v>183</v>
      </c>
      <c r="C265" s="21" t="s">
        <v>1320</v>
      </c>
      <c r="D265" s="21" t="s">
        <v>1321</v>
      </c>
      <c r="E265" s="21" t="s">
        <v>1322</v>
      </c>
    </row>
    <row r="266" spans="1:5" hidden="1">
      <c r="A266" s="21" t="str">
        <f>IF(Select!$B$2048=1,Lang!B266,IF(Select!$B$2048=2,Lang!C266,IF(Select!$B$2048=3,Lang!D266,IF(Select!$B$2048=4,Lang!E266))))</f>
        <v>CASH</v>
      </c>
      <c r="B266" s="21" t="s">
        <v>184</v>
      </c>
      <c r="C266" s="21" t="s">
        <v>1323</v>
      </c>
      <c r="D266" s="21" t="s">
        <v>1324</v>
      </c>
      <c r="E266" s="21" t="s">
        <v>1325</v>
      </c>
    </row>
    <row r="267" spans="1:5" hidden="1">
      <c r="A267" s="21" t="str">
        <f>IF(Select!$B$2048=1,Lang!B267,IF(Select!$B$2048=2,Lang!C267,IF(Select!$B$2048=3,Lang!D267,IF(Select!$B$2048=4,Lang!E267))))</f>
        <v>Factura</v>
      </c>
      <c r="B267" s="21" t="s">
        <v>181</v>
      </c>
      <c r="C267" s="21" t="s">
        <v>1326</v>
      </c>
      <c r="D267" s="21" t="s">
        <v>1327</v>
      </c>
      <c r="E267" s="21" t="s">
        <v>1328</v>
      </c>
    </row>
    <row r="268" spans="1:5" hidden="1">
      <c r="A268" s="21" t="str">
        <f>IF(Select!$B$2048=1,Lang!B268,IF(Select!$B$2048=2,Lang!C268,IF(Select!$B$2048=3,Lang!D268,IF(Select!$B$2048=4,Lang!E268))))</f>
        <v>Aviz</v>
      </c>
      <c r="B268" s="21" t="s">
        <v>131</v>
      </c>
      <c r="C268" s="21" t="s">
        <v>1329</v>
      </c>
      <c r="D268" s="21" t="s">
        <v>1330</v>
      </c>
      <c r="E268" s="21" t="s">
        <v>1331</v>
      </c>
    </row>
    <row r="269" spans="1:5" hidden="1">
      <c r="A269" s="21" t="str">
        <f>IF(Select!$B$2048=1,Lang!B269,IF(Select!$B$2048=2,Lang!C269,IF(Select!$B$2048=3,Lang!D269,IF(Select!$B$2048=4,Lang!E269))))</f>
        <v>Avans</v>
      </c>
      <c r="B269" s="21" t="s">
        <v>1332</v>
      </c>
      <c r="C269" s="21" t="s">
        <v>1333</v>
      </c>
      <c r="D269" s="21" t="s">
        <v>1334</v>
      </c>
      <c r="E269" s="21" t="s">
        <v>1335</v>
      </c>
    </row>
    <row r="270" spans="1:5" hidden="1">
      <c r="A270" s="21" t="str">
        <f>IF(Select!$B$2048=1,Lang!B270,IF(Select!$B$2048=2,Lang!C270,IF(Select!$B$2048=3,Lang!D270,IF(Select!$B$2048=4,Lang!E270))))</f>
        <v>Document plata</v>
      </c>
      <c r="B270" s="21" t="s">
        <v>182</v>
      </c>
      <c r="C270" s="21" t="s">
        <v>1293</v>
      </c>
      <c r="D270" s="21" t="s">
        <v>1294</v>
      </c>
      <c r="E270" s="21" t="s">
        <v>1295</v>
      </c>
    </row>
    <row r="271" spans="1:5" hidden="1">
      <c r="A271" s="21" t="str">
        <f>IF(Select!$B$2048=1,Lang!B271,IF(Select!$B$2048=2,Lang!C271,IF(Select!$B$2048=3,Lang!D271,IF(Select!$B$2048=4,Lang!E271))))</f>
        <v>Incaseaza cash</v>
      </c>
      <c r="B271" s="21" t="s">
        <v>1336</v>
      </c>
      <c r="C271" s="21" t="s">
        <v>1337</v>
      </c>
      <c r="D271" s="21" t="s">
        <v>1338</v>
      </c>
      <c r="E271" s="21" t="s">
        <v>1339</v>
      </c>
    </row>
    <row r="272" spans="1:5" hidden="1">
      <c r="A272" s="21" t="str">
        <f>IF(Select!$B$2048=1,Lang!B272,IF(Select!$B$2048=2,Lang!C272,IF(Select!$B$2048=3,Lang!D272,IF(Select!$B$2048=4,Lang!E272))))</f>
        <v>Nu ridica</v>
      </c>
      <c r="B272" s="21" t="s">
        <v>1340</v>
      </c>
      <c r="C272" s="21" t="s">
        <v>1341</v>
      </c>
      <c r="D272" s="21" t="s">
        <v>1342</v>
      </c>
      <c r="E272" s="21" t="s">
        <v>1343</v>
      </c>
    </row>
    <row r="273" spans="1:5" hidden="1">
      <c r="A273" s="21" t="str">
        <f>IF(Select!$B$2048=1,Lang!B273,IF(Select!$B$2048=2,Lang!C273,IF(Select!$B$2048=3,Lang!D273,IF(Select!$B$2048=4,Lang!E273))))</f>
        <v>Curs euro</v>
      </c>
      <c r="B273" s="21" t="s">
        <v>1344</v>
      </c>
      <c r="C273" s="21" t="s">
        <v>1345</v>
      </c>
      <c r="D273" s="21" t="s">
        <v>1346</v>
      </c>
      <c r="E273" s="21" t="s">
        <v>1347</v>
      </c>
    </row>
    <row r="274" spans="1:5" hidden="1">
      <c r="A274" s="21" t="str">
        <f>IF(Select!$B$2048=1,Lang!B274,IF(Select!$B$2048=2,Lang!C274,IF(Select!$B$2048=3,Lang!D274,IF(Select!$B$2048=4,Lang!E274))))</f>
        <v>MP TIGLA :</v>
      </c>
      <c r="B274" s="21" t="s">
        <v>187</v>
      </c>
      <c r="C274" s="21" t="s">
        <v>1348</v>
      </c>
      <c r="D274" s="21" t="s">
        <v>1349</v>
      </c>
      <c r="E274" s="21" t="s">
        <v>1350</v>
      </c>
    </row>
    <row r="275" spans="1:5" hidden="1">
      <c r="A275" s="21" t="str">
        <f>IF(Select!$B$2048=1,Lang!B275,IF(Select!$B$2048=2,Lang!C275,IF(Select!$B$2048=3,Lang!D275,IF(Select!$B$2048=4,Lang!E275))))</f>
        <v>MP CUTATA :</v>
      </c>
      <c r="B275" s="21" t="s">
        <v>188</v>
      </c>
      <c r="C275" s="21" t="s">
        <v>1351</v>
      </c>
      <c r="D275" s="21" t="s">
        <v>1352</v>
      </c>
      <c r="E275" s="21" t="s">
        <v>1353</v>
      </c>
    </row>
    <row r="276" spans="1:5" hidden="1">
      <c r="A276" s="21" t="str">
        <f>IF(Select!$B$2048=1,Lang!B276,IF(Select!$B$2048=2,Lang!C276,IF(Select!$B$2048=3,Lang!D276,IF(Select!$B$2048=4,Lang!E276))))</f>
        <v>MP MINIRULOU :</v>
      </c>
      <c r="B276" s="21" t="s">
        <v>186</v>
      </c>
      <c r="C276" s="21" t="s">
        <v>1354</v>
      </c>
      <c r="D276" s="21" t="s">
        <v>1355</v>
      </c>
      <c r="E276" s="21" t="s">
        <v>1356</v>
      </c>
    </row>
    <row r="277" spans="1:5" hidden="1">
      <c r="A277" s="21" t="str">
        <f>IF(Select!$B$2048=1,Lang!B277,IF(Select!$B$2048=2,Lang!C277,IF(Select!$B$2048=3,Lang!D277,IF(Select!$B$2048=4,Lang!E277))))</f>
        <v>MP CLICK :</v>
      </c>
      <c r="B277" s="21" t="s">
        <v>1357</v>
      </c>
      <c r="C277" s="21" t="s">
        <v>1358</v>
      </c>
      <c r="D277" s="21" t="s">
        <v>1359</v>
      </c>
      <c r="E277" s="21" t="s">
        <v>1360</v>
      </c>
    </row>
    <row r="278" spans="1:5" hidden="1">
      <c r="A278" s="21" t="str">
        <f>IF(Select!$B$2048=1,Lang!B278,IF(Select!$B$2048=2,Lang!C278,IF(Select!$B$2048=3,Lang!D278,IF(Select!$B$2048=4,Lang!E278))))</f>
        <v>TOTAL euro fara TVA</v>
      </c>
      <c r="B278" s="21" t="s">
        <v>38</v>
      </c>
      <c r="C278" s="21" t="s">
        <v>1361</v>
      </c>
      <c r="D278" s="21" t="s">
        <v>1362</v>
      </c>
      <c r="E278" s="21" t="s">
        <v>1363</v>
      </c>
    </row>
    <row r="279" spans="1:5" hidden="1">
      <c r="A279" s="21" t="str">
        <f>IF(Select!$B$2048=1,Lang!B279,IF(Select!$B$2048=2,Lang!C279,IF(Select!$B$2048=3,Lang!D279,IF(Select!$B$2048=4,Lang!E279))))</f>
        <v>TOTAL euro cu TVA</v>
      </c>
      <c r="B279" s="21" t="s">
        <v>39</v>
      </c>
      <c r="C279" s="21" t="s">
        <v>1364</v>
      </c>
      <c r="D279" s="21" t="s">
        <v>1365</v>
      </c>
      <c r="E279" s="21" t="s">
        <v>1366</v>
      </c>
    </row>
    <row r="280" spans="1:5" hidden="1">
      <c r="A280" s="21" t="str">
        <f>IF(Select!$B$2048=1,Lang!B280,IF(Select!$B$2048=2,Lang!C280,IF(Select!$B$2048=3,Lang!D280,IF(Select!$B$2048=4,Lang!E280))))</f>
        <v>DISCOUNT</v>
      </c>
      <c r="B280" s="21" t="s">
        <v>428</v>
      </c>
      <c r="C280" s="21" t="s">
        <v>428</v>
      </c>
      <c r="D280" s="21" t="s">
        <v>1367</v>
      </c>
      <c r="E280" s="21" t="s">
        <v>1368</v>
      </c>
    </row>
    <row r="281" spans="1:5" hidden="1">
      <c r="A281" s="21" t="str">
        <f>IF(Select!$B$2048=1,Lang!B281,IF(Select!$B$2048=2,Lang!C281,IF(Select!$B$2048=3,Lang!D281,IF(Select!$B$2048=4,Lang!E281))))</f>
        <v>Fara discount</v>
      </c>
      <c r="B281" s="21" t="s">
        <v>1369</v>
      </c>
      <c r="C281" s="21" t="s">
        <v>1370</v>
      </c>
      <c r="D281" s="21" t="s">
        <v>1371</v>
      </c>
      <c r="E281" s="21" t="s">
        <v>1372</v>
      </c>
    </row>
    <row r="282" spans="1:5" hidden="1">
      <c r="A282" s="21" t="str">
        <f>IF(Select!$B$2048=1,Lang!B282,IF(Select!$B$2048=2,Lang!C282,IF(Select!$B$2048=3,Lang!D282,IF(Select!$B$2048=4,Lang!E282))))</f>
        <v>Discount OK</v>
      </c>
      <c r="B282" s="21" t="s">
        <v>1373</v>
      </c>
      <c r="C282" s="21" t="s">
        <v>1374</v>
      </c>
      <c r="D282" s="21" t="s">
        <v>1375</v>
      </c>
      <c r="E282" s="21" t="s">
        <v>1376</v>
      </c>
    </row>
    <row r="283" spans="1:5" hidden="1">
      <c r="A283" s="21" t="str">
        <f>IF(Select!$B$2048=1,Lang!B283,IF(Select!$B$2048=2,Lang!C283,IF(Select!$B$2048=3,Lang!D283,IF(Select!$B$2048=4,Lang!E283))))</f>
        <v xml:space="preserve">Discount prea mare - nu se calculeaza </v>
      </c>
      <c r="B283" s="21" t="s">
        <v>1377</v>
      </c>
      <c r="C283" s="21" t="s">
        <v>1378</v>
      </c>
      <c r="D283" s="21" t="s">
        <v>1379</v>
      </c>
      <c r="E283" s="21" t="s">
        <v>1380</v>
      </c>
    </row>
    <row r="284" spans="1:5" hidden="1">
      <c r="A284" s="21" t="str">
        <f>IF(Select!$B$2048=1,Lang!B284,IF(Select!$B$2048=2,Lang!C284,IF(Select!$B$2048=3,Lang!D284,IF(Select!$B$2048=4,Lang!E284))))</f>
        <v>FOAIE DE TRANSPORT</v>
      </c>
      <c r="B284" s="21" t="s">
        <v>1381</v>
      </c>
      <c r="C284" s="21" t="s">
        <v>1382</v>
      </c>
      <c r="D284" s="21" t="s">
        <v>1383</v>
      </c>
      <c r="E284" s="21" t="s">
        <v>1384</v>
      </c>
    </row>
    <row r="285" spans="1:5" hidden="1">
      <c r="A285" s="21" t="str">
        <f>IF(Select!$B$2048=1,Lang!B285,IF(Select!$B$2048=2,Lang!C285,IF(Select!$B$2048=3,Lang!D285,IF(Select!$B$2048=4,Lang!E285))))</f>
        <v>Adresa de livrare</v>
      </c>
      <c r="B285" s="21" t="s">
        <v>1385</v>
      </c>
      <c r="C285" s="21" t="s">
        <v>1386</v>
      </c>
      <c r="D285" s="21" t="s">
        <v>1387</v>
      </c>
      <c r="E285" s="21" t="s">
        <v>1388</v>
      </c>
    </row>
    <row r="286" spans="1:5" hidden="1">
      <c r="A286" s="21" t="str">
        <f>IF(Select!$B$2048=1,Lang!B286,IF(Select!$B$2048=2,Lang!C286,IF(Select!$B$2048=3,Lang!D286,IF(Select!$B$2048=4,Lang!E286))))</f>
        <v>Termen de livrare</v>
      </c>
      <c r="B286" s="21" t="s">
        <v>1389</v>
      </c>
      <c r="C286" s="21" t="s">
        <v>1390</v>
      </c>
      <c r="D286" s="21" t="s">
        <v>1391</v>
      </c>
      <c r="E286" s="21" t="s">
        <v>1392</v>
      </c>
    </row>
    <row r="287" spans="1:5" hidden="1">
      <c r="A287" s="21" t="str">
        <f>IF(Select!$B$2048=1,Lang!B287,IF(Select!$B$2048=2,Lang!C287,IF(Select!$B$2048=3,Lang!D287,IF(Select!$B$2048=4,Lang!E287))))</f>
        <v>Persoana de contact</v>
      </c>
      <c r="B287" s="21" t="s">
        <v>1393</v>
      </c>
      <c r="C287" s="21" t="s">
        <v>1394</v>
      </c>
      <c r="D287" s="21" t="s">
        <v>1395</v>
      </c>
      <c r="E287" s="21" t="s">
        <v>1396</v>
      </c>
    </row>
    <row r="288" spans="1:5" hidden="1">
      <c r="A288" s="21" t="str">
        <f>IF(Select!$B$2048=1,Lang!B288,IF(Select!$B$2048=2,Lang!C288,IF(Select!$B$2048=3,Lang!D288,IF(Select!$B$2048=4,Lang!E288))))</f>
        <v>Modalitati plata</v>
      </c>
      <c r="B288" s="21" t="s">
        <v>1397</v>
      </c>
      <c r="C288" s="21" t="s">
        <v>1398</v>
      </c>
      <c r="D288" s="21" t="s">
        <v>1399</v>
      </c>
      <c r="E288" s="21" t="s">
        <v>1400</v>
      </c>
    </row>
    <row r="289" spans="1:5" hidden="1">
      <c r="A289" s="21" t="str">
        <f>IF(Select!$B$2048=1,Lang!B289,IF(Select!$B$2048=2,Lang!C289,IF(Select!$B$2048=3,Lang!D289,IF(Select!$B$2048=4,Lang!E289))))</f>
        <v>Se livreaza cu</v>
      </c>
      <c r="B289" s="21" t="s">
        <v>1401</v>
      </c>
      <c r="C289" s="21" t="s">
        <v>1402</v>
      </c>
      <c r="D289" s="21" t="s">
        <v>1403</v>
      </c>
      <c r="E289" s="21" t="s">
        <v>1404</v>
      </c>
    </row>
    <row r="290" spans="1:5" hidden="1">
      <c r="A290" s="21" t="str">
        <f>IF(Select!$B$2048=1,Lang!B290,IF(Select!$B$2048=2,Lang!C290,IF(Select!$B$2048=3,Lang!D290,IF(Select!$B$2048=4,Lang!E290))))</f>
        <v>Soferul ridica document</v>
      </c>
      <c r="B290" s="21" t="s">
        <v>1405</v>
      </c>
      <c r="C290" s="21" t="s">
        <v>1406</v>
      </c>
      <c r="D290" s="21" t="s">
        <v>1407</v>
      </c>
      <c r="E290" s="21" t="s">
        <v>1408</v>
      </c>
    </row>
    <row r="291" spans="1:5" hidden="1">
      <c r="A291" s="21" t="str">
        <f>IF(Select!$B$2048=1,Lang!B291,IF(Select!$B$2048=2,Lang!C291,IF(Select!$B$2048=3,Lang!D291,IF(Select!$B$2048=4,Lang!E291))))</f>
        <v>FACTURARE</v>
      </c>
      <c r="B291" s="21" t="s">
        <v>1409</v>
      </c>
      <c r="C291" s="21" t="s">
        <v>1410</v>
      </c>
      <c r="D291" s="21" t="s">
        <v>1411</v>
      </c>
      <c r="E291" s="21" t="s">
        <v>1412</v>
      </c>
    </row>
    <row r="292" spans="1:5" hidden="1">
      <c r="A292" s="21" t="str">
        <f>IF(Select!$B$2048=1,Lang!B292,IF(Select!$B$2048=2,Lang!C292,IF(Select!$B$2048=3,Lang!D292,IF(Select!$B$2048=4,Lang!E292))))</f>
        <v>DECLARATIE DE CONFORMITATE</v>
      </c>
      <c r="B292" s="21" t="s">
        <v>1413</v>
      </c>
      <c r="C292" s="21" t="s">
        <v>1414</v>
      </c>
      <c r="D292" s="21" t="s">
        <v>1415</v>
      </c>
      <c r="E292" s="21" t="s">
        <v>1416</v>
      </c>
    </row>
    <row r="293" spans="1:5" hidden="1">
      <c r="A293" s="21" t="str">
        <f>IF(Select!$B$2048=1,Lang!B293,IF(Select!$B$2048=2,Lang!C293,IF(Select!$B$2048=3,Lang!D293,IF(Select!$B$2048=4,Lang!E293))))</f>
        <v>CONFIRMARE CANTITATE</v>
      </c>
      <c r="B293" s="21" t="s">
        <v>1417</v>
      </c>
      <c r="C293" s="21" t="s">
        <v>1418</v>
      </c>
      <c r="D293" s="21" t="s">
        <v>1419</v>
      </c>
      <c r="E293" s="21" t="s">
        <v>1420</v>
      </c>
    </row>
    <row r="294" spans="1:5" hidden="1">
      <c r="A294" s="21" t="str">
        <f>IF(Select!$B$2048=1,Lang!B294,IF(Select!$B$2048=2,Lang!C294,IF(Select!$B$2048=3,Lang!D294,IF(Select!$B$2048=4,Lang!E294))))</f>
        <v>CONFIRMARE CALITATE ( ASPECT VIZUAL)</v>
      </c>
      <c r="B294" s="21" t="s">
        <v>1421</v>
      </c>
      <c r="C294" s="21" t="s">
        <v>1422</v>
      </c>
      <c r="D294" s="21" t="s">
        <v>1423</v>
      </c>
      <c r="E294" s="21" t="s">
        <v>1424</v>
      </c>
    </row>
    <row r="295" spans="1:5" hidden="1">
      <c r="A295" s="21" t="str">
        <f>IF(Select!$B$2048=1,Lang!B295,IF(Select!$B$2048=2,Lang!C295,IF(Select!$B$2048=3,Lang!D295,IF(Select!$B$2048=4,Lang!E295))))</f>
        <v>Semnatura</v>
      </c>
      <c r="B295" s="21" t="s">
        <v>1425</v>
      </c>
      <c r="C295" s="21" t="s">
        <v>1426</v>
      </c>
      <c r="D295" s="21" t="s">
        <v>1427</v>
      </c>
      <c r="E295" s="21" t="s">
        <v>1428</v>
      </c>
    </row>
    <row r="296" spans="1:5" hidden="1">
      <c r="A296" s="21" t="str">
        <f>IF(Select!$B$2048=1,Lang!B296,IF(Select!$B$2048=2,Lang!C296,IF(Select!$B$2048=3,Lang!D296,IF(Select!$B$2048=4,Lang!E296))))</f>
        <v>Nume si prenume</v>
      </c>
      <c r="B296" s="21" t="s">
        <v>1429</v>
      </c>
      <c r="C296" s="21" t="s">
        <v>1430</v>
      </c>
      <c r="D296" s="21" t="s">
        <v>1431</v>
      </c>
      <c r="E296" s="21" t="s">
        <v>1432</v>
      </c>
    </row>
    <row r="297" spans="1:5" hidden="1">
      <c r="A297" s="21" t="str">
        <f>IF(Select!$B$2048=1,Lang!B297,IF(Select!$B$2048=2,Lang!C297,IF(Select!$B$2048=3,Lang!D297,IF(Select!$B$2048=4,Lang!E297))))</f>
        <v>Semnatura de primire</v>
      </c>
      <c r="B297" s="21" t="s">
        <v>1433</v>
      </c>
      <c r="C297" s="21" t="s">
        <v>1434</v>
      </c>
      <c r="D297" s="21" t="s">
        <v>1435</v>
      </c>
      <c r="E297" s="21" t="s">
        <v>1436</v>
      </c>
    </row>
    <row r="298" spans="1:5" hidden="1">
      <c r="A298" s="21" t="str">
        <f>IF(Select!$B$2048=1,Lang!B298,IF(Select!$B$2048=2,Lang!C298,IF(Select!$B$2048=3,Lang!D298,IF(Select!$B$2048=4,Lang!E298))))</f>
        <v>Transport</v>
      </c>
      <c r="B298" s="21" t="s">
        <v>1437</v>
      </c>
      <c r="C298" s="21" t="s">
        <v>1437</v>
      </c>
      <c r="D298" s="21" t="s">
        <v>1438</v>
      </c>
      <c r="E298" s="21" t="s">
        <v>1439</v>
      </c>
    </row>
    <row r="299" spans="1:5" hidden="1">
      <c r="A299" s="21" t="str">
        <f>IF(Select!$B$2048=1,Lang!B299,IF(Select!$B$2048=2,Lang!C299,IF(Select!$B$2048=3,Lang!D299,IF(Select!$B$2048=4,Lang!E299))))</f>
        <v>Sofer</v>
      </c>
      <c r="B299" s="21" t="s">
        <v>1440</v>
      </c>
      <c r="C299" s="21" t="s">
        <v>1441</v>
      </c>
      <c r="D299" s="21" t="s">
        <v>1442</v>
      </c>
      <c r="E299" s="21" t="s">
        <v>1443</v>
      </c>
    </row>
    <row r="300" spans="1:5" hidden="1">
      <c r="A300" s="21" t="str">
        <f>IF(Select!$B$2048=1,Lang!B300,IF(Select!$B$2048=2,Lang!C300,IF(Select!$B$2048=3,Lang!D300,IF(Select!$B$2048=4,Lang!E300))))</f>
        <v>Contract firma</v>
      </c>
      <c r="B300" s="21" t="s">
        <v>1444</v>
      </c>
      <c r="C300" s="21" t="s">
        <v>1445</v>
      </c>
      <c r="D300" s="21" t="s">
        <v>1446</v>
      </c>
      <c r="E300" s="21" t="s">
        <v>1447</v>
      </c>
    </row>
    <row r="301" spans="1:5" hidden="1">
      <c r="A301" s="21" t="str">
        <f>IF(Select!$B$2048=1,Lang!B301,IF(Select!$B$2048=2,Lang!C301,IF(Select!$B$2048=3,Lang!D301,IF(Select!$B$2048=4,Lang!E301))))</f>
        <v>Masina Wetterbest</v>
      </c>
      <c r="B301" s="21" t="s">
        <v>1448</v>
      </c>
      <c r="C301" s="21" t="s">
        <v>1449</v>
      </c>
      <c r="D301" s="21" t="s">
        <v>1450</v>
      </c>
      <c r="E301" s="21" t="s">
        <v>1451</v>
      </c>
    </row>
    <row r="302" spans="1:5" hidden="1">
      <c r="A302" s="21" t="str">
        <f>IF(Select!$B$2048=1,Lang!B302,IF(Select!$B$2048=2,Lang!C302,IF(Select!$B$2048=3,Lang!D302,IF(Select!$B$2048=4,Lang!E302))))</f>
        <v>Ziua</v>
      </c>
      <c r="B302" s="21" t="s">
        <v>1452</v>
      </c>
      <c r="C302" s="21" t="s">
        <v>1453</v>
      </c>
      <c r="D302" s="21" t="s">
        <v>1454</v>
      </c>
      <c r="E302" s="21" t="s">
        <v>1455</v>
      </c>
    </row>
    <row r="303" spans="1:5" hidden="1">
      <c r="A303" s="21" t="str">
        <f>IF(Select!$B$2048=1,Lang!B303,IF(Select!$B$2048=2,Lang!C303,IF(Select!$B$2048=3,Lang!D303,IF(Select!$B$2048=4,Lang!E303))))</f>
        <v>Centralizator preturi oferta</v>
      </c>
      <c r="B303" s="21" t="s">
        <v>421</v>
      </c>
      <c r="C303" s="21" t="s">
        <v>1456</v>
      </c>
      <c r="D303" s="21" t="s">
        <v>1457</v>
      </c>
      <c r="E303" s="21" t="s">
        <v>1458</v>
      </c>
    </row>
    <row r="304" spans="1:5" hidden="1">
      <c r="A304" s="21" t="str">
        <f>IF(Select!$B$2048=1,Lang!B304,IF(Select!$B$2048=2,Lang!C304,IF(Select!$B$2048=3,Lang!D304,IF(Select!$B$2048=4,Lang!E304))))</f>
        <v>Grosime/protectie</v>
      </c>
      <c r="B304" s="21" t="s">
        <v>1459</v>
      </c>
      <c r="C304" s="21" t="s">
        <v>1460</v>
      </c>
      <c r="D304" s="21" t="s">
        <v>1461</v>
      </c>
      <c r="E304" s="21" t="s">
        <v>1462</v>
      </c>
    </row>
    <row r="305" spans="1:5" hidden="1">
      <c r="A305" s="21" t="str">
        <f>IF(Select!$B$2048=1,Lang!B305,IF(Select!$B$2048=2,Lang!C305,IF(Select!$B$2048=3,Lang!D305,IF(Select!$B$2048=4,Lang!E305))))</f>
        <v>Suprafata</v>
      </c>
      <c r="B305" s="21" t="s">
        <v>1463</v>
      </c>
      <c r="C305" s="21" t="s">
        <v>1464</v>
      </c>
      <c r="D305" s="21" t="s">
        <v>1465</v>
      </c>
      <c r="E305" s="21" t="s">
        <v>1466</v>
      </c>
    </row>
    <row r="306" spans="1:5" hidden="1">
      <c r="A306" s="21" t="str">
        <f>IF(Select!$B$2048=1,Lang!B306,IF(Select!$B$2048=2,Lang!C306,IF(Select!$B$2048=3,Lang!D306,IF(Select!$B$2048=4,Lang!E306))))</f>
        <v>Numar Bucati:</v>
      </c>
      <c r="B306" s="21" t="s">
        <v>424</v>
      </c>
      <c r="C306" s="21" t="s">
        <v>1467</v>
      </c>
      <c r="D306" s="21" t="s">
        <v>1468</v>
      </c>
      <c r="E306" s="21" t="s">
        <v>1469</v>
      </c>
    </row>
    <row r="307" spans="1:5" hidden="1">
      <c r="A307" s="21" t="str">
        <f>IF(Select!$B$2048=1,Lang!B307,IF(Select!$B$2048=2,Lang!C307,IF(Select!$B$2048=3,Lang!D307,IF(Select!$B$2048=4,Lang!E307))))</f>
        <v>Fereastre Dakea</v>
      </c>
      <c r="B307" s="21" t="s">
        <v>1470</v>
      </c>
      <c r="C307" s="21" t="s">
        <v>1471</v>
      </c>
      <c r="D307" s="21" t="s">
        <v>1196</v>
      </c>
      <c r="E307" s="21" t="s">
        <v>1197</v>
      </c>
    </row>
    <row r="308" spans="1:5" hidden="1">
      <c r="A308" s="21" t="str">
        <f>IF(Select!$B$2048=1,Lang!B308,IF(Select!$B$2048=2,Lang!C308,IF(Select!$B$2048=3,Lang!D308,IF(Select!$B$2048=4,Lang!E308))))</f>
        <v>Data:</v>
      </c>
      <c r="B308" s="21" t="s">
        <v>422</v>
      </c>
      <c r="C308" s="21" t="s">
        <v>1472</v>
      </c>
      <c r="D308" s="21" t="s">
        <v>1473</v>
      </c>
      <c r="E308" s="21" t="s">
        <v>1474</v>
      </c>
    </row>
    <row r="309" spans="1:5" hidden="1">
      <c r="A309" s="21" t="str">
        <f>IF(Select!$B$2048=1,Lang!B309,IF(Select!$B$2048=2,Lang!C309,IF(Select!$B$2048=3,Lang!D309,IF(Select!$B$2048=4,Lang!E309))))</f>
        <v>Membrana  anticondens – 100 gr/mp - 75 mp</v>
      </c>
      <c r="B309" s="21" t="s">
        <v>439</v>
      </c>
      <c r="C309" s="21" t="s">
        <v>1475</v>
      </c>
      <c r="D309" s="21" t="s">
        <v>1476</v>
      </c>
      <c r="E309" s="21" t="s">
        <v>1477</v>
      </c>
    </row>
    <row r="310" spans="1:5" hidden="1">
      <c r="A310" s="21" t="str">
        <f>IF(Select!$B$2048=1,Lang!B310,IF(Select!$B$2048=2,Lang!C310,IF(Select!$B$2048=3,Lang!D310,IF(Select!$B$2048=4,Lang!E310))))</f>
        <v>Ventilatie Acoperis CARDINAL</v>
      </c>
      <c r="B310" s="21" t="s">
        <v>440</v>
      </c>
      <c r="C310" s="21" t="s">
        <v>1478</v>
      </c>
      <c r="D310" s="21" t="s">
        <v>1479</v>
      </c>
      <c r="E310" s="21" t="s">
        <v>1480</v>
      </c>
    </row>
    <row r="311" spans="1:5" hidden="1">
      <c r="A311" s="21" t="str">
        <f>IF(Select!$B$2048=1,Lang!B311,IF(Select!$B$2048=2,Lang!C311,IF(Select!$B$2048=3,Lang!D311,IF(Select!$B$2048=4,Lang!E311))))</f>
        <v>16 Pasi</v>
      </c>
      <c r="B311" s="146" t="s">
        <v>350</v>
      </c>
      <c r="C311" s="21" t="s">
        <v>1486</v>
      </c>
      <c r="D311" s="21" t="s">
        <v>1502</v>
      </c>
      <c r="E311" s="21" t="s">
        <v>1518</v>
      </c>
    </row>
    <row r="312" spans="1:5" hidden="1">
      <c r="A312" s="21" t="str">
        <f>IF(Select!$B$2048=1,Lang!B312,IF(Select!$B$2048=2,Lang!C312,IF(Select!$B$2048=3,Lang!D312,IF(Select!$B$2048=4,Lang!E312))))</f>
        <v>15 Pasi</v>
      </c>
      <c r="B312" s="146" t="s">
        <v>351</v>
      </c>
      <c r="C312" s="21" t="s">
        <v>1487</v>
      </c>
      <c r="D312" s="21" t="s">
        <v>1503</v>
      </c>
      <c r="E312" s="21" t="s">
        <v>1519</v>
      </c>
    </row>
    <row r="313" spans="1:5" hidden="1">
      <c r="A313" s="21" t="str">
        <f>IF(Select!$B$2048=1,Lang!B313,IF(Select!$B$2048=2,Lang!C313,IF(Select!$B$2048=3,Lang!D313,IF(Select!$B$2048=4,Lang!E313))))</f>
        <v>14 Pasi</v>
      </c>
      <c r="B313" s="146" t="s">
        <v>352</v>
      </c>
      <c r="C313" s="21" t="s">
        <v>1488</v>
      </c>
      <c r="D313" s="21" t="s">
        <v>1504</v>
      </c>
      <c r="E313" s="21" t="s">
        <v>1520</v>
      </c>
    </row>
    <row r="314" spans="1:5" hidden="1">
      <c r="A314" s="21" t="str">
        <f>IF(Select!$B$2048=1,Lang!B314,IF(Select!$B$2048=2,Lang!C314,IF(Select!$B$2048=3,Lang!D314,IF(Select!$B$2048=4,Lang!E314))))</f>
        <v>13 Pasi</v>
      </c>
      <c r="B314" s="146" t="s">
        <v>353</v>
      </c>
      <c r="C314" s="21" t="s">
        <v>1489</v>
      </c>
      <c r="D314" s="21" t="s">
        <v>1505</v>
      </c>
      <c r="E314" s="21" t="s">
        <v>1521</v>
      </c>
    </row>
    <row r="315" spans="1:5" hidden="1">
      <c r="A315" s="21" t="str">
        <f>IF(Select!$B$2048=1,Lang!B315,IF(Select!$B$2048=2,Lang!C315,IF(Select!$B$2048=3,Lang!D315,IF(Select!$B$2048=4,Lang!E315))))</f>
        <v>12 Pasi</v>
      </c>
      <c r="B315" s="146" t="s">
        <v>354</v>
      </c>
      <c r="C315" s="21" t="s">
        <v>1490</v>
      </c>
      <c r="D315" s="21" t="s">
        <v>1506</v>
      </c>
      <c r="E315" s="21" t="s">
        <v>1522</v>
      </c>
    </row>
    <row r="316" spans="1:5" hidden="1">
      <c r="A316" s="21" t="str">
        <f>IF(Select!$B$2048=1,Lang!B316,IF(Select!$B$2048=2,Lang!C316,IF(Select!$B$2048=3,Lang!D316,IF(Select!$B$2048=4,Lang!E316))))</f>
        <v>11 Pasi</v>
      </c>
      <c r="B316" s="146" t="s">
        <v>355</v>
      </c>
      <c r="C316" s="21" t="s">
        <v>1491</v>
      </c>
      <c r="D316" s="21" t="s">
        <v>1507</v>
      </c>
      <c r="E316" s="21" t="s">
        <v>1523</v>
      </c>
    </row>
    <row r="317" spans="1:5" hidden="1">
      <c r="A317" s="21" t="str">
        <f>IF(Select!$B$2048=1,Lang!B317,IF(Select!$B$2048=2,Lang!C317,IF(Select!$B$2048=3,Lang!D317,IF(Select!$B$2048=4,Lang!E317))))</f>
        <v>10 Pasi</v>
      </c>
      <c r="B317" s="146" t="s">
        <v>356</v>
      </c>
      <c r="C317" s="21" t="s">
        <v>1492</v>
      </c>
      <c r="D317" s="21" t="s">
        <v>1508</v>
      </c>
      <c r="E317" s="21" t="s">
        <v>1524</v>
      </c>
    </row>
    <row r="318" spans="1:5" hidden="1">
      <c r="A318" s="21" t="str">
        <f>IF(Select!$B$2048=1,Lang!B318,IF(Select!$B$2048=2,Lang!C318,IF(Select!$B$2048=3,Lang!D318,IF(Select!$B$2048=4,Lang!E318))))</f>
        <v>9 Pasi</v>
      </c>
      <c r="B318" s="146" t="s">
        <v>357</v>
      </c>
      <c r="C318" s="21" t="s">
        <v>1493</v>
      </c>
      <c r="D318" s="21" t="s">
        <v>1509</v>
      </c>
      <c r="E318" s="21" t="s">
        <v>1525</v>
      </c>
    </row>
    <row r="319" spans="1:5" hidden="1">
      <c r="A319" s="21" t="str">
        <f>IF(Select!$B$2048=1,Lang!B319,IF(Select!$B$2048=2,Lang!C319,IF(Select!$B$2048=3,Lang!D319,IF(Select!$B$2048=4,Lang!E319))))</f>
        <v>8 Pasi</v>
      </c>
      <c r="B319" s="146" t="s">
        <v>358</v>
      </c>
      <c r="C319" s="21" t="s">
        <v>1494</v>
      </c>
      <c r="D319" s="21" t="s">
        <v>1510</v>
      </c>
      <c r="E319" s="21" t="s">
        <v>1526</v>
      </c>
    </row>
    <row r="320" spans="1:5" hidden="1">
      <c r="A320" s="21" t="str">
        <f>IF(Select!$B$2048=1,Lang!B320,IF(Select!$B$2048=2,Lang!C320,IF(Select!$B$2048=3,Lang!D320,IF(Select!$B$2048=4,Lang!E320))))</f>
        <v>7 Pasi</v>
      </c>
      <c r="B320" s="146" t="s">
        <v>359</v>
      </c>
      <c r="C320" s="21" t="s">
        <v>1495</v>
      </c>
      <c r="D320" s="21" t="s">
        <v>1511</v>
      </c>
      <c r="E320" s="21" t="s">
        <v>1527</v>
      </c>
    </row>
    <row r="321" spans="1:5" hidden="1">
      <c r="A321" s="21" t="str">
        <f>IF(Select!$B$2048=1,Lang!B321,IF(Select!$B$2048=2,Lang!C321,IF(Select!$B$2048=3,Lang!D321,IF(Select!$B$2048=4,Lang!E321))))</f>
        <v>6 Pasi</v>
      </c>
      <c r="B321" s="146" t="s">
        <v>360</v>
      </c>
      <c r="C321" s="21" t="s">
        <v>1496</v>
      </c>
      <c r="D321" s="21" t="s">
        <v>1512</v>
      </c>
      <c r="E321" s="21" t="s">
        <v>1528</v>
      </c>
    </row>
    <row r="322" spans="1:5" hidden="1">
      <c r="A322" s="21" t="str">
        <f>IF(Select!$B$2048=1,Lang!B322,IF(Select!$B$2048=2,Lang!C322,IF(Select!$B$2048=3,Lang!D322,IF(Select!$B$2048=4,Lang!E322))))</f>
        <v>5 Pasi</v>
      </c>
      <c r="B322" s="146" t="s">
        <v>361</v>
      </c>
      <c r="C322" s="21" t="s">
        <v>1497</v>
      </c>
      <c r="D322" s="21" t="s">
        <v>1513</v>
      </c>
      <c r="E322" s="21" t="s">
        <v>1529</v>
      </c>
    </row>
    <row r="323" spans="1:5" hidden="1">
      <c r="A323" s="21" t="str">
        <f>IF(Select!$B$2048=1,Lang!B323,IF(Select!$B$2048=2,Lang!C323,IF(Select!$B$2048=3,Lang!D323,IF(Select!$B$2048=4,Lang!E323))))</f>
        <v>4 Pasi</v>
      </c>
      <c r="B323" s="146" t="s">
        <v>362</v>
      </c>
      <c r="C323" s="21" t="s">
        <v>1498</v>
      </c>
      <c r="D323" s="21" t="s">
        <v>1514</v>
      </c>
      <c r="E323" s="21" t="s">
        <v>1530</v>
      </c>
    </row>
    <row r="324" spans="1:5" hidden="1">
      <c r="A324" s="21" t="str">
        <f>IF(Select!$B$2048=1,Lang!B324,IF(Select!$B$2048=2,Lang!C324,IF(Select!$B$2048=3,Lang!D324,IF(Select!$B$2048=4,Lang!E324))))</f>
        <v>3 Pasi</v>
      </c>
      <c r="B324" s="146" t="s">
        <v>363</v>
      </c>
      <c r="C324" s="21" t="s">
        <v>1499</v>
      </c>
      <c r="D324" s="21" t="s">
        <v>1515</v>
      </c>
      <c r="E324" s="21" t="s">
        <v>1531</v>
      </c>
    </row>
    <row r="325" spans="1:5" hidden="1">
      <c r="A325" s="21" t="str">
        <f>IF(Select!$B$2048=1,Lang!B325,IF(Select!$B$2048=2,Lang!C325,IF(Select!$B$2048=3,Lang!D325,IF(Select!$B$2048=4,Lang!E325))))</f>
        <v>2 Pasi</v>
      </c>
      <c r="B325" s="146" t="s">
        <v>364</v>
      </c>
      <c r="C325" s="21" t="s">
        <v>1500</v>
      </c>
      <c r="D325" s="21" t="s">
        <v>1516</v>
      </c>
      <c r="E325" s="21" t="s">
        <v>1532</v>
      </c>
    </row>
    <row r="326" spans="1:5" hidden="1">
      <c r="A326" s="21" t="str">
        <f>IF(Select!$B$2048=1,Lang!B326,IF(Select!$B$2048=2,Lang!C326,IF(Select!$B$2048=3,Lang!D326,IF(Select!$B$2048=4,Lang!E326))))</f>
        <v>1 Pas</v>
      </c>
      <c r="B326" s="146" t="s">
        <v>365</v>
      </c>
      <c r="C326" s="21" t="s">
        <v>1501</v>
      </c>
      <c r="D326" s="21" t="s">
        <v>1517</v>
      </c>
      <c r="E326" s="21" t="s">
        <v>1533</v>
      </c>
    </row>
    <row r="327" spans="1:5" hidden="1">
      <c r="A327" s="21" t="str">
        <f>IF(Select!$B$2048=1,Lang!B327,IF(Select!$B$2048=2,Lang!C327,IF(Select!$B$2048=3,Lang!D327,IF(Select!$B$2048=4,Lang!E327))))</f>
        <v>Selectati Limba</v>
      </c>
      <c r="B327" s="146" t="s">
        <v>1546</v>
      </c>
      <c r="C327" s="21" t="s">
        <v>1547</v>
      </c>
      <c r="D327" s="153" t="s">
        <v>1548</v>
      </c>
      <c r="E327" s="153" t="s">
        <v>1549</v>
      </c>
    </row>
    <row r="328" spans="1:5" hidden="1">
      <c r="A328" s="21" t="str">
        <f>IF(Select!$B$2048=1,Lang!B328,IF(Select!$B$2048=2,Lang!C328,IF(Select!$B$2048=3,Lang!D328,IF(Select!$B$2048=4,Lang!E328))))</f>
        <v>Romana</v>
      </c>
      <c r="B328" s="146" t="s">
        <v>585</v>
      </c>
      <c r="C328" s="153" t="s">
        <v>1550</v>
      </c>
      <c r="D328" s="153" t="s">
        <v>1551</v>
      </c>
      <c r="E328" s="153" t="s">
        <v>1559</v>
      </c>
    </row>
    <row r="329" spans="1:5" hidden="1">
      <c r="A329" s="21" t="str">
        <f>IF(Select!$B$2048=1,Lang!B329,IF(Select!$B$2048=2,Lang!C329,IF(Select!$B$2048=3,Lang!D329,IF(Select!$B$2048=4,Lang!E329))))</f>
        <v>Engleza</v>
      </c>
      <c r="B329" s="146" t="s">
        <v>586</v>
      </c>
      <c r="C329" s="153" t="s">
        <v>1552</v>
      </c>
      <c r="D329" s="153" t="s">
        <v>1553</v>
      </c>
      <c r="E329" s="153" t="s">
        <v>1560</v>
      </c>
    </row>
    <row r="330" spans="1:5" hidden="1">
      <c r="A330" s="21" t="str">
        <f>IF(Select!$B$2048=1,Lang!B330,IF(Select!$B$2048=2,Lang!C330,IF(Select!$B$2048=3,Lang!D330,IF(Select!$B$2048=4,Lang!E330))))</f>
        <v>Bulgara</v>
      </c>
      <c r="B330" s="146" t="s">
        <v>587</v>
      </c>
      <c r="C330" s="153" t="s">
        <v>1554</v>
      </c>
      <c r="D330" s="153" t="s">
        <v>1555</v>
      </c>
      <c r="E330" s="153" t="s">
        <v>1561</v>
      </c>
    </row>
    <row r="331" spans="1:5" hidden="1">
      <c r="A331" s="21" t="str">
        <f>IF(Select!$B$2048=1,Lang!B331,IF(Select!$B$2048=2,Lang!C331,IF(Select!$B$2048=3,Lang!D331,IF(Select!$B$2048=4,Lang!E331))))</f>
        <v>Maghiara</v>
      </c>
      <c r="B331" s="146" t="s">
        <v>588</v>
      </c>
      <c r="C331" s="153" t="s">
        <v>1556</v>
      </c>
      <c r="D331" s="153" t="s">
        <v>1557</v>
      </c>
      <c r="E331" s="153" t="s">
        <v>1558</v>
      </c>
    </row>
    <row r="332" spans="1:5" hidden="1">
      <c r="A332" s="21" t="str">
        <f>IF(Select!$B$2048=1,Lang!B332,IF(Select!$B$2048=2,Lang!C332,IF(Select!$B$2048=3,Lang!D332,IF(Select!$B$2048=4,Lang!E332))))</f>
        <v>Fereastra Dakea Good</v>
      </c>
      <c r="B332" s="147" t="s">
        <v>443</v>
      </c>
      <c r="C332" s="21" t="s">
        <v>1567</v>
      </c>
      <c r="D332" s="21" t="s">
        <v>1568</v>
      </c>
      <c r="E332" s="21" t="s">
        <v>1569</v>
      </c>
    </row>
    <row r="333" spans="1:5" hidden="1">
      <c r="A333" s="21" t="str">
        <f>IF(Select!$B$2048=1,Lang!B333,IF(Select!$B$2048=2,Lang!C333,IF(Select!$B$2048=3,Lang!D333,IF(Select!$B$2048=4,Lang!E333))))</f>
        <v>Fereastra Dakea Good PVC</v>
      </c>
      <c r="B333" s="147" t="s">
        <v>444</v>
      </c>
      <c r="C333" s="21" t="s">
        <v>1570</v>
      </c>
      <c r="D333" s="21" t="s">
        <v>1571</v>
      </c>
      <c r="E333" s="21" t="s">
        <v>1572</v>
      </c>
    </row>
    <row r="334" spans="1:5" hidden="1">
      <c r="A334" s="21" t="str">
        <f>IF(Select!$B$2048=1,Lang!B334,IF(Select!$B$2048=2,Lang!C334,IF(Select!$B$2048=3,Lang!D334,IF(Select!$B$2048=4,Lang!E334))))</f>
        <v>Fereastra Dakea Good Energy</v>
      </c>
      <c r="B334" s="147" t="s">
        <v>445</v>
      </c>
      <c r="C334" s="21" t="s">
        <v>1573</v>
      </c>
      <c r="D334" s="21" t="s">
        <v>1574</v>
      </c>
      <c r="E334" s="21" t="s">
        <v>1575</v>
      </c>
    </row>
    <row r="335" spans="1:5" hidden="1">
      <c r="A335" s="21" t="str">
        <f>IF(Select!$B$2048=1,Lang!B335,IF(Select!$B$2048=2,Lang!C335,IF(Select!$B$2048=3,Lang!D335,IF(Select!$B$2048=4,Lang!E335))))</f>
        <v>Fereastra Dakea Good Energy PVC</v>
      </c>
      <c r="B335" s="147" t="s">
        <v>446</v>
      </c>
      <c r="C335" s="21" t="s">
        <v>1576</v>
      </c>
      <c r="D335" s="21" t="s">
        <v>1577</v>
      </c>
      <c r="E335" s="21" t="s">
        <v>1578</v>
      </c>
    </row>
    <row r="336" spans="1:5" hidden="1">
      <c r="A336" s="21" t="str">
        <f>IF(Select!$B$2048=1,Lang!B336,IF(Select!$B$2048=2,Lang!C336,IF(Select!$B$2048=3,Lang!D336,IF(Select!$B$2048=4,Lang!E336))))</f>
        <v>Fereastra Dakea Better Safe</v>
      </c>
      <c r="B336" s="147" t="s">
        <v>447</v>
      </c>
      <c r="C336" s="21" t="s">
        <v>1579</v>
      </c>
      <c r="D336" s="21" t="s">
        <v>1580</v>
      </c>
      <c r="E336" s="21" t="s">
        <v>1581</v>
      </c>
    </row>
    <row r="337" spans="1:5" hidden="1">
      <c r="A337" s="21" t="str">
        <f>IF(Select!$B$2048=1,Lang!B337,IF(Select!$B$2048=2,Lang!C337,IF(Select!$B$2048=3,Lang!D337,IF(Select!$B$2048=4,Lang!E337))))</f>
        <v>Fereastra Dakea Better Safe PVC</v>
      </c>
      <c r="B337" s="147" t="s">
        <v>448</v>
      </c>
      <c r="C337" s="21" t="s">
        <v>1582</v>
      </c>
      <c r="D337" s="21" t="s">
        <v>1583</v>
      </c>
      <c r="E337" s="21" t="s">
        <v>1584</v>
      </c>
    </row>
    <row r="338" spans="1:5" hidden="1">
      <c r="A338" s="21" t="str">
        <f>IF(Select!$B$2048=1,Lang!B338,IF(Select!$B$2048=2,Lang!C338,IF(Select!$B$2048=3,Lang!D338,IF(Select!$B$2048=4,Lang!E338))))</f>
        <v>Fereastra Dakea Better Energy</v>
      </c>
      <c r="B338" s="147" t="s">
        <v>449</v>
      </c>
      <c r="C338" s="21" t="s">
        <v>1585</v>
      </c>
      <c r="D338" s="21" t="s">
        <v>1586</v>
      </c>
      <c r="E338" s="21" t="s">
        <v>1587</v>
      </c>
    </row>
    <row r="339" spans="1:5" hidden="1">
      <c r="A339" s="21" t="str">
        <f>IF(Select!$B$2048=1,Lang!B339,IF(Select!$B$2048=2,Lang!C339,IF(Select!$B$2048=3,Lang!D339,IF(Select!$B$2048=4,Lang!E339))))</f>
        <v>Fereastra Dakea Better Energy PVC</v>
      </c>
      <c r="B339" s="147" t="s">
        <v>450</v>
      </c>
      <c r="C339" s="21" t="s">
        <v>1588</v>
      </c>
      <c r="D339" s="21" t="s">
        <v>1589</v>
      </c>
      <c r="E339" s="21" t="s">
        <v>1590</v>
      </c>
    </row>
    <row r="340" spans="1:5" hidden="1">
      <c r="A340" s="21" t="str">
        <f>IF(Select!$B$2048=1,Lang!B340,IF(Select!$B$2048=2,Lang!C340,IF(Select!$B$2048=3,Lang!D340,IF(Select!$B$2048=4,Lang!E340))))</f>
        <v>Fereastra Dakea Ultima</v>
      </c>
      <c r="B340" s="147" t="s">
        <v>451</v>
      </c>
      <c r="C340" s="21" t="s">
        <v>1591</v>
      </c>
      <c r="D340" s="21" t="s">
        <v>1592</v>
      </c>
      <c r="E340" s="21" t="s">
        <v>1593</v>
      </c>
    </row>
    <row r="341" spans="1:5" hidden="1">
      <c r="A341" s="21" t="str">
        <f>IF(Select!$B$2048=1,Lang!B341,IF(Select!$B$2048=2,Lang!C341,IF(Select!$B$2048=3,Lang!D341,IF(Select!$B$2048=4,Lang!E341))))</f>
        <v>Fereastra Dakea Ultima Energy</v>
      </c>
      <c r="B341" s="147" t="s">
        <v>452</v>
      </c>
      <c r="C341" s="21" t="s">
        <v>1594</v>
      </c>
      <c r="D341" s="21" t="s">
        <v>1595</v>
      </c>
      <c r="E341" s="21" t="s">
        <v>1596</v>
      </c>
    </row>
    <row r="342" spans="1:5" hidden="1">
      <c r="A342" s="21" t="str">
        <f>IF(Select!$B$2048=1,Lang!B342,IF(Select!$B$2048=2,Lang!C342,IF(Select!$B$2048=3,Lang!D342,IF(Select!$B$2048=4,Lang!E342))))</f>
        <v>Fereastra Dakea Ultima Energy PVC</v>
      </c>
      <c r="B342" s="147" t="s">
        <v>475</v>
      </c>
      <c r="C342" s="21" t="s">
        <v>1597</v>
      </c>
      <c r="D342" s="21" t="s">
        <v>1598</v>
      </c>
      <c r="E342" s="21" t="s">
        <v>1599</v>
      </c>
    </row>
    <row r="343" spans="1:5" hidden="1">
      <c r="A343" s="21" t="str">
        <f>IF(Select!$B$2048=1,Lang!B343,IF(Select!$B$2048=2,Lang!C343,IF(Select!$B$2048=3,Lang!D343,IF(Select!$B$2048=4,Lang!E343))))</f>
        <v>Rama Dakea KUF</v>
      </c>
      <c r="B343" s="147" t="s">
        <v>1603</v>
      </c>
      <c r="C343" s="21" t="s">
        <v>1604</v>
      </c>
      <c r="D343" s="21" t="s">
        <v>1605</v>
      </c>
      <c r="E343" s="21" t="s">
        <v>1606</v>
      </c>
    </row>
    <row r="344" spans="1:5" hidden="1">
      <c r="A344" s="21" t="str">
        <f>IF(Select!$B$2048=1,Lang!B344,IF(Select!$B$2048=2,Lang!C344,IF(Select!$B$2048=3,Lang!D344,IF(Select!$B$2048=4,Lang!E344))))</f>
        <v>Trapa acces Flex</v>
      </c>
      <c r="B344" s="147" t="s">
        <v>453</v>
      </c>
      <c r="C344" s="21" t="s">
        <v>1119</v>
      </c>
      <c r="D344" s="21" t="s">
        <v>1120</v>
      </c>
      <c r="E344" s="21" t="s">
        <v>1121</v>
      </c>
    </row>
    <row r="345" spans="1:5" hidden="1">
      <c r="A345" s="21" t="str">
        <f>IF(Select!$B$2048=1,Lang!B345,IF(Select!$B$2048=2,Lang!C345,IF(Select!$B$2048=3,Lang!D345,IF(Select!$B$2048=4,Lang!E345))))</f>
        <v>Dispozitiv deschidere Tija manuala</v>
      </c>
      <c r="B345" s="147" t="s">
        <v>454</v>
      </c>
      <c r="C345" s="153" t="s">
        <v>1607</v>
      </c>
      <c r="D345" s="153" t="s">
        <v>1608</v>
      </c>
      <c r="E345" s="153" t="s">
        <v>1609</v>
      </c>
    </row>
    <row r="346" spans="1:5" hidden="1">
      <c r="A346" s="21" t="str">
        <f>IF(Select!$B$2048=1,Lang!B346,IF(Select!$B$2048=2,Lang!C346,IF(Select!$B$2048=3,Lang!D346,IF(Select!$B$2048=4,Lang!E346))))</f>
        <v>Dispozitiv deschidere Electric</v>
      </c>
      <c r="B346" s="147" t="s">
        <v>455</v>
      </c>
      <c r="C346" s="153" t="s">
        <v>1610</v>
      </c>
      <c r="D346" s="153" t="s">
        <v>1611</v>
      </c>
      <c r="E346" s="153" t="s">
        <v>1612</v>
      </c>
    </row>
    <row r="347" spans="1:5" hidden="1">
      <c r="A347" s="21" t="str">
        <f>IF(Select!$B$2048=1,Lang!B347,IF(Select!$B$2048=2,Lang!C347,IF(Select!$B$2048=3,Lang!D347,IF(Select!$B$2048=4,Lang!E347))))</f>
        <v>Scara Pod Dakea Step</v>
      </c>
      <c r="B347" s="147" t="s">
        <v>456</v>
      </c>
      <c r="C347" s="21" t="s">
        <v>1107</v>
      </c>
      <c r="D347" s="21" t="s">
        <v>1108</v>
      </c>
      <c r="E347" s="21" t="s">
        <v>1109</v>
      </c>
    </row>
    <row r="348" spans="1:5" hidden="1">
      <c r="A348" s="21" t="str">
        <f>IF(Select!$B$2048=1,Lang!B348,IF(Select!$B$2048=2,Lang!C348,IF(Select!$B$2048=3,Lang!D348,IF(Select!$B$2048=4,Lang!E348))))</f>
        <v>Scara Pod Dakea Max</v>
      </c>
      <c r="B348" s="147" t="s">
        <v>457</v>
      </c>
      <c r="C348" s="21" t="s">
        <v>1111</v>
      </c>
      <c r="D348" s="21" t="s">
        <v>1112</v>
      </c>
      <c r="E348" s="21" t="s">
        <v>1113</v>
      </c>
    </row>
    <row r="349" spans="1:5" hidden="1">
      <c r="A349" s="21" t="str">
        <f>IF(Select!$B$2048=1,Lang!B349,IF(Select!$B$2048=2,Lang!C349,IF(Select!$B$2048=3,Lang!D349,IF(Select!$B$2048=4,Lang!E349))))</f>
        <v>FEREASTRA DE MANSARDA ROOFLITE</v>
      </c>
      <c r="B349" s="147" t="s">
        <v>458</v>
      </c>
      <c r="C349" s="21" t="s">
        <v>1600</v>
      </c>
      <c r="D349" s="21" t="s">
        <v>1601</v>
      </c>
      <c r="E349" s="21" t="s">
        <v>1602</v>
      </c>
    </row>
    <row r="350" spans="1:5" hidden="1">
      <c r="A350" s="21" t="str">
        <f>IF(Select!$B$2048=1,Lang!B350,IF(Select!$B$2048=2,Lang!C350,IF(Select!$B$2048=3,Lang!D350,IF(Select!$B$2048=4,Lang!E350))))</f>
        <v>RAMA ROOFLITE</v>
      </c>
      <c r="B350" s="147" t="s">
        <v>459</v>
      </c>
      <c r="C350" s="21" t="s">
        <v>1613</v>
      </c>
      <c r="D350" s="21" t="s">
        <v>1614</v>
      </c>
      <c r="E350" s="21" t="s">
        <v>1615</v>
      </c>
    </row>
    <row r="351" spans="1:5" hidden="1">
      <c r="A351" s="21" t="str">
        <f>IF(Select!$B$2048=1,Lang!B351,IF(Select!$B$2048=2,Lang!C351,IF(Select!$B$2048=3,Lang!D351,IF(Select!$B$2048=4,Lang!E351))))</f>
        <v>Latime rulou:</v>
      </c>
      <c r="B351" s="21" t="s">
        <v>547</v>
      </c>
      <c r="C351" s="153" t="s">
        <v>1562</v>
      </c>
      <c r="D351" s="153" t="s">
        <v>1563</v>
      </c>
      <c r="E351" s="153" t="s">
        <v>1564</v>
      </c>
    </row>
    <row r="352" spans="1:5" hidden="1">
      <c r="A352" s="21" t="str">
        <f>IF(Select!$B$2048=1,Lang!B352,IF(Select!$B$2048=2,Lang!C352,IF(Select!$B$2048=3,Lang!D352,IF(Select!$B$2048=4,Lang!E352))))</f>
        <v>Tip:</v>
      </c>
      <c r="B352" s="153" t="s">
        <v>135</v>
      </c>
      <c r="C352" s="153" t="s">
        <v>135</v>
      </c>
      <c r="D352" s="153" t="s">
        <v>1565</v>
      </c>
      <c r="E352" s="153" t="s">
        <v>1566</v>
      </c>
    </row>
    <row r="353" spans="1:5" hidden="1">
      <c r="A353" s="21" t="str">
        <f>IF(Select!$B$2048=1,Lang!B353,IF(Select!$B$2048=2,Lang!C353,IF(Select!$B$2048=3,Lang!D353,IF(Select!$B$2048=4,Lang!E353))))</f>
        <v>SCULE</v>
      </c>
      <c r="B353" s="147" t="s">
        <v>520</v>
      </c>
      <c r="C353" s="21" t="s">
        <v>36</v>
      </c>
      <c r="D353" s="21" t="s">
        <v>36</v>
      </c>
      <c r="E353" s="21" t="s">
        <v>36</v>
      </c>
    </row>
    <row r="354" spans="1:5" hidden="1">
      <c r="A354" s="21" t="str">
        <f>IF(Select!$B$2048=1,Lang!B354,IF(Select!$B$2048=2,Lang!C354,IF(Select!$B$2048=3,Lang!D354,IF(Select!$B$2048=4,Lang!E354))))</f>
        <v>Foarfeca pelican</v>
      </c>
      <c r="B354" s="147" t="s">
        <v>521</v>
      </c>
      <c r="C354" s="21" t="s">
        <v>36</v>
      </c>
      <c r="D354" s="21" t="s">
        <v>36</v>
      </c>
      <c r="E354" s="21" t="s">
        <v>36</v>
      </c>
    </row>
    <row r="355" spans="1:5" hidden="1">
      <c r="A355" s="21" t="str">
        <f>IF(Select!$B$2048=1,Lang!B355,IF(Select!$B$2048=2,Lang!C355,IF(Select!$B$2048=3,Lang!D355,IF(Select!$B$2048=4,Lang!E355))))</f>
        <v xml:space="preserve">Foarfeca combinata </v>
      </c>
      <c r="B355" s="147" t="s">
        <v>1765</v>
      </c>
      <c r="C355" s="21" t="s">
        <v>36</v>
      </c>
      <c r="D355" s="21" t="s">
        <v>36</v>
      </c>
      <c r="E355" s="21" t="s">
        <v>36</v>
      </c>
    </row>
    <row r="356" spans="1:5" hidden="1">
      <c r="A356" s="21" t="str">
        <f>IF(Select!$B$2048=1,Lang!B356,IF(Select!$B$2048=2,Lang!C356,IF(Select!$B$2048=3,Lang!D356,IF(Select!$B$2048=4,Lang!E356))))</f>
        <v xml:space="preserve">Foarfeca circulara </v>
      </c>
      <c r="B356" s="147" t="s">
        <v>1766</v>
      </c>
      <c r="C356" s="21" t="s">
        <v>36</v>
      </c>
      <c r="D356" s="21" t="s">
        <v>36</v>
      </c>
      <c r="E356" s="21" t="s">
        <v>36</v>
      </c>
    </row>
    <row r="357" spans="1:5" hidden="1">
      <c r="A357" s="21" t="str">
        <f>IF(Select!$B$2048=1,Lang!B357,IF(Select!$B$2048=2,Lang!C357,IF(Select!$B$2048=3,Lang!D357,IF(Select!$B$2048=4,Lang!E357))))</f>
        <v>Cleste falci rotunde</v>
      </c>
      <c r="B357" s="147" t="s">
        <v>524</v>
      </c>
      <c r="C357" s="21" t="s">
        <v>36</v>
      </c>
      <c r="D357" s="21" t="s">
        <v>36</v>
      </c>
      <c r="E357" s="21" t="s">
        <v>36</v>
      </c>
    </row>
    <row r="358" spans="1:5" hidden="1">
      <c r="A358" s="21" t="str">
        <f>IF(Select!$B$2048=1,Lang!B358,IF(Select!$B$2048=2,Lang!C358,IF(Select!$B$2048=3,Lang!D358,IF(Select!$B$2048=4,Lang!E358))))</f>
        <v>Cleste faltuit drept</v>
      </c>
      <c r="B358" s="147" t="s">
        <v>525</v>
      </c>
      <c r="C358" s="21" t="s">
        <v>36</v>
      </c>
      <c r="D358" s="21" t="s">
        <v>36</v>
      </c>
      <c r="E358" s="21" t="s">
        <v>36</v>
      </c>
    </row>
    <row r="359" spans="1:5" hidden="1">
      <c r="A359" s="21" t="str">
        <f>IF(Select!$B$2048=1,Lang!B359,IF(Select!$B$2048=2,Lang!C359,IF(Select!$B$2048=3,Lang!D359,IF(Select!$B$2048=4,Lang!E359))))</f>
        <v>Cleste faltuit 45°</v>
      </c>
      <c r="B359" s="147" t="s">
        <v>526</v>
      </c>
      <c r="C359" s="21" t="s">
        <v>36</v>
      </c>
      <c r="D359" s="21" t="s">
        <v>36</v>
      </c>
      <c r="E359" s="21" t="s">
        <v>36</v>
      </c>
    </row>
    <row r="360" spans="1:5" hidden="1">
      <c r="A360" s="21" t="str">
        <f>IF(Select!$B$2048=1,Lang!B360,IF(Select!$B$2048=2,Lang!C360,IF(Select!$B$2048=3,Lang!D360,IF(Select!$B$2048=4,Lang!E360))))</f>
        <v>Cleste deschis falt</v>
      </c>
      <c r="B360" s="147" t="s">
        <v>527</v>
      </c>
      <c r="C360" s="21" t="s">
        <v>36</v>
      </c>
      <c r="D360" s="21" t="s">
        <v>36</v>
      </c>
      <c r="E360" s="21" t="s">
        <v>36</v>
      </c>
    </row>
    <row r="361" spans="1:5" hidden="1">
      <c r="A361" s="21" t="str">
        <f>IF(Select!$B$2048=1,Lang!B361,IF(Select!$B$2048=2,Lang!C361,IF(Select!$B$2048=3,Lang!D361,IF(Select!$B$2048=4,Lang!E361))))</f>
        <v>Cleste pliere</v>
      </c>
      <c r="B361" s="147" t="s">
        <v>528</v>
      </c>
      <c r="C361" s="21" t="s">
        <v>36</v>
      </c>
      <c r="D361" s="21" t="s">
        <v>36</v>
      </c>
      <c r="E361" s="21" t="s">
        <v>36</v>
      </c>
    </row>
    <row r="362" spans="1:5" hidden="1">
      <c r="A362" s="21" t="str">
        <f>IF(Select!$B$2048=1,Lang!B362,IF(Select!$B$2048=2,Lang!C362,IF(Select!$B$2048=3,Lang!D362,IF(Select!$B$2048=4,Lang!E362))))</f>
        <v>Cleste faltuit pe rotund</v>
      </c>
      <c r="B362" s="147" t="s">
        <v>529</v>
      </c>
      <c r="C362" s="21" t="s">
        <v>36</v>
      </c>
      <c r="D362" s="21" t="s">
        <v>36</v>
      </c>
      <c r="E362" s="21" t="s">
        <v>36</v>
      </c>
    </row>
    <row r="363" spans="1:5" hidden="1">
      <c r="A363" s="21" t="str">
        <f>IF(Select!$B$2048=1,Lang!B363,IF(Select!$B$2048=2,Lang!C363,IF(Select!$B$2048=3,Lang!D363,IF(Select!$B$2048=4,Lang!E363))))</f>
        <v>Prisma teflon cu praguri</v>
      </c>
      <c r="B363" s="147" t="s">
        <v>530</v>
      </c>
      <c r="C363" s="21" t="s">
        <v>36</v>
      </c>
      <c r="D363" s="21" t="s">
        <v>36</v>
      </c>
      <c r="E363" s="21" t="s">
        <v>36</v>
      </c>
    </row>
    <row r="364" spans="1:5" hidden="1">
      <c r="A364" s="21" t="str">
        <f>IF(Select!$B$2048=1,Lang!B364,IF(Select!$B$2048=2,Lang!C364,IF(Select!$B$2048=3,Lang!D364,IF(Select!$B$2048=4,Lang!E364))))</f>
        <v>Ciocan teflon tip pana</v>
      </c>
      <c r="B364" s="147" t="s">
        <v>531</v>
      </c>
      <c r="C364" s="21" t="s">
        <v>36</v>
      </c>
      <c r="D364" s="21" t="s">
        <v>36</v>
      </c>
      <c r="E364" s="21" t="s">
        <v>36</v>
      </c>
    </row>
    <row r="365" spans="1:5" hidden="1">
      <c r="A365" s="21" t="str">
        <f>IF(Select!$B$2048=1,Lang!B365,IF(Select!$B$2048=2,Lang!C365,IF(Select!$B$2048=3,Lang!D365,IF(Select!$B$2048=4,Lang!E365))))</f>
        <v>Ciocan teflon rectangular</v>
      </c>
      <c r="B365" s="147" t="s">
        <v>532</v>
      </c>
      <c r="C365" s="21" t="s">
        <v>36</v>
      </c>
      <c r="D365" s="21" t="s">
        <v>36</v>
      </c>
      <c r="E365" s="21" t="s">
        <v>36</v>
      </c>
    </row>
    <row r="366" spans="1:5" hidden="1">
      <c r="A366" s="21" t="str">
        <f>IF(Select!$B$2048=1,Lang!B366,IF(Select!$B$2048=2,Lang!C366,IF(Select!$B$2048=3,Lang!D366,IF(Select!$B$2048=4,Lang!E366))))</f>
        <v>Ciocan rotund</v>
      </c>
      <c r="B366" s="147" t="s">
        <v>533</v>
      </c>
      <c r="C366" s="21" t="s">
        <v>36</v>
      </c>
      <c r="D366" s="21" t="s">
        <v>36</v>
      </c>
      <c r="E366" s="21" t="s">
        <v>36</v>
      </c>
    </row>
    <row r="367" spans="1:5" hidden="1">
      <c r="A367" s="21" t="str">
        <f>IF(Select!$B$2048=1,Lang!B367,IF(Select!$B$2048=2,Lang!C367,IF(Select!$B$2048=3,Lang!D367,IF(Select!$B$2048=4,Lang!E367))))</f>
        <v>Trasator gradat</v>
      </c>
      <c r="B367" s="147" t="s">
        <v>534</v>
      </c>
      <c r="C367" s="21" t="s">
        <v>36</v>
      </c>
      <c r="D367" s="21" t="s">
        <v>36</v>
      </c>
      <c r="E367" s="21" t="s">
        <v>36</v>
      </c>
    </row>
    <row r="368" spans="1:5" hidden="1">
      <c r="A368" s="21" t="str">
        <f>IF(Select!$B$2048=1,Lang!B368,IF(Select!$B$2048=2,Lang!C368,IF(Select!$B$2048=3,Lang!D368,IF(Select!$B$2048=4,Lang!E368))))</f>
        <v>Faltuitor streasina</v>
      </c>
      <c r="B368" s="147" t="s">
        <v>535</v>
      </c>
      <c r="C368" s="21" t="s">
        <v>36</v>
      </c>
      <c r="D368" s="21" t="s">
        <v>36</v>
      </c>
      <c r="E368" s="21" t="s">
        <v>36</v>
      </c>
    </row>
    <row r="369" spans="1:5" hidden="1">
      <c r="A369" s="21" t="str">
        <f>IF(Select!$B$2048=1,Lang!B369,IF(Select!$B$2048=2,Lang!C369,IF(Select!$B$2048=3,Lang!D369,IF(Select!$B$2048=4,Lang!E369))))</f>
        <v>Inchizator falt simplu</v>
      </c>
      <c r="B369" s="147" t="s">
        <v>536</v>
      </c>
      <c r="C369" s="21" t="s">
        <v>36</v>
      </c>
      <c r="D369" s="21" t="s">
        <v>36</v>
      </c>
      <c r="E369" s="21" t="s">
        <v>36</v>
      </c>
    </row>
    <row r="370" spans="1:5" hidden="1">
      <c r="A370" s="21" t="str">
        <f>IF(Select!$B$2048=1,Lang!B370,IF(Select!$B$2048=2,Lang!C370,IF(Select!$B$2048=3,Lang!D370,IF(Select!$B$2048=4,Lang!E370))))</f>
        <v>Inchizator falt dublu</v>
      </c>
      <c r="B370" s="147" t="s">
        <v>537</v>
      </c>
      <c r="C370" s="21" t="s">
        <v>36</v>
      </c>
      <c r="D370" s="21" t="s">
        <v>36</v>
      </c>
      <c r="E370" s="21" t="s">
        <v>36</v>
      </c>
    </row>
    <row r="371" spans="1:5" hidden="1">
      <c r="A371" s="21" t="str">
        <f>IF(Select!$B$2048=1,Lang!B371,IF(Select!$B$2048=2,Lang!C371,IF(Select!$B$2048=3,Lang!D371,IF(Select!$B$2048=4,Lang!E371))))</f>
        <v>Prisma curbata</v>
      </c>
      <c r="B371" s="147" t="s">
        <v>538</v>
      </c>
      <c r="C371" s="21" t="s">
        <v>36</v>
      </c>
      <c r="D371" s="21" t="s">
        <v>36</v>
      </c>
      <c r="E371" s="21" t="s">
        <v>36</v>
      </c>
    </row>
    <row r="372" spans="1:5" hidden="1">
      <c r="A372" s="21" t="str">
        <f>IF(Select!$B$2048=1,Lang!B372,IF(Select!$B$2048=2,Lang!C372,IF(Select!$B$2048=3,Lang!D372,IF(Select!$B$2048=4,Lang!E372))))</f>
        <v>Ham munca</v>
      </c>
      <c r="B372" s="147" t="s">
        <v>539</v>
      </c>
      <c r="C372" s="21" t="s">
        <v>36</v>
      </c>
      <c r="D372" s="21" t="s">
        <v>36</v>
      </c>
      <c r="E372" s="21" t="s">
        <v>36</v>
      </c>
    </row>
    <row r="373" spans="1:5" hidden="1">
      <c r="A373" s="21" t="str">
        <f>IF(Select!$B$2048=1,Lang!B373,IF(Select!$B$2048=2,Lang!C373,IF(Select!$B$2048=3,Lang!D373,IF(Select!$B$2048=4,Lang!E373))))</f>
        <v>Dispozitiv indoit carlige</v>
      </c>
      <c r="B373" s="147" t="s">
        <v>540</v>
      </c>
      <c r="C373" s="21" t="s">
        <v>36</v>
      </c>
      <c r="D373" s="21" t="s">
        <v>36</v>
      </c>
      <c r="E373" s="21" t="s">
        <v>36</v>
      </c>
    </row>
    <row r="374" spans="1:5" hidden="1">
      <c r="A374" s="21" t="str">
        <f>IF(Select!$B$2048=1,Lang!B374,IF(Select!$B$2048=2,Lang!C374,IF(Select!$B$2048=3,Lang!D374,IF(Select!$B$2048=4,Lang!E374))))</f>
        <v>LUCIOS 0.6</v>
      </c>
      <c r="B374" s="21" t="s">
        <v>1616</v>
      </c>
      <c r="C374" s="21" t="s">
        <v>1617</v>
      </c>
      <c r="D374" s="21" t="s">
        <v>1618</v>
      </c>
      <c r="E374" s="21" t="s">
        <v>1619</v>
      </c>
    </row>
    <row r="375" spans="1:5" hidden="1">
      <c r="A375" s="21" t="str">
        <f>IF(Select!$B$2048=1,Lang!B375,IF(Select!$B$2048=2,Lang!C375,IF(Select!$B$2048=3,Lang!D375,IF(Select!$B$2048=4,Lang!E375))))</f>
        <v>LUCIOS 0.75</v>
      </c>
      <c r="B375" s="21" t="s">
        <v>1620</v>
      </c>
      <c r="C375" s="21" t="s">
        <v>1621</v>
      </c>
      <c r="D375" s="21" t="s">
        <v>1622</v>
      </c>
      <c r="E375" s="21" t="s">
        <v>1623</v>
      </c>
    </row>
    <row r="376" spans="1:5" hidden="1">
      <c r="A376" s="21" t="str">
        <f>IF(Select!$B$2048=1,Lang!B376,IF(Select!$B$2048=2,Lang!C376,IF(Select!$B$2048=3,Lang!D376,IF(Select!$B$2048=4,Lang!E376))))</f>
        <v>Otel Dublu prevopsit</v>
      </c>
      <c r="B376" s="146" t="s">
        <v>492</v>
      </c>
      <c r="C376" s="153" t="s">
        <v>1627</v>
      </c>
      <c r="D376" s="153" t="s">
        <v>1628</v>
      </c>
      <c r="E376" s="153" t="s">
        <v>1629</v>
      </c>
    </row>
    <row r="377" spans="1:5" hidden="1">
      <c r="A377" s="21" t="str">
        <f>IF(Select!$B$2048=1,Lang!B377,IF(Select!$B$2048=2,Lang!C377,IF(Select!$B$2048=3,Lang!D377,IF(Select!$B$2048=4,Lang!E377))))</f>
        <v>0.5 Alzn</v>
      </c>
      <c r="B377" s="146" t="s">
        <v>490</v>
      </c>
      <c r="C377" s="146" t="s">
        <v>490</v>
      </c>
      <c r="D377" s="146" t="s">
        <v>490</v>
      </c>
      <c r="E377" s="146" t="s">
        <v>490</v>
      </c>
    </row>
    <row r="378" spans="1:5" hidden="1">
      <c r="A378" s="21" t="str">
        <f>IF(Select!$B$2048=1,Lang!B378,IF(Select!$B$2048=2,Lang!C378,IF(Select!$B$2048=3,Lang!D378,IF(Select!$B$2048=4,Lang!E378))))</f>
        <v>0.5 Zn</v>
      </c>
      <c r="B378" s="146" t="s">
        <v>491</v>
      </c>
      <c r="C378" s="146" t="s">
        <v>491</v>
      </c>
      <c r="D378" s="146" t="s">
        <v>491</v>
      </c>
      <c r="E378" s="146" t="s">
        <v>491</v>
      </c>
    </row>
    <row r="379" spans="1:5" hidden="1">
      <c r="A379" s="21" t="str">
        <f>IF(Select!$B$2048=1,Lang!B379,IF(Select!$B$2048=2,Lang!C379,IF(Select!$B$2048=3,Lang!D379,IF(Select!$B$2048=4,Lang!E379))))</f>
        <v>Descarcare***</v>
      </c>
      <c r="B379" s="21" t="s">
        <v>1631</v>
      </c>
      <c r="C379" s="153" t="s">
        <v>1632</v>
      </c>
      <c r="D379" s="153" t="s">
        <v>1633</v>
      </c>
      <c r="E379" s="153" t="s">
        <v>1634</v>
      </c>
    </row>
    <row r="380" spans="1:5" hidden="1">
      <c r="A380" s="21" t="str">
        <f>IF(Select!$B$2048=1,Lang!B380,IF(Select!$B$2048=2,Lang!C380,IF(Select!$B$2048=3,Lang!D380,IF(Select!$B$2048=4,Lang!E380))))</f>
        <v>Mecanizata</v>
      </c>
      <c r="B380" s="146" t="s">
        <v>570</v>
      </c>
      <c r="C380" s="153" t="s">
        <v>1635</v>
      </c>
      <c r="D380" s="153" t="s">
        <v>1636</v>
      </c>
      <c r="E380" s="153" t="s">
        <v>1637</v>
      </c>
    </row>
    <row r="381" spans="1:5" hidden="1">
      <c r="A381" s="21" t="str">
        <f>IF(Select!$B$2048=1,Lang!B381,IF(Select!$B$2048=2,Lang!C381,IF(Select!$B$2048=3,Lang!D381,IF(Select!$B$2048=4,Lang!E381))))</f>
        <v>Manuala</v>
      </c>
      <c r="B381" s="146" t="s">
        <v>569</v>
      </c>
      <c r="C381" s="153" t="s">
        <v>1638</v>
      </c>
      <c r="D381" s="153" t="s">
        <v>1639</v>
      </c>
      <c r="E381" s="153" t="s">
        <v>1640</v>
      </c>
    </row>
    <row r="382" spans="1:5" hidden="1">
      <c r="A382" s="21" t="str">
        <f>IF(Select!$B$2048=1,Lang!B382,IF(Select!$B$2048=2,Lang!C382,IF(Select!$B$2048=3,Lang!D382,IF(Select!$B$2048=4,Lang!E382))))</f>
        <v>Fisier realizat de:</v>
      </c>
      <c r="B382" s="146" t="s">
        <v>1641</v>
      </c>
      <c r="C382" s="153" t="s">
        <v>1642</v>
      </c>
      <c r="D382" s="153" t="s">
        <v>1643</v>
      </c>
      <c r="E382" s="153" t="s">
        <v>1644</v>
      </c>
    </row>
    <row r="383" spans="1:5">
      <c r="A383" s="21" t="str">
        <f>IF(Select!$B$2048=1,Lang!B383,IF(Select!$B$2048=2,Lang!C383,IF(Select!$B$2048=3,Lang!D383,IF(Select!$B$2048=4,Lang!E383))))</f>
        <v>Profil ventilatie coama Click(Negru/Gri)</v>
      </c>
      <c r="B383" s="21" t="s">
        <v>1658</v>
      </c>
    </row>
    <row r="384" spans="1:5" ht="15.6">
      <c r="A384" s="355" t="str">
        <f>IF(Select!$B$2048=1,Lang!B384,IF(Select!$B$2048=2,Lang!C384,IF(Select!$B$2048=3,Lang!D384,IF(Select!$B$2048=4,Lang!E384))))</f>
        <v>Coama dreapta mare</v>
      </c>
      <c r="B384" s="354" t="s">
        <v>1847</v>
      </c>
      <c r="C384" s="21" t="s">
        <v>1042</v>
      </c>
      <c r="D384" s="21" t="s">
        <v>1043</v>
      </c>
      <c r="E384" s="21" t="s">
        <v>1044</v>
      </c>
    </row>
    <row r="385" spans="1:5" ht="15.6">
      <c r="A385" s="355" t="str">
        <f>IF(Select!$B$2048=1,Lang!B385,IF(Select!$B$2048=2,Lang!C385,IF(Select!$B$2048=3,Lang!D385,IF(Select!$B$2048=4,Lang!E385))))</f>
        <v xml:space="preserve">Racord calcan Click </v>
      </c>
      <c r="B385" s="354" t="s">
        <v>1848</v>
      </c>
      <c r="C385" s="21" t="s">
        <v>1045</v>
      </c>
      <c r="D385" s="21" t="s">
        <v>1046</v>
      </c>
      <c r="E385" s="21" t="s">
        <v>1047</v>
      </c>
    </row>
    <row r="386" spans="1:5" ht="15.6">
      <c r="A386" s="355" t="str">
        <f>IF(Select!$B$2048=1,Lang!B386,IF(Select!$B$2048=2,Lang!C386,IF(Select!$B$2048=3,Lang!D386,IF(Select!$B$2048=4,Lang!E386))))</f>
        <v>Dolie</v>
      </c>
      <c r="B386" s="354" t="s">
        <v>145</v>
      </c>
      <c r="C386" s="21" t="s">
        <v>1048</v>
      </c>
      <c r="D386" s="21" t="s">
        <v>703</v>
      </c>
      <c r="E386" s="21" t="s">
        <v>1049</v>
      </c>
    </row>
    <row r="387" spans="1:5" ht="15.6">
      <c r="A387" s="355" t="str">
        <f>IF(Select!$B$2048=1,Lang!B387,IF(Select!$B$2048=2,Lang!C387,IF(Select!$B$2048=3,Lang!D387,IF(Select!$B$2048=4,Lang!E387))))</f>
        <v>Pazie  Click</v>
      </c>
      <c r="B387" s="354" t="s">
        <v>146</v>
      </c>
      <c r="C387" s="21" t="s">
        <v>1050</v>
      </c>
      <c r="D387" s="21" t="s">
        <v>1051</v>
      </c>
      <c r="E387" s="21" t="s">
        <v>1052</v>
      </c>
    </row>
    <row r="388" spans="1:5" ht="15.6">
      <c r="A388" s="355" t="str">
        <f>IF(Select!$B$2048=1,Lang!B388,IF(Select!$B$2048=2,Lang!C388,IF(Select!$B$2048=3,Lang!D388,IF(Select!$B$2048=4,Lang!E388))))</f>
        <v>Racord Perete Click</v>
      </c>
      <c r="B388" s="354" t="s">
        <v>2243</v>
      </c>
      <c r="C388" s="21" t="s">
        <v>1053</v>
      </c>
      <c r="D388" s="21" t="s">
        <v>1054</v>
      </c>
      <c r="E388" s="21" t="s">
        <v>1055</v>
      </c>
    </row>
    <row r="389" spans="1:5" ht="15.6">
      <c r="A389" s="355" t="str">
        <f>IF(Select!$B$2048=1,Lang!B389,IF(Select!$B$2048=2,Lang!C389,IF(Select!$B$2048=3,Lang!D389,IF(Select!$B$2048=4,Lang!E389))))</f>
        <v xml:space="preserve">Semicoama </v>
      </c>
      <c r="B389" s="354" t="s">
        <v>1849</v>
      </c>
      <c r="C389" s="21" t="s">
        <v>1056</v>
      </c>
      <c r="D389" s="21" t="s">
        <v>1057</v>
      </c>
      <c r="E389" s="21" t="s">
        <v>1058</v>
      </c>
    </row>
    <row r="390" spans="1:5" ht="15.6">
      <c r="A390" s="355" t="str">
        <f>IF(Select!$B$2048=1,Lang!B390,IF(Select!$B$2048=2,Lang!C390,IF(Select!$B$2048=3,Lang!D390,IF(Select!$B$2048=4,Lang!E390))))</f>
        <v>Sort  Click streasina</v>
      </c>
      <c r="B390" s="354" t="s">
        <v>149</v>
      </c>
      <c r="C390" s="21" t="s">
        <v>1059</v>
      </c>
      <c r="D390" s="21" t="s">
        <v>1060</v>
      </c>
      <c r="E390" s="21" t="s">
        <v>1061</v>
      </c>
    </row>
    <row r="391" spans="1:5" ht="15.6">
      <c r="A391" s="355" t="str">
        <f>IF(Select!$B$2048=1,Lang!B391,IF(Select!$B$2048=2,Lang!C391,IF(Select!$B$2048=3,Lang!D391,IF(Select!$B$2048=4,Lang!E391))))</f>
        <v>Sort imbinare Click</v>
      </c>
      <c r="B391" s="354" t="s">
        <v>150</v>
      </c>
      <c r="C391" s="21" t="s">
        <v>1062</v>
      </c>
      <c r="D391" s="21" t="s">
        <v>1063</v>
      </c>
      <c r="E391" s="21" t="s">
        <v>1064</v>
      </c>
    </row>
    <row r="392" spans="1:5" ht="15.6">
      <c r="A392" s="355" t="str">
        <f>IF(Select!$B$2048=1,Lang!B392,IF(Select!$B$2048=2,Lang!C392,IF(Select!$B$2048=3,Lang!D392,IF(Select!$B$2048=4,Lang!E392))))</f>
        <v>Piesa imbinare Click</v>
      </c>
      <c r="B392" s="354" t="s">
        <v>1850</v>
      </c>
    </row>
    <row r="393" spans="1:5" ht="15.6">
      <c r="A393" s="355" t="str">
        <f>IF(Select!$B$2048=1,Lang!B393,IF(Select!$B$2048=2,Lang!C393,IF(Select!$B$2048=3,Lang!D393,IF(Select!$B$2048=4,Lang!E393))))</f>
        <v>Rupere panta interior</v>
      </c>
      <c r="B393" s="354" t="s">
        <v>1851</v>
      </c>
      <c r="C393" s="21" t="s">
        <v>1065</v>
      </c>
      <c r="D393" s="21" t="s">
        <v>1066</v>
      </c>
      <c r="E393" s="21" t="s">
        <v>1067</v>
      </c>
    </row>
    <row r="394" spans="1:5" ht="15.6">
      <c r="A394" s="355" t="str">
        <f>IF(Select!$B$2048=1,Lang!B394,IF(Select!$B$2048=2,Lang!C394,IF(Select!$B$2048=3,Lang!D394,IF(Select!$B$2048=4,Lang!E394))))</f>
        <v>Rupere panta exerior Click</v>
      </c>
      <c r="B394" s="354" t="s">
        <v>152</v>
      </c>
      <c r="C394" s="21" t="s">
        <v>1068</v>
      </c>
      <c r="D394" s="21" t="s">
        <v>1069</v>
      </c>
      <c r="E394" s="21" t="s">
        <v>1070</v>
      </c>
    </row>
    <row r="395" spans="1:5" ht="15.6">
      <c r="A395" s="355" t="str">
        <f>IF(Select!$B$2048=1,Lang!B395,IF(Select!$B$2048=2,Lang!C395,IF(Select!$B$2048=3,Lang!D395,IF(Select!$B$2048=4,Lang!E395))))</f>
        <v>Suport inchideri Click</v>
      </c>
      <c r="B395" s="354" t="s">
        <v>153</v>
      </c>
      <c r="C395" s="21" t="s">
        <v>1071</v>
      </c>
      <c r="D395" s="21" t="s">
        <v>1072</v>
      </c>
      <c r="E395" s="21" t="s">
        <v>1073</v>
      </c>
    </row>
    <row r="396" spans="1:5" ht="15.6">
      <c r="A396" s="355" t="str">
        <f>IF(Select!$B$2048=1,Lang!B396,IF(Select!$B$2048=2,Lang!C396,IF(Select!$B$2048=3,Lang!D396,IF(Select!$B$2048=4,Lang!E396))))</f>
        <v>Profil ventilatie coama Click(Negru/Gri)</v>
      </c>
      <c r="B396" s="354" t="s">
        <v>1658</v>
      </c>
    </row>
    <row r="397" spans="1:5" ht="15.6">
      <c r="A397" s="355" t="str">
        <f>IF(Select!$B$2048=1,Lang!B397,IF(Select!$B$2048=2,Lang!C397,IF(Select!$B$2048=3,Lang!D397,IF(Select!$B$2048=4,Lang!E397))))</f>
        <v>Banda fonica Click</v>
      </c>
      <c r="B397" s="354" t="s">
        <v>1852</v>
      </c>
    </row>
    <row r="398" spans="1:5" ht="15.6">
      <c r="A398" s="355" t="str">
        <f>IF(Select!$B$2048=1,Lang!B398,IF(Select!$B$2048=2,Lang!C398,IF(Select!$B$2048=3,Lang!D398,IF(Select!$B$2048=4,Lang!E398))))</f>
        <v>Suport Parazapada Click  ( Negru/Gri )</v>
      </c>
      <c r="B398" s="354" t="s">
        <v>1853</v>
      </c>
      <c r="C398" s="21" t="s">
        <v>1085</v>
      </c>
      <c r="D398" s="21" t="s">
        <v>1086</v>
      </c>
      <c r="E398" s="21" t="s">
        <v>734</v>
      </c>
    </row>
    <row r="399" spans="1:5" ht="15.6">
      <c r="A399" s="355" t="str">
        <f>IF(Select!$B$2048=1,Lang!B399,IF(Select!$B$2048=2,Lang!C399,IF(Select!$B$2048=3,Lang!D399,IF(Select!$B$2048=4,Lang!E399))))</f>
        <v>Bara parazapada click 2m ( Negru/Gri )</v>
      </c>
      <c r="B399" s="354" t="s">
        <v>1854</v>
      </c>
      <c r="C399" s="21" t="s">
        <v>1697</v>
      </c>
      <c r="D399" s="21" t="s">
        <v>1087</v>
      </c>
      <c r="E399" s="21" t="s">
        <v>1088</v>
      </c>
    </row>
    <row r="400" spans="1:5" ht="15.6">
      <c r="A400" s="355" t="str">
        <f>IF(Select!$B$2048=1,Lang!B400,IF(Select!$B$2048=2,Lang!C400,IF(Select!$B$2048=3,Lang!D400,IF(Select!$B$2048=4,Lang!E400))))</f>
        <v>Conector bara ( Negru/Gri )</v>
      </c>
      <c r="B400" s="354" t="s">
        <v>1855</v>
      </c>
      <c r="C400" s="21" t="s">
        <v>1698</v>
      </c>
      <c r="D400" s="21" t="s">
        <v>1089</v>
      </c>
      <c r="E400" s="21" t="s">
        <v>1090</v>
      </c>
    </row>
    <row r="401" spans="1:5" ht="15.6">
      <c r="A401" s="355" t="str">
        <f>IF(Select!$B$2048=1,Lang!B401,IF(Select!$B$2048=2,Lang!C401,IF(Select!$B$2048=3,Lang!D401,IF(Select!$B$2048=4,Lang!E401))))</f>
        <v>Capac bara ( Negru/Gri )</v>
      </c>
      <c r="B401" s="354" t="s">
        <v>1856</v>
      </c>
      <c r="C401" s="21" t="s">
        <v>1699</v>
      </c>
      <c r="D401" s="21" t="s">
        <v>1091</v>
      </c>
      <c r="E401" s="21" t="s">
        <v>1092</v>
      </c>
    </row>
    <row r="402" spans="1:5" ht="15.6">
      <c r="A402" s="355" t="str">
        <f>IF(Select!$B$2048=1,Lang!B402,IF(Select!$B$2048=2,Lang!C402,IF(Select!$B$2048=3,Lang!D402,IF(Select!$B$2048=4,Lang!E402))))</f>
        <v>Blocator bara</v>
      </c>
      <c r="B402" s="354" t="s">
        <v>1662</v>
      </c>
    </row>
    <row r="403" spans="1:5">
      <c r="A403" s="355" t="str">
        <f>IF(Select!$B$2048=1,Lang!B403,IF(Select!$B$2048=2,Lang!C403,IF(Select!$B$2048=3,Lang!D403,IF(Select!$B$2048=4,Lang!E403))))</f>
        <v xml:space="preserve">Valoare </v>
      </c>
      <c r="B403" s="21" t="s">
        <v>2616</v>
      </c>
      <c r="C403" s="21" t="s">
        <v>2617</v>
      </c>
      <c r="D403" s="21" t="s">
        <v>2608</v>
      </c>
      <c r="E403" s="513" t="s">
        <v>2618</v>
      </c>
    </row>
    <row r="404" spans="1:5">
      <c r="A404" s="355" t="str">
        <f>IF(Select!$B$2048=1,Lang!B404,IF(Select!$B$2048=2,Lang!C404,IF(Select!$B$2048=3,Lang!D404,IF(Select!$B$2048=4,Lang!E404))))</f>
        <v xml:space="preserve"> euro fara tva </v>
      </c>
      <c r="B404" s="21" t="s">
        <v>2619</v>
      </c>
      <c r="C404" s="21" t="s">
        <v>2620</v>
      </c>
      <c r="D404" s="21" t="s">
        <v>2621</v>
      </c>
      <c r="E404" s="21" t="s">
        <v>2622</v>
      </c>
    </row>
    <row r="405" spans="1:5">
      <c r="A405" s="355" t="str">
        <f>IF(Select!$B$2048=1,Lang!B405,IF(Select!$B$2048=2,Lang!C405,IF(Select!$B$2048=3,Lang!D405,IF(Select!$B$2048=4,Lang!E405))))</f>
        <v>TOTAL lei fara TVA</v>
      </c>
      <c r="B405" s="21" t="s">
        <v>40</v>
      </c>
      <c r="C405" t="s">
        <v>2609</v>
      </c>
      <c r="D405" t="s">
        <v>2610</v>
      </c>
      <c r="E405" t="s">
        <v>2611</v>
      </c>
    </row>
    <row r="406" spans="1:5">
      <c r="A406" s="355" t="str">
        <f>IF(Select!$B$2048=1,Lang!B406,IF(Select!$B$2048=2,Lang!C406,IF(Select!$B$2048=3,Lang!D406,IF(Select!$B$2048=4,Lang!E406))))</f>
        <v>ACCESORII TIGLA METALICA</v>
      </c>
      <c r="B406" s="21" t="s">
        <v>2612</v>
      </c>
      <c r="C406" s="21" t="s">
        <v>2613</v>
      </c>
      <c r="D406" t="s">
        <v>2614</v>
      </c>
      <c r="E406" t="s">
        <v>2615</v>
      </c>
    </row>
    <row r="407" spans="1:5">
      <c r="A407" s="355" t="str">
        <f>IF(Select!$B$2048=1,Lang!B407,IF(Select!$B$2048=2,Lang!C407,IF(Select!$B$2048=3,Lang!D407,IF(Select!$B$2048=4,Lang!E407))))</f>
        <v xml:space="preserve">SISTEM PLUVIAL  </v>
      </c>
      <c r="B407" s="21" t="s">
        <v>2623</v>
      </c>
      <c r="C407" s="77" t="s">
        <v>2624</v>
      </c>
      <c r="D407" s="77" t="s">
        <v>2625</v>
      </c>
      <c r="E407" s="77" t="s">
        <v>2626</v>
      </c>
    </row>
    <row r="408" spans="1:5">
      <c r="A408" s="355" t="str">
        <f>IF(Select!$B$2048=1,Lang!B408,IF(Select!$B$2048=2,Lang!C408,IF(Select!$B$2048=3,Lang!D408,IF(Select!$B$2048=4,Lang!E408))))</f>
        <v xml:space="preserve">INVELITORI PLANE  </v>
      </c>
      <c r="B408" s="21" t="s">
        <v>2627</v>
      </c>
      <c r="C408" s="77" t="s">
        <v>2628</v>
      </c>
      <c r="D408" s="77" t="s">
        <v>2629</v>
      </c>
      <c r="E408" s="77" t="s">
        <v>2630</v>
      </c>
    </row>
    <row r="409" spans="1:5">
      <c r="A409" s="355" t="str">
        <f>IF(Select!$B$2048=1,Lang!B409,IF(Select!$B$2048=2,Lang!C409,IF(Select!$B$2048=3,Lang!D409,IF(Select!$B$2048=4,Lang!E409))))</f>
        <v xml:space="preserve">ACCESORII INVELITORI PLANE </v>
      </c>
      <c r="B409" s="21" t="s">
        <v>2635</v>
      </c>
      <c r="C409" s="77" t="s">
        <v>2636</v>
      </c>
      <c r="D409" s="77" t="s">
        <v>2637</v>
      </c>
      <c r="E409" s="77" t="s">
        <v>2638</v>
      </c>
    </row>
    <row r="410" spans="1:5">
      <c r="A410" s="355" t="str">
        <f>IF(Select!$B$2048=1,Lang!B410,IF(Select!$B$2048=2,Lang!C410,IF(Select!$B$2048=3,Lang!D410,IF(Select!$B$2048=4,Lang!E410))))</f>
        <v xml:space="preserve">TABLA CUTATA </v>
      </c>
      <c r="B410" s="21" t="s">
        <v>2639</v>
      </c>
      <c r="C410" s="77" t="s">
        <v>2640</v>
      </c>
      <c r="D410" s="77" t="s">
        <v>2641</v>
      </c>
      <c r="E410" s="21" t="s">
        <v>2642</v>
      </c>
    </row>
    <row r="411" spans="1:5">
      <c r="A411" s="355" t="str">
        <f>IF(Select!$B$2048=1,Lang!B411,IF(Select!$B$2048=2,Lang!C411,IF(Select!$B$2048=3,Lang!D411,IF(Select!$B$2048=4,Lang!E411))))</f>
        <v>Materiale Diverse</v>
      </c>
      <c r="B411" t="s">
        <v>426</v>
      </c>
      <c r="C411" t="s">
        <v>2643</v>
      </c>
      <c r="D411" t="s">
        <v>2644</v>
      </c>
      <c r="E411" t="s">
        <v>2645</v>
      </c>
    </row>
    <row r="412" spans="1:5">
      <c r="A412" s="355" t="str">
        <f>IF(Select!$B$2048=1,Lang!B412,IF(Select!$B$2048=2,Lang!C412,IF(Select!$B$2048=3,Lang!D412,IF(Select!$B$2048=4,Lang!E412))))</f>
        <v>SCULE</v>
      </c>
      <c r="B412" s="21" t="s">
        <v>520</v>
      </c>
      <c r="C412" t="s">
        <v>2646</v>
      </c>
      <c r="D412" t="s">
        <v>2647</v>
      </c>
      <c r="E412" t="s">
        <v>2648</v>
      </c>
    </row>
    <row r="413" spans="1:5">
      <c r="A413" s="355" t="str">
        <f>IF(Select!$B$2048=1,Lang!B413,IF(Select!$B$2048=2,Lang!C413,IF(Select!$B$2048=3,Lang!D413,IF(Select!$B$2048=4,Lang!E413))))</f>
        <v>TABLA CUTATA/PLANA SUBTIRE</v>
      </c>
      <c r="B413" s="21" t="s">
        <v>1793</v>
      </c>
      <c r="C413" t="s">
        <v>2649</v>
      </c>
      <c r="D413" t="s">
        <v>2650</v>
      </c>
      <c r="E413" t="s">
        <v>2651</v>
      </c>
    </row>
    <row r="414" spans="1:5">
      <c r="A414" s="355" t="str">
        <f>IF(Select!$B$2048=1,Lang!B414,IF(Select!$B$2048=2,Lang!C414,IF(Select!$B$2048=3,Lang!D414,IF(Select!$B$2048=4,Lang!E414))))</f>
        <v>PANOU GARD METALIC</v>
      </c>
      <c r="B414" s="21" t="s">
        <v>1787</v>
      </c>
      <c r="C414" t="s">
        <v>2652</v>
      </c>
      <c r="D414" t="s">
        <v>2653</v>
      </c>
      <c r="E414" t="s">
        <v>2654</v>
      </c>
    </row>
    <row r="415" spans="1:5">
      <c r="A415" s="355" t="str">
        <f>IF(Select!$B$2048=1,Lang!B415,IF(Select!$B$2048=2,Lang!C415,IF(Select!$B$2048=3,Lang!D415,IF(Select!$B$2048=4,Lang!E415))))</f>
        <v xml:space="preserve">DISCOUNT </v>
      </c>
      <c r="B415" s="21" t="s">
        <v>429</v>
      </c>
      <c r="C415" t="s">
        <v>2655</v>
      </c>
      <c r="D415" t="s">
        <v>2656</v>
      </c>
      <c r="E415" t="s">
        <v>2657</v>
      </c>
    </row>
    <row r="416" spans="1:5">
      <c r="A416" s="355" t="str">
        <f>IF(Select!$B$2048=1,Lang!B416,IF(Select!$B$2048=2,Lang!C416,IF(Select!$B$2048=3,Lang!D416,IF(Select!$B$2048=4,Lang!E416))))</f>
        <v>TAXA TRANSPORT</v>
      </c>
      <c r="B416" s="21" t="s">
        <v>2234</v>
      </c>
      <c r="C416" t="s">
        <v>2658</v>
      </c>
      <c r="D416" t="s">
        <v>2659</v>
      </c>
      <c r="E416" t="s">
        <v>2660</v>
      </c>
    </row>
    <row r="417" spans="1:7">
      <c r="A417" s="355" t="str">
        <f>IF(Select!$B$2048=1,Lang!B417,IF(Select!$B$2048=2,Lang!C417,IF(Select!$B$2048=3,Lang!D417,IF(Select!$B$2048=4,Lang!E417))))</f>
        <v>TOTAL lei cu TVA</v>
      </c>
      <c r="B417" s="21" t="s">
        <v>41</v>
      </c>
      <c r="C417" t="s">
        <v>2661</v>
      </c>
      <c r="D417" t="s">
        <v>2662</v>
      </c>
      <c r="E417" t="s">
        <v>2663</v>
      </c>
    </row>
    <row r="418" spans="1:7">
      <c r="A418" s="355" t="str">
        <f>IF(Select!$B$2048=1,Lang!B418,IF(Select!$B$2048=2,Lang!C418,IF(Select!$B$2048=3,Lang!D418,IF(Select!$B$2048=4,Lang!E418))))</f>
        <v>Dimenisuni admise minim 800mm Click , 400mm Click Elegant</v>
      </c>
      <c r="B418" s="21" t="s">
        <v>2580</v>
      </c>
      <c r="C418" t="s">
        <v>2664</v>
      </c>
      <c r="D418" t="s">
        <v>2665</v>
      </c>
      <c r="E418" t="s">
        <v>2666</v>
      </c>
    </row>
    <row r="419" spans="1:7">
      <c r="A419" s="355" t="str">
        <f>IF(Select!$B$2048=1,Lang!B419,IF(Select!$B$2048=2,Lang!C419,IF(Select!$B$2048=3,Lang!D419,IF(Select!$B$2048=4,Lang!E419))))</f>
        <v xml:space="preserve">Dimenisuni admise minim 400mm  </v>
      </c>
      <c r="B419" s="21" t="s">
        <v>2668</v>
      </c>
      <c r="C419" t="s">
        <v>2667</v>
      </c>
      <c r="D419" t="s">
        <v>2669</v>
      </c>
      <c r="E419" t="s">
        <v>2670</v>
      </c>
    </row>
    <row r="420" spans="1:7">
      <c r="A420" s="355" t="str">
        <f>IF(Select!$B$2048=1,Lang!B420,IF(Select!$B$2048=2,Lang!C420,IF(Select!$B$2048=3,Lang!D420,IF(Select!$B$2048=4,Lang!E420))))</f>
        <v>Membrana anticondens WETTERBEST 115 gr/mp - 75mp</v>
      </c>
      <c r="B420" s="77" t="s">
        <v>2040</v>
      </c>
      <c r="C420" s="513" t="s">
        <v>2671</v>
      </c>
      <c r="D420" s="513" t="s">
        <v>2672</v>
      </c>
      <c r="E420" s="513" t="s">
        <v>2673</v>
      </c>
      <c r="F420" s="77"/>
      <c r="G420" s="77"/>
    </row>
    <row r="421" spans="1:7">
      <c r="A421" s="355" t="str">
        <f>IF(Select!$B$2048=1,Lang!B421,IF(Select!$B$2048=2,Lang!C421,IF(Select!$B$2048=3,Lang!D421,IF(Select!$B$2048=4,Lang!E421))))</f>
        <v>Membrana anticondens WETTERBEST 135 gr/mp - 75mp</v>
      </c>
      <c r="B421" s="77" t="s">
        <v>2041</v>
      </c>
      <c r="C421" s="77" t="s">
        <v>2674</v>
      </c>
      <c r="D421" s="77" t="s">
        <v>2675</v>
      </c>
      <c r="E421" s="77" t="s">
        <v>2676</v>
      </c>
      <c r="F421" s="77"/>
      <c r="G421" s="77"/>
    </row>
    <row r="422" spans="1:7">
      <c r="A422" s="355" t="str">
        <f>IF(Select!$B$2048=1,Lang!B422,IF(Select!$B$2048=2,Lang!C422,IF(Select!$B$2048=3,Lang!D422,IF(Select!$B$2048=4,Lang!E422))))</f>
        <v>Membrana anticondens WETTERBEST 150 gr/mp - 75mp</v>
      </c>
      <c r="B422" s="77" t="s">
        <v>2042</v>
      </c>
      <c r="C422" s="77" t="s">
        <v>2677</v>
      </c>
      <c r="D422" s="77" t="s">
        <v>2678</v>
      </c>
      <c r="E422" s="77" t="s">
        <v>2679</v>
      </c>
      <c r="F422" s="77"/>
      <c r="G422" s="77"/>
    </row>
    <row r="423" spans="1:7">
      <c r="A423" s="355" t="str">
        <f>IF(Select!$B$2048=1,Lang!B423,IF(Select!$B$2048=2,Lang!C423,IF(Select!$B$2048=3,Lang!D423,IF(Select!$B$2048=4,Lang!E423))))</f>
        <v>Membrana anticondens WETTERBEST 180 gr/mp - 75mp</v>
      </c>
      <c r="B423" s="77" t="s">
        <v>2043</v>
      </c>
      <c r="C423" s="77" t="s">
        <v>2680</v>
      </c>
      <c r="D423" s="77" t="s">
        <v>2681</v>
      </c>
      <c r="E423" s="77" t="s">
        <v>2682</v>
      </c>
      <c r="F423" s="77"/>
      <c r="G423" s="77"/>
    </row>
    <row r="424" spans="1:7">
      <c r="A424" s="355" t="str">
        <f>IF(Select!$B$2048=1,Lang!B424,IF(Select!$B$2048=2,Lang!C424,IF(Select!$B$2048=3,Lang!D424,IF(Select!$B$2048=4,Lang!E424))))</f>
        <v>Membrana Acofort 100 gr/mp - 75 mp</v>
      </c>
      <c r="B424" s="77" t="s">
        <v>2596</v>
      </c>
      <c r="C424" s="77" t="s">
        <v>2683</v>
      </c>
      <c r="D424" s="77" t="s">
        <v>2684</v>
      </c>
      <c r="E424" s="77" t="s">
        <v>2685</v>
      </c>
      <c r="F424" s="77"/>
      <c r="G424" s="77"/>
    </row>
    <row r="425" spans="1:7">
      <c r="A425" s="355" t="str">
        <f>IF(Select!$B$2048=1,Lang!B425,IF(Select!$B$2048=2,Lang!C425,IF(Select!$B$2048=3,Lang!D425,IF(Select!$B$2048=4,Lang!E425))))</f>
        <v>Membrana Acofort 115 gr/mp - 75 mp</v>
      </c>
      <c r="B425" s="77" t="s">
        <v>2597</v>
      </c>
      <c r="C425" s="77" t="s">
        <v>2686</v>
      </c>
      <c r="D425" s="77" t="s">
        <v>2687</v>
      </c>
      <c r="E425" s="77" t="s">
        <v>2688</v>
      </c>
      <c r="F425" s="77"/>
      <c r="G425" s="77"/>
    </row>
    <row r="426" spans="1:7">
      <c r="A426" s="355" t="str">
        <f>IF(Select!$B$2048=1,Lang!B426,IF(Select!$B$2048=2,Lang!C426,IF(Select!$B$2048=3,Lang!D426,IF(Select!$B$2048=4,Lang!E426))))</f>
        <v>Membrana Acofort 135 gr/mp - 75 mp</v>
      </c>
      <c r="B426" s="77" t="s">
        <v>2598</v>
      </c>
      <c r="C426" s="77" t="s">
        <v>2689</v>
      </c>
      <c r="D426" s="77" t="s">
        <v>2690</v>
      </c>
      <c r="E426" s="77" t="s">
        <v>2691</v>
      </c>
      <c r="F426" s="77"/>
      <c r="G426" s="77"/>
    </row>
    <row r="427" spans="1:7">
      <c r="A427" s="355" t="str">
        <f>IF(Select!$B$2048=1,Lang!B427,IF(Select!$B$2048=2,Lang!C427,IF(Select!$B$2048=3,Lang!D427,IF(Select!$B$2048=4,Lang!E427))))</f>
        <v>Membrana  anticondens ACOVENT 90 gr/mp - 80 mp</v>
      </c>
      <c r="B427" s="77" t="s">
        <v>2044</v>
      </c>
      <c r="C427" s="77" t="s">
        <v>2692</v>
      </c>
      <c r="D427" s="77" t="s">
        <v>2693</v>
      </c>
      <c r="E427" s="77" t="s">
        <v>2694</v>
      </c>
      <c r="F427" s="77"/>
      <c r="G427" s="77"/>
    </row>
    <row r="428" spans="1:7">
      <c r="A428" s="355" t="str">
        <f>IF(Select!$B$2048=1,Lang!B428,IF(Select!$B$2048=2,Lang!C428,IF(Select!$B$2048=3,Lang!D428,IF(Select!$B$2048=4,Lang!E428))))</f>
        <v>Membrana anticondens DACHOVA 115 gr/mp - 80mp</v>
      </c>
      <c r="B428" s="77" t="s">
        <v>2045</v>
      </c>
      <c r="C428" s="77" t="s">
        <v>2695</v>
      </c>
      <c r="D428" s="77" t="s">
        <v>2696</v>
      </c>
      <c r="E428" s="77" t="s">
        <v>2697</v>
      </c>
      <c r="F428" s="77"/>
      <c r="G428" s="77"/>
    </row>
    <row r="429" spans="1:7">
      <c r="A429" s="355" t="str">
        <f>IF(Select!$B$2048=1,Lang!B429,IF(Select!$B$2048=2,Lang!C429,IF(Select!$B$2048=3,Lang!D429,IF(Select!$B$2048=4,Lang!E429))))</f>
        <v>Membrana anticondens ACOVENT 135 gr/mp 80 mp</v>
      </c>
      <c r="B429" s="77" t="s">
        <v>2046</v>
      </c>
      <c r="C429" s="77" t="s">
        <v>2698</v>
      </c>
      <c r="D429" s="77" t="s">
        <v>2699</v>
      </c>
      <c r="E429" s="77" t="s">
        <v>2700</v>
      </c>
      <c r="F429" s="77"/>
      <c r="G429" s="77"/>
    </row>
    <row r="430" spans="1:7">
      <c r="A430" s="355" t="str">
        <f>IF(Select!$B$2048=1,Lang!B430,IF(Select!$B$2048=2,Lang!C430,IF(Select!$B$2048=3,Lang!D430,IF(Select!$B$2048=4,Lang!E430))))</f>
        <v>Membrana anticondens DACHOVA 150 gr/mp 80 mp</v>
      </c>
      <c r="B430" s="77" t="s">
        <v>2047</v>
      </c>
      <c r="C430" s="77" t="s">
        <v>2701</v>
      </c>
      <c r="D430" s="77" t="s">
        <v>2702</v>
      </c>
      <c r="E430" s="77" t="s">
        <v>2703</v>
      </c>
      <c r="F430" s="77"/>
      <c r="G430" s="77"/>
    </row>
    <row r="431" spans="1:7">
      <c r="A431" s="355" t="str">
        <f>IF(Select!$B$2048=1,Lang!B431,IF(Select!$B$2048=2,Lang!C431,IF(Select!$B$2048=3,Lang!D431,IF(Select!$B$2048=4,Lang!E431))))</f>
        <v>Membrana anticondens EKRAN 185 gr/mp 80mp</v>
      </c>
      <c r="B431" s="77" t="s">
        <v>2048</v>
      </c>
      <c r="C431" s="77" t="s">
        <v>2704</v>
      </c>
      <c r="D431" s="77" t="s">
        <v>2705</v>
      </c>
      <c r="E431" s="77" t="s">
        <v>2706</v>
      </c>
      <c r="F431" s="77"/>
      <c r="G431" s="77"/>
    </row>
    <row r="432" spans="1:7">
      <c r="A432" s="355" t="str">
        <f>IF(Select!$B$2048=1,Lang!B432,IF(Select!$B$2048=2,Lang!C432,IF(Select!$B$2048=3,Lang!D432,IF(Select!$B$2048=4,Lang!E432))))</f>
        <v>Membrana METALLIC pentru tabla faltuita 450 gr/mp 1,5 X 25-37.5mp .</v>
      </c>
      <c r="B432" s="77" t="s">
        <v>2049</v>
      </c>
      <c r="C432" s="77" t="s">
        <v>2707</v>
      </c>
      <c r="D432" s="77" t="s">
        <v>2708</v>
      </c>
      <c r="E432" s="77" t="s">
        <v>2709</v>
      </c>
      <c r="F432" s="77"/>
      <c r="G432" s="77"/>
    </row>
    <row r="433" spans="1:7">
      <c r="A433" s="355" t="str">
        <f>IF(Select!$B$2048=1,Lang!B433,IF(Select!$B$2048=2,Lang!C433,IF(Select!$B$2048=3,Lang!D433,IF(Select!$B$2048=4,Lang!E433))))</f>
        <v>Aluband 100 - 10000 mm</v>
      </c>
      <c r="B433" s="77" t="s">
        <v>82</v>
      </c>
      <c r="C433" s="77" t="s">
        <v>2710</v>
      </c>
      <c r="D433" s="77" t="s">
        <v>2711</v>
      </c>
      <c r="E433" s="77" t="s">
        <v>2712</v>
      </c>
      <c r="F433" s="77"/>
      <c r="G433" s="77"/>
    </row>
    <row r="434" spans="1:7">
      <c r="A434" s="355" t="str">
        <f>IF(Select!$B$2048=1,Lang!B434,IF(Select!$B$2048=2,Lang!C434,IF(Select!$B$2048=3,Lang!D434,IF(Select!$B$2048=4,Lang!E434))))</f>
        <v>Aluband 150 - 10000 mm</v>
      </c>
      <c r="B434" s="77" t="s">
        <v>83</v>
      </c>
      <c r="C434" s="77" t="s">
        <v>2713</v>
      </c>
      <c r="D434" s="77" t="s">
        <v>2714</v>
      </c>
      <c r="E434" s="77" t="s">
        <v>2715</v>
      </c>
      <c r="F434" s="77"/>
      <c r="G434" s="77"/>
    </row>
    <row r="435" spans="1:7">
      <c r="A435" s="355" t="str">
        <f>IF(Select!$B$2048=1,Lang!B435,IF(Select!$B$2048=2,Lang!C435,IF(Select!$B$2048=3,Lang!D435,IF(Select!$B$2048=4,Lang!E435))))</f>
        <v>Aluband 300 - 10000 mm</v>
      </c>
      <c r="B435" s="77" t="s">
        <v>84</v>
      </c>
      <c r="C435" s="77" t="s">
        <v>2716</v>
      </c>
      <c r="D435" s="77" t="s">
        <v>2717</v>
      </c>
      <c r="E435" s="77" t="s">
        <v>2718</v>
      </c>
      <c r="F435" s="77"/>
      <c r="G435" s="77"/>
    </row>
    <row r="436" spans="1:7">
      <c r="A436" s="355" t="str">
        <f>IF(Select!$B$2048=1,Lang!B436,IF(Select!$B$2048=2,Lang!C436,IF(Select!$B$2048=3,Lang!D436,IF(Select!$B$2048=4,Lang!E436))))</f>
        <v>Rola autoadeziva de protectie sub coame IZOVENT - 0,31 x 5m</v>
      </c>
      <c r="B436" s="77" t="s">
        <v>85</v>
      </c>
      <c r="C436" s="77" t="s">
        <v>2719</v>
      </c>
      <c r="D436" s="77" t="s">
        <v>2720</v>
      </c>
      <c r="E436" s="77" t="s">
        <v>2721</v>
      </c>
      <c r="F436" s="77"/>
      <c r="G436" s="77"/>
    </row>
    <row r="437" spans="1:7">
      <c r="A437" s="355" t="str">
        <f>IF(Select!$B$2048=1,Lang!B437,IF(Select!$B$2048=2,Lang!C437,IF(Select!$B$2048=3,Lang!D437,IF(Select!$B$2048=4,Lang!E437))))</f>
        <v>Rola autoadeziva de protectie sub coame IZOVENT - 0,24 x 5m</v>
      </c>
      <c r="B437" s="77" t="s">
        <v>86</v>
      </c>
      <c r="C437" s="77" t="s">
        <v>2722</v>
      </c>
      <c r="D437" s="77" t="s">
        <v>2723</v>
      </c>
      <c r="E437" s="77" t="s">
        <v>2724</v>
      </c>
      <c r="F437" s="77"/>
      <c r="G437" s="77"/>
    </row>
    <row r="438" spans="1:7">
      <c r="A438" s="355" t="str">
        <f>IF(Select!$B$2048=1,Lang!B438,IF(Select!$B$2048=2,Lang!C438,IF(Select!$B$2048=3,Lang!D438,IF(Select!$B$2048=4,Lang!E438))))</f>
        <v>Rola adeziva IZOBUTYL (pentru   CLICK )- 15mm x 60m</v>
      </c>
      <c r="B438" s="77" t="s">
        <v>264</v>
      </c>
      <c r="C438" s="77" t="s">
        <v>2725</v>
      </c>
      <c r="D438" s="77" t="s">
        <v>2726</v>
      </c>
      <c r="E438" s="77" t="s">
        <v>2727</v>
      </c>
      <c r="F438" s="77"/>
      <c r="G438" s="77"/>
    </row>
    <row r="439" spans="1:7">
      <c r="A439" s="355" t="str">
        <f>IF(Select!$B$2048=1,Lang!B439,IF(Select!$B$2048=2,Lang!C439,IF(Select!$B$2048=3,Lang!D439,IF(Select!$B$2048=4,Lang!E439))))</f>
        <v>BANDA EXPANDABILA IZOLANT 30X8/4.3 m</v>
      </c>
      <c r="B439" s="77" t="s">
        <v>2050</v>
      </c>
      <c r="C439" s="77" t="s">
        <v>2728</v>
      </c>
      <c r="D439" s="77" t="s">
        <v>2729</v>
      </c>
      <c r="E439" s="77" t="s">
        <v>2730</v>
      </c>
      <c r="F439" s="77"/>
      <c r="G439" s="77"/>
    </row>
    <row r="440" spans="1:7">
      <c r="A440" s="355" t="str">
        <f>IF(Select!$B$2048=1,Lang!B440,IF(Select!$B$2048=2,Lang!C440,IF(Select!$B$2048=3,Lang!D440,IF(Select!$B$2048=4,Lang!E440))))</f>
        <v>Banda etansare Wtb Imperator ( coama ), lungime 1100 mm</v>
      </c>
      <c r="B440" s="77" t="s">
        <v>2302</v>
      </c>
      <c r="C440" s="77" t="s">
        <v>2731</v>
      </c>
      <c r="D440" s="77" t="s">
        <v>2732</v>
      </c>
      <c r="E440" s="77" t="s">
        <v>2733</v>
      </c>
      <c r="F440" s="77"/>
      <c r="G440" s="77"/>
    </row>
    <row r="441" spans="1:7">
      <c r="A441" s="355" t="str">
        <f>IF(Select!$B$2048=1,Lang!B441,IF(Select!$B$2048=2,Lang!C441,IF(Select!$B$2048=3,Lang!D441,IF(Select!$B$2048=4,Lang!E441))))</f>
        <v>Banda universala autoadeziva (dolie), lungime 1000 mm</v>
      </c>
      <c r="B441" s="77" t="s">
        <v>241</v>
      </c>
      <c r="C441" s="77" t="s">
        <v>2734</v>
      </c>
      <c r="D441" s="77" t="s">
        <v>2735</v>
      </c>
      <c r="E441" s="77" t="s">
        <v>2736</v>
      </c>
      <c r="F441" s="77"/>
      <c r="G441" s="77"/>
    </row>
    <row r="442" spans="1:7">
      <c r="A442" s="355" t="str">
        <f>IF(Select!$B$2048=1,Lang!B442,IF(Select!$B$2048=2,Lang!C442,IF(Select!$B$2048=3,Lang!D442,IF(Select!$B$2048=4,Lang!E442))))</f>
        <v>Banda etansare Wtb Clasic ETM (coama),  lungime 1100 mm</v>
      </c>
      <c r="B442" s="77" t="s">
        <v>317</v>
      </c>
      <c r="C442" s="77" t="s">
        <v>2737</v>
      </c>
      <c r="D442" s="77" t="s">
        <v>2738</v>
      </c>
      <c r="E442" s="77" t="s">
        <v>2739</v>
      </c>
      <c r="F442" s="77"/>
      <c r="G442" s="77"/>
    </row>
    <row r="443" spans="1:7">
      <c r="A443" s="355" t="str">
        <f>IF(Select!$B$2048=1,Lang!B443,IF(Select!$B$2048=2,Lang!C443,IF(Select!$B$2048=3,Lang!D443,IF(Select!$B$2048=4,Lang!E443))))</f>
        <v>Banda etansare Wtb Gladiator /Plus ETM (coama),  lungime 1100 mm</v>
      </c>
      <c r="B443" s="77" t="s">
        <v>242</v>
      </c>
      <c r="C443" s="77" t="s">
        <v>2740</v>
      </c>
      <c r="D443" s="77" t="s">
        <v>2741</v>
      </c>
      <c r="E443" s="77" t="s">
        <v>2742</v>
      </c>
      <c r="F443" s="77"/>
      <c r="G443" s="77"/>
    </row>
    <row r="444" spans="1:7">
      <c r="A444" s="355" t="str">
        <f>IF(Select!$B$2048=1,Lang!B444,IF(Select!$B$2048=2,Lang!C444,IF(Select!$B$2048=3,Lang!D444,IF(Select!$B$2048=4,Lang!E444))))</f>
        <v>Banda etansare Wtb Cardinal (coama),  lungime 1100 mm</v>
      </c>
      <c r="B444" s="77" t="s">
        <v>2051</v>
      </c>
      <c r="C444" s="77" t="s">
        <v>2743</v>
      </c>
      <c r="D444" s="77" t="s">
        <v>2744</v>
      </c>
      <c r="E444" s="77" t="s">
        <v>2745</v>
      </c>
      <c r="F444" s="77"/>
      <c r="G444" s="77"/>
    </row>
    <row r="445" spans="1:7">
      <c r="A445" s="355" t="str">
        <f>IF(Select!$B$2048=1,Lang!B445,IF(Select!$B$2048=2,Lang!C445,IF(Select!$B$2048=3,Lang!D445,IF(Select!$B$2048=4,Lang!E445))))</f>
        <v>Banda etansare Wtb Colosseum ETM (coama),  lungime 1100 mm</v>
      </c>
      <c r="B445" s="77" t="s">
        <v>270</v>
      </c>
      <c r="C445" s="77" t="s">
        <v>2746</v>
      </c>
      <c r="D445" s="77" t="s">
        <v>2747</v>
      </c>
      <c r="E445" s="77" t="s">
        <v>2748</v>
      </c>
      <c r="F445" s="77"/>
      <c r="G445" s="77"/>
    </row>
    <row r="446" spans="1:7">
      <c r="A446" s="355" t="str">
        <f>IF(Select!$B$2048=1,Lang!B446,IF(Select!$B$2048=2,Lang!C446,IF(Select!$B$2048=3,Lang!D446,IF(Select!$B$2048=4,Lang!E446))))</f>
        <v>Banda etansare W18</v>
      </c>
      <c r="B446" s="77" t="s">
        <v>193</v>
      </c>
      <c r="C446" s="77" t="s">
        <v>2749</v>
      </c>
      <c r="D446" s="77" t="s">
        <v>2750</v>
      </c>
      <c r="E446" s="77" t="s">
        <v>2751</v>
      </c>
      <c r="F446" s="77"/>
      <c r="G446" s="77"/>
    </row>
    <row r="447" spans="1:7">
      <c r="A447" s="355" t="str">
        <f>IF(Select!$B$2048=1,Lang!B447,IF(Select!$B$2048=2,Lang!C447,IF(Select!$B$2048=3,Lang!D447,IF(Select!$B$2048=4,Lang!E447))))</f>
        <v>Banda etansare W35</v>
      </c>
      <c r="B447" s="77" t="s">
        <v>88</v>
      </c>
      <c r="C447" s="77" t="s">
        <v>2752</v>
      </c>
      <c r="D447" s="77" t="s">
        <v>2753</v>
      </c>
      <c r="E447" s="77" t="s">
        <v>2754</v>
      </c>
      <c r="F447" s="77"/>
      <c r="G447" s="77"/>
    </row>
    <row r="448" spans="1:7">
      <c r="A448" s="355" t="str">
        <f>IF(Select!$B$2048=1,Lang!B448,IF(Select!$B$2048=2,Lang!C448,IF(Select!$B$2048=3,Lang!D448,IF(Select!$B$2048=4,Lang!E448))))</f>
        <v>Banda etansare W60 Coama</v>
      </c>
      <c r="B448" s="77" t="s">
        <v>2203</v>
      </c>
      <c r="C448" s="77" t="s">
        <v>2755</v>
      </c>
      <c r="D448" s="77" t="s">
        <v>2756</v>
      </c>
      <c r="E448" s="77" t="s">
        <v>2757</v>
      </c>
      <c r="F448" s="77"/>
      <c r="G448" s="77"/>
    </row>
    <row r="449" spans="1:7">
      <c r="A449" s="355" t="str">
        <f>IF(Select!$B$2048=1,Lang!B449,IF(Select!$B$2048=2,Lang!C449,IF(Select!$B$2048=3,Lang!D449,IF(Select!$B$2048=4,Lang!E449))))</f>
        <v>Piepten plastic anti-pasari 1000x60 mm</v>
      </c>
      <c r="B449" s="77" t="s">
        <v>89</v>
      </c>
      <c r="C449" s="77" t="s">
        <v>2758</v>
      </c>
      <c r="D449" s="77" t="s">
        <v>2759</v>
      </c>
      <c r="E449" s="77" t="s">
        <v>2760</v>
      </c>
      <c r="F449" s="77"/>
      <c r="G449" s="77"/>
    </row>
    <row r="450" spans="1:7">
      <c r="A450" s="355" t="str">
        <f>IF(Select!$B$2048=1,Lang!B450,IF(Select!$B$2048=2,Lang!C450,IF(Select!$B$2048=3,Lang!D450,IF(Select!$B$2048=4,Lang!E450))))</f>
        <v>Silicon etansare Wetterbest</v>
      </c>
      <c r="B450" s="77" t="s">
        <v>2052</v>
      </c>
      <c r="C450" s="77" t="s">
        <v>2761</v>
      </c>
      <c r="D450" s="77" t="s">
        <v>2762</v>
      </c>
      <c r="E450" s="77" t="s">
        <v>2763</v>
      </c>
      <c r="F450" s="77"/>
      <c r="G450" s="77"/>
    </row>
    <row r="451" spans="1:7">
      <c r="A451" s="355" t="str">
        <f>IF(Select!$B$2048=1,Lang!B451,IF(Select!$B$2048=2,Lang!C451,IF(Select!$B$2048=3,Lang!D451,IF(Select!$B$2048=4,Lang!E451))))</f>
        <v>Mastic etansare Wetterbest</v>
      </c>
      <c r="B451" s="77" t="s">
        <v>2053</v>
      </c>
      <c r="C451" s="77" t="s">
        <v>2764</v>
      </c>
      <c r="D451" s="77" t="s">
        <v>2765</v>
      </c>
      <c r="E451" s="77" t="s">
        <v>2766</v>
      </c>
      <c r="F451" s="77"/>
      <c r="G451" s="77"/>
    </row>
    <row r="452" spans="1:7">
      <c r="A452" s="355" t="str">
        <f>IF(Select!$B$2048=1,Lang!B452,IF(Select!$B$2048=2,Lang!C452,IF(Select!$B$2048=3,Lang!D452,IF(Select!$B$2048=4,Lang!E452))))</f>
        <v>Pistol pentru silicon Albastru</v>
      </c>
      <c r="B452" s="77" t="s">
        <v>2054</v>
      </c>
      <c r="C452" s="77" t="s">
        <v>2767</v>
      </c>
      <c r="D452" s="77" t="s">
        <v>2768</v>
      </c>
      <c r="E452" s="77" t="s">
        <v>2769</v>
      </c>
      <c r="F452" s="77"/>
      <c r="G452" s="77"/>
    </row>
    <row r="453" spans="1:7">
      <c r="A453" s="355" t="str">
        <f>IF(Select!$B$2048=1,Lang!B453,IF(Select!$B$2048=2,Lang!C453,IF(Select!$B$2048=3,Lang!D453,IF(Select!$B$2048=4,Lang!E453))))</f>
        <v>Pistol pentru silicon Galben</v>
      </c>
      <c r="B453" s="77" t="s">
        <v>2055</v>
      </c>
      <c r="C453" s="77" t="s">
        <v>2770</v>
      </c>
      <c r="D453" s="77" t="s">
        <v>2771</v>
      </c>
      <c r="E453" s="77" t="s">
        <v>2772</v>
      </c>
      <c r="F453" s="77"/>
      <c r="G453" s="77"/>
    </row>
    <row r="454" spans="1:7">
      <c r="A454" s="355" t="str">
        <f>IF(Select!$B$2048=1,Lang!B454,IF(Select!$B$2048=2,Lang!C454,IF(Select!$B$2048=3,Lang!D454,IF(Select!$B$2048=4,Lang!E454))))</f>
        <v>Pistol pentru silicon Negru</v>
      </c>
      <c r="B454" s="77" t="s">
        <v>2056</v>
      </c>
      <c r="C454" s="77" t="s">
        <v>2773</v>
      </c>
      <c r="D454" s="77" t="s">
        <v>2774</v>
      </c>
      <c r="E454" s="77" t="s">
        <v>2775</v>
      </c>
      <c r="F454" s="77"/>
      <c r="G454" s="77"/>
    </row>
    <row r="455" spans="1:7">
      <c r="A455" s="355" t="str">
        <f>IF(Select!$B$2048=1,Lang!B455,IF(Select!$B$2048=2,Lang!C455,IF(Select!$B$2048=3,Lang!D455,IF(Select!$B$2048=4,Lang!E455))))</f>
        <v>Vopsea retus+pensula 20 ml</v>
      </c>
      <c r="B455" s="77" t="s">
        <v>320</v>
      </c>
      <c r="C455" s="77" t="s">
        <v>2776</v>
      </c>
      <c r="D455" s="77" t="s">
        <v>2777</v>
      </c>
      <c r="E455" s="77" t="s">
        <v>2778</v>
      </c>
      <c r="F455" s="77"/>
      <c r="G455" s="77"/>
    </row>
    <row r="456" spans="1:7">
      <c r="A456" s="355" t="str">
        <f>IF(Select!$B$2048=1,Lang!B456,IF(Select!$B$2048=2,Lang!C456,IF(Select!$B$2048=3,Lang!D456,IF(Select!$B$2048=4,Lang!E456))))</f>
        <v>**Ventilatie Acoperis CLASIC RAL 7024, 8017 si 9005 ( alte RAL-uri comanda )</v>
      </c>
      <c r="B456" s="77" t="s">
        <v>2779</v>
      </c>
      <c r="C456" s="513" t="s">
        <v>2780</v>
      </c>
      <c r="D456" s="513" t="s">
        <v>2781</v>
      </c>
      <c r="E456" s="513" t="s">
        <v>2782</v>
      </c>
      <c r="F456" s="77"/>
      <c r="G456" s="77"/>
    </row>
    <row r="457" spans="1:7">
      <c r="A457" s="355" t="str">
        <f>IF(Select!$B$2048=1,Lang!B457,IF(Select!$B$2048=2,Lang!C457,IF(Select!$B$2048=3,Lang!D457,IF(Select!$B$2048=4,Lang!E457))))</f>
        <v>**Ventilatie Invelitori plate RAL 7024 si 9005 ( alte RAL-uri comanda )</v>
      </c>
      <c r="B457" s="77" t="s">
        <v>2783</v>
      </c>
      <c r="C457" s="513" t="s">
        <v>2784</v>
      </c>
      <c r="D457" s="513" t="s">
        <v>2785</v>
      </c>
      <c r="E457" s="513" t="s">
        <v>2786</v>
      </c>
      <c r="F457" s="77"/>
      <c r="G457" s="77"/>
    </row>
    <row r="458" spans="1:7">
      <c r="A458" s="355" t="str">
        <f>IF(Select!$B$2048=1,Lang!B458,IF(Select!$B$2048=2,Lang!C458,IF(Select!$B$2048=3,Lang!D458,IF(Select!$B$2048=4,Lang!E458))))</f>
        <v>Ventilatie Acoperis COLOSSEUM</v>
      </c>
      <c r="B458" s="77" t="s">
        <v>321</v>
      </c>
      <c r="C458" s="77" t="s">
        <v>2787</v>
      </c>
      <c r="D458" s="77" t="s">
        <v>2788</v>
      </c>
      <c r="E458" s="77" t="s">
        <v>2789</v>
      </c>
      <c r="F458" s="77"/>
      <c r="G458" s="77"/>
    </row>
    <row r="459" spans="1:7">
      <c r="A459" s="355" t="str">
        <f>IF(Select!$B$2048=1,Lang!B459,IF(Select!$B$2048=2,Lang!C459,IF(Select!$B$2048=3,Lang!D459,IF(Select!$B$2048=4,Lang!E459))))</f>
        <v>Ventilatie Acoperis GLADIATOR</v>
      </c>
      <c r="B459" s="77" t="s">
        <v>322</v>
      </c>
      <c r="C459" s="77" t="s">
        <v>2790</v>
      </c>
      <c r="D459" s="77" t="s">
        <v>2791</v>
      </c>
      <c r="E459" s="77" t="s">
        <v>2792</v>
      </c>
      <c r="F459" s="77"/>
      <c r="G459" s="77"/>
    </row>
    <row r="460" spans="1:7">
      <c r="A460" s="355" t="str">
        <f>IF(Select!$B$2048=1,Lang!B460,IF(Select!$B$2048=2,Lang!C460,IF(Select!$B$2048=3,Lang!D460,IF(Select!$B$2048=4,Lang!E460))))</f>
        <v>Ventilatie Acoperis PLUS</v>
      </c>
      <c r="B460" s="77" t="s">
        <v>323</v>
      </c>
      <c r="C460" s="77" t="s">
        <v>2793</v>
      </c>
      <c r="D460" s="77" t="s">
        <v>2794</v>
      </c>
      <c r="E460" s="77" t="s">
        <v>2795</v>
      </c>
      <c r="F460" s="77"/>
      <c r="G460" s="77"/>
    </row>
    <row r="461" spans="1:7">
      <c r="A461" s="355" t="str">
        <f>IF(Select!$B$2048=1,Lang!B461,IF(Select!$B$2048=2,Lang!C461,IF(Select!$B$2048=3,Lang!D461,IF(Select!$B$2048=4,Lang!E461))))</f>
        <v>Ventilatie Acoperis CARDINAL</v>
      </c>
      <c r="B461" s="77" t="s">
        <v>440</v>
      </c>
      <c r="C461" s="77" t="s">
        <v>2796</v>
      </c>
      <c r="D461" s="77" t="s">
        <v>2797</v>
      </c>
      <c r="E461" s="77" t="s">
        <v>2798</v>
      </c>
      <c r="F461" s="77"/>
      <c r="G461" s="77"/>
    </row>
    <row r="462" spans="1:7">
      <c r="A462" s="355" t="str">
        <f>IF(Select!$B$2048=1,Lang!B462,IF(Select!$B$2048=2,Lang!C462,IF(Select!$B$2048=3,Lang!D462,IF(Select!$B$2048=4,Lang!E462))))</f>
        <v>Racord flexibil aerisire</v>
      </c>
      <c r="B462" s="77" t="s">
        <v>243</v>
      </c>
      <c r="C462" s="77" t="s">
        <v>2799</v>
      </c>
      <c r="D462" s="77" t="s">
        <v>2800</v>
      </c>
      <c r="E462" s="77" t="s">
        <v>2801</v>
      </c>
      <c r="F462" s="77"/>
      <c r="G462" s="77"/>
    </row>
    <row r="463" spans="1:7">
      <c r="A463" s="355" t="str">
        <f>IF(Select!$B$2048=1,Lang!B463,IF(Select!$B$2048=2,Lang!C463,IF(Select!$B$2048=3,Lang!D463,IF(Select!$B$2048=4,Lang!E463))))</f>
        <v>Manson etansare MF 1 ( 6-60mm )</v>
      </c>
      <c r="B463" s="77" t="s">
        <v>324</v>
      </c>
      <c r="C463" s="77" t="s">
        <v>2802</v>
      </c>
      <c r="D463" s="77" t="s">
        <v>2803</v>
      </c>
      <c r="E463" s="77" t="s">
        <v>2804</v>
      </c>
      <c r="F463" s="77"/>
      <c r="G463" s="77"/>
    </row>
    <row r="464" spans="1:7">
      <c r="A464" s="355" t="str">
        <f>IF(Select!$B$2048=1,Lang!B464,IF(Select!$B$2048=2,Lang!C464,IF(Select!$B$2048=3,Lang!D464,IF(Select!$B$2048=4,Lang!E464))))</f>
        <v>Manson etansare MF 2 ( 32-82 mm )</v>
      </c>
      <c r="B464" s="77" t="s">
        <v>325</v>
      </c>
      <c r="C464" s="77" t="s">
        <v>2805</v>
      </c>
      <c r="D464" s="77" t="s">
        <v>2806</v>
      </c>
      <c r="E464" s="77" t="s">
        <v>2807</v>
      </c>
      <c r="F464" s="77"/>
      <c r="G464" s="77"/>
    </row>
    <row r="465" spans="1:7">
      <c r="A465" s="355" t="str">
        <f>IF(Select!$B$2048=1,Lang!B465,IF(Select!$B$2048=2,Lang!C465,IF(Select!$B$2048=3,Lang!D465,IF(Select!$B$2048=4,Lang!E465))))</f>
        <v>Manson etansare MF 3 ( 6-110 mm)</v>
      </c>
      <c r="B465" s="77" t="s">
        <v>326</v>
      </c>
      <c r="C465" s="77" t="s">
        <v>2808</v>
      </c>
      <c r="D465" s="77" t="s">
        <v>2809</v>
      </c>
      <c r="E465" s="77" t="s">
        <v>2810</v>
      </c>
      <c r="F465" s="77"/>
      <c r="G465" s="77"/>
    </row>
    <row r="466" spans="1:7">
      <c r="A466" s="355" t="str">
        <f>IF(Select!$B$2048=1,Lang!B466,IF(Select!$B$2048=2,Lang!C466,IF(Select!$B$2048=3,Lang!D466,IF(Select!$B$2048=4,Lang!E466))))</f>
        <v>Manson etansare MF 4 ( 75-150mm )</v>
      </c>
      <c r="B466" s="77" t="s">
        <v>327</v>
      </c>
      <c r="C466" s="77" t="s">
        <v>2811</v>
      </c>
      <c r="D466" s="77" t="s">
        <v>2812</v>
      </c>
      <c r="E466" s="77" t="s">
        <v>2813</v>
      </c>
      <c r="F466" s="77"/>
      <c r="G466" s="77"/>
    </row>
    <row r="467" spans="1:7">
      <c r="A467" s="355" t="str">
        <f>IF(Select!$B$2048=1,Lang!B467,IF(Select!$B$2048=2,Lang!C467,IF(Select!$B$2048=3,Lang!D467,IF(Select!$B$2048=4,Lang!E467))))</f>
        <v>Manson etansare MF 5 ( 102-175mm )</v>
      </c>
      <c r="B467" s="77" t="s">
        <v>328</v>
      </c>
      <c r="C467" s="77" t="s">
        <v>2814</v>
      </c>
      <c r="D467" s="77" t="s">
        <v>2815</v>
      </c>
      <c r="E467" s="77" t="s">
        <v>2816</v>
      </c>
      <c r="F467" s="77"/>
      <c r="G467" s="77"/>
    </row>
    <row r="468" spans="1:7">
      <c r="A468" s="355" t="str">
        <f>IF(Select!$B$2048=1,Lang!B468,IF(Select!$B$2048=2,Lang!C468,IF(Select!$B$2048=3,Lang!D468,IF(Select!$B$2048=4,Lang!E468))))</f>
        <v>Manson etansare MF 6 ( 125-230mm )</v>
      </c>
      <c r="B468" s="77" t="s">
        <v>329</v>
      </c>
      <c r="C468" s="77" t="s">
        <v>2817</v>
      </c>
      <c r="D468" s="77" t="s">
        <v>2818</v>
      </c>
      <c r="E468" s="77" t="s">
        <v>2819</v>
      </c>
      <c r="F468" s="77"/>
      <c r="G468" s="77"/>
    </row>
    <row r="469" spans="1:7">
      <c r="A469" s="355" t="str">
        <f>IF(Select!$B$2048=1,Lang!B469,IF(Select!$B$2048=2,Lang!C469,IF(Select!$B$2048=3,Lang!D469,IF(Select!$B$2048=4,Lang!E469))))</f>
        <v>Manson etansare MF 8(175-330)</v>
      </c>
      <c r="B469" s="77" t="s">
        <v>330</v>
      </c>
      <c r="C469" s="77" t="s">
        <v>2820</v>
      </c>
      <c r="D469" s="77" t="s">
        <v>2821</v>
      </c>
      <c r="E469" s="77" t="s">
        <v>2822</v>
      </c>
      <c r="F469" s="77"/>
      <c r="G469" s="77"/>
    </row>
    <row r="470" spans="1:7">
      <c r="A470" s="355" t="str">
        <f>IF(Select!$B$2048=1,Lang!B470,IF(Select!$B$2048=2,Lang!C470,IF(Select!$B$2048=3,Lang!D470,IF(Select!$B$2048=4,Lang!E470))))</f>
        <v>Manson etansare MF 9(240-475)</v>
      </c>
      <c r="B470" s="77" t="s">
        <v>331</v>
      </c>
      <c r="C470" s="77" t="s">
        <v>2823</v>
      </c>
      <c r="D470" s="77" t="s">
        <v>2824</v>
      </c>
      <c r="E470" s="77" t="s">
        <v>2825</v>
      </c>
      <c r="F470" s="77"/>
      <c r="G470" s="77"/>
    </row>
    <row r="471" spans="1:7">
      <c r="A471" s="355" t="str">
        <f>IF(Select!$B$2048=1,Lang!B471,IF(Select!$B$2048=2,Lang!C471,IF(Select!$B$2048=3,Lang!D471,IF(Select!$B$2048=4,Lang!E471))))</f>
        <v>Banda etansare JIS 35 NEGATIV</v>
      </c>
      <c r="B471" s="77" t="s">
        <v>2599</v>
      </c>
      <c r="C471" s="77" t="s">
        <v>2826</v>
      </c>
      <c r="D471" s="77" t="s">
        <v>2827</v>
      </c>
      <c r="E471" s="77" t="s">
        <v>2828</v>
      </c>
      <c r="F471" s="77"/>
      <c r="G471" s="77"/>
    </row>
    <row r="472" spans="1:7">
      <c r="A472" s="355" t="str">
        <f>IF(Select!$B$2048=1,Lang!B472,IF(Select!$B$2048=2,Lang!C472,IF(Select!$B$2048=3,Lang!D472,IF(Select!$B$2048=4,Lang!E472))))</f>
        <v>Banda etansare JIS 45 NEGATIV</v>
      </c>
      <c r="B472" s="77" t="s">
        <v>2600</v>
      </c>
      <c r="C472" s="77" t="s">
        <v>2829</v>
      </c>
      <c r="D472" s="77" t="s">
        <v>2830</v>
      </c>
      <c r="E472" s="77" t="s">
        <v>2831</v>
      </c>
      <c r="F472" s="77"/>
      <c r="G472" s="77"/>
    </row>
    <row r="473" spans="1:7">
      <c r="A473" s="355">
        <f>IF(Select!$B$2048=1,Lang!B473,IF(Select!$B$2048=2,Lang!C473,IF(Select!$B$2048=3,Lang!D473,IF(Select!$B$2048=4,Lang!E473))))</f>
        <v>0</v>
      </c>
    </row>
    <row r="474" spans="1:7">
      <c r="A474" s="355" t="str">
        <f>IF(Select!$B$2048=1,Lang!B474,IF(Select!$B$2048=2,Lang!C474,IF(Select!$B$2048=3,Lang!D474,IF(Select!$B$2048=4,Lang!E474))))</f>
        <v>Specială bordură calcan BSC</v>
      </c>
      <c r="B474" t="s">
        <v>2874</v>
      </c>
      <c r="C474" t="s">
        <v>2832</v>
      </c>
      <c r="D474" t="s">
        <v>2846</v>
      </c>
      <c r="E474" t="s">
        <v>2860</v>
      </c>
    </row>
    <row r="475" spans="1:7">
      <c r="A475" s="355" t="str">
        <f>IF(Select!$B$2048=1,Lang!B475,IF(Select!$B$2048=2,Lang!C475,IF(Select!$B$2048=3,Lang!D475,IF(Select!$B$2048=4,Lang!E475))))</f>
        <v>Coamă dreaptă mare CDMA</v>
      </c>
      <c r="B475" t="s">
        <v>2875</v>
      </c>
      <c r="C475" t="s">
        <v>2833</v>
      </c>
      <c r="D475" t="s">
        <v>2847</v>
      </c>
      <c r="E475" t="s">
        <v>2861</v>
      </c>
    </row>
    <row r="476" spans="1:7">
      <c r="A476" s="355" t="str">
        <f>IF(Select!$B$2048=1,Lang!B476,IF(Select!$B$2048=2,Lang!C476,IF(Select!$B$2048=3,Lang!D476,IF(Select!$B$2048=4,Lang!E476))))</f>
        <v>Coamă dreaptă mică CDMI</v>
      </c>
      <c r="B476" t="s">
        <v>2876</v>
      </c>
      <c r="C476" t="s">
        <v>2834</v>
      </c>
      <c r="D476" t="s">
        <v>2848</v>
      </c>
      <c r="E476" t="s">
        <v>2862</v>
      </c>
    </row>
    <row r="477" spans="1:7">
      <c r="A477" s="355" t="str">
        <f>IF(Select!$B$2048=1,Lang!B477,IF(Select!$B$2048=2,Lang!C477,IF(Select!$B$2048=3,Lang!D477,IF(Select!$B$2048=4,Lang!E477))))</f>
        <v>Coamă rotundă mică CR</v>
      </c>
      <c r="B477" t="s">
        <v>2877</v>
      </c>
      <c r="C477" t="s">
        <v>2835</v>
      </c>
      <c r="D477" t="s">
        <v>2849</v>
      </c>
      <c r="E477" t="s">
        <v>2863</v>
      </c>
    </row>
    <row r="478" spans="1:7">
      <c r="A478" s="355" t="str">
        <f>IF(Select!$B$2048=1,Lang!B478,IF(Select!$B$2048=2,Lang!C478,IF(Select!$B$2048=3,Lang!D478,IF(Select!$B$2048=4,Lang!E478))))</f>
        <v>Coamă rotundă mare CRMA</v>
      </c>
      <c r="B478" t="s">
        <v>2878</v>
      </c>
      <c r="C478" t="s">
        <v>2836</v>
      </c>
      <c r="D478" t="s">
        <v>2850</v>
      </c>
      <c r="E478" t="s">
        <v>2864</v>
      </c>
    </row>
    <row r="479" spans="1:7">
      <c r="A479" s="355" t="str">
        <f>IF(Select!$B$2048=1,Lang!B479,IF(Select!$B$2048=2,Lang!C479,IF(Select!$B$2048=3,Lang!D479,IF(Select!$B$2048=4,Lang!E479))))</f>
        <v>Colector fronton CF</v>
      </c>
      <c r="B479" t="s">
        <v>45</v>
      </c>
      <c r="C479" t="s">
        <v>2837</v>
      </c>
      <c r="D479" t="s">
        <v>2851</v>
      </c>
      <c r="E479" t="s">
        <v>2865</v>
      </c>
    </row>
    <row r="480" spans="1:7">
      <c r="A480" s="355" t="str">
        <f>IF(Select!$B$2048=1,Lang!B480,IF(Select!$B$2048=2,Lang!C480,IF(Select!$B$2048=3,Lang!D480,IF(Select!$B$2048=4,Lang!E480))))</f>
        <v>Racord calcan</v>
      </c>
      <c r="B480" t="s">
        <v>237</v>
      </c>
      <c r="C480" t="s">
        <v>2838</v>
      </c>
      <c r="D480" t="s">
        <v>2852</v>
      </c>
      <c r="E480" t="s">
        <v>2866</v>
      </c>
    </row>
    <row r="481" spans="1:5">
      <c r="A481" s="355" t="str">
        <f>IF(Select!$B$2048=1,Lang!B481,IF(Select!$B$2048=2,Lang!C481,IF(Select!$B$2048=3,Lang!D481,IF(Select!$B$2048=4,Lang!E481))))</f>
        <v>Dolie DO</v>
      </c>
      <c r="B481" t="s">
        <v>80</v>
      </c>
      <c r="C481" t="s">
        <v>2839</v>
      </c>
      <c r="D481" t="s">
        <v>2853</v>
      </c>
      <c r="E481" t="s">
        <v>2867</v>
      </c>
    </row>
    <row r="482" spans="1:5">
      <c r="A482" s="355" t="str">
        <f>IF(Select!$B$2048=1,Lang!B482,IF(Select!$B$2048=2,Lang!C482,IF(Select!$B$2048=3,Lang!D482,IF(Select!$B$2048=4,Lang!E482))))</f>
        <v>Pazie tip 1 PAZ 1</v>
      </c>
      <c r="B482" t="s">
        <v>47</v>
      </c>
      <c r="C482" t="s">
        <v>2840</v>
      </c>
      <c r="D482" t="s">
        <v>2854</v>
      </c>
      <c r="E482" t="s">
        <v>2868</v>
      </c>
    </row>
    <row r="483" spans="1:5">
      <c r="A483" s="355" t="str">
        <f>IF(Select!$B$2048=1,Lang!B483,IF(Select!$B$2048=2,Lang!C483,IF(Select!$B$2048=3,Lang!D483,IF(Select!$B$2048=4,Lang!E483))))</f>
        <v>Pazie streașină PAZS</v>
      </c>
      <c r="B483" t="s">
        <v>2879</v>
      </c>
      <c r="C483" t="s">
        <v>2841</v>
      </c>
      <c r="D483" t="s">
        <v>2855</v>
      </c>
      <c r="E483" t="s">
        <v>2869</v>
      </c>
    </row>
    <row r="484" spans="1:5">
      <c r="A484" s="355" t="str">
        <f>IF(Select!$B$2048=1,Lang!B484,IF(Select!$B$2048=2,Lang!C484,IF(Select!$B$2048=3,Lang!D484,IF(Select!$B$2048=4,Lang!E484))))</f>
        <v>Parazăpadă ranforsată PRZS</v>
      </c>
      <c r="B484" t="s">
        <v>2880</v>
      </c>
      <c r="C484" t="s">
        <v>2842</v>
      </c>
      <c r="D484" t="s">
        <v>2856</v>
      </c>
      <c r="E484" t="s">
        <v>2870</v>
      </c>
    </row>
    <row r="485" spans="1:5">
      <c r="A485" s="355" t="str">
        <f>IF(Select!$B$2048=1,Lang!B485,IF(Select!$B$2048=2,Lang!C485,IF(Select!$B$2048=3,Lang!D485,IF(Select!$B$2048=4,Lang!E485))))</f>
        <v>Rupere pantă interior</v>
      </c>
      <c r="B485" t="s">
        <v>2881</v>
      </c>
      <c r="C485" t="s">
        <v>2843</v>
      </c>
      <c r="D485" t="s">
        <v>2857</v>
      </c>
      <c r="E485" t="s">
        <v>2871</v>
      </c>
    </row>
    <row r="486" spans="1:5">
      <c r="A486" s="355" t="str">
        <f>IF(Select!$B$2048=1,Lang!B486,IF(Select!$B$2048=2,Lang!C486,IF(Select!$B$2048=3,Lang!D486,IF(Select!$B$2048=4,Lang!E486))))</f>
        <v>Șort rupere perete vertical SRV</v>
      </c>
      <c r="B486" t="s">
        <v>2882</v>
      </c>
      <c r="C486" t="s">
        <v>2844</v>
      </c>
      <c r="D486" t="s">
        <v>2858</v>
      </c>
      <c r="E486" t="s">
        <v>2872</v>
      </c>
    </row>
    <row r="487" spans="1:5">
      <c r="A487" s="355" t="str">
        <f>IF(Select!$B$2048=1,Lang!B487,IF(Select!$B$2048=2,Lang!C487,IF(Select!$B$2048=3,Lang!D487,IF(Select!$B$2048=4,Lang!E487))))</f>
        <v>Șort streașină SO</v>
      </c>
      <c r="B487" t="s">
        <v>2883</v>
      </c>
      <c r="C487" t="s">
        <v>2845</v>
      </c>
      <c r="D487" t="s">
        <v>2859</v>
      </c>
      <c r="E487" t="s">
        <v>2873</v>
      </c>
    </row>
    <row r="488" spans="1:5">
      <c r="A488" s="355" t="str">
        <f>IF(Select!$B$2048=1,Lang!B488,IF(Select!$B$2048=2,Lang!C488,IF(Select!$B$2048=3,Lang!D488,IF(Select!$B$2048=4,Lang!E488))))</f>
        <v>Modul PANORAMA 1195*740mm (bucăți)</v>
      </c>
      <c r="B488" t="s">
        <v>2965</v>
      </c>
      <c r="C488" t="s">
        <v>2966</v>
      </c>
      <c r="D488" t="s">
        <v>2967</v>
      </c>
      <c r="E488" t="s">
        <v>2968</v>
      </c>
    </row>
    <row r="489" spans="1:5">
      <c r="A489" s="355" t="str">
        <f>IF(Select!$B$2048=1,Lang!B489,IF(Select!$B$2048=2,Lang!C489,IF(Select!$B$2048=3,Lang!D489,IF(Select!$B$2048=4,Lang!E489))))</f>
        <v>Tabla plană PANORAMA 1240*2000</v>
      </c>
      <c r="B489" t="s">
        <v>2884</v>
      </c>
      <c r="C489" t="s">
        <v>2902</v>
      </c>
      <c r="D489" t="s">
        <v>2923</v>
      </c>
      <c r="E489" t="s">
        <v>2944</v>
      </c>
    </row>
    <row r="490" spans="1:5">
      <c r="A490" s="355" t="str">
        <f>IF(Select!$B$2048=1,Lang!B490,IF(Select!$B$2048=2,Lang!C490,IF(Select!$B$2048=3,Lang!D490,IF(Select!$B$2048=4,Lang!E490))))</f>
        <v>Bordură specială calcan PANORAMA</v>
      </c>
      <c r="B490" t="s">
        <v>2885</v>
      </c>
      <c r="C490" t="s">
        <v>2903</v>
      </c>
      <c r="D490" t="s">
        <v>2924</v>
      </c>
      <c r="E490" t="s">
        <v>2945</v>
      </c>
    </row>
    <row r="491" spans="1:5">
      <c r="A491" s="355" t="str">
        <f>IF(Select!$B$2048=1,Lang!B491,IF(Select!$B$2048=2,Lang!C491,IF(Select!$B$2048=3,Lang!D491,IF(Select!$B$2048=4,Lang!E491))))</f>
        <v>Coamă dreaptă mare PANORAMA</v>
      </c>
      <c r="B491" t="s">
        <v>2886</v>
      </c>
      <c r="C491" t="s">
        <v>2904</v>
      </c>
      <c r="D491" t="s">
        <v>2925</v>
      </c>
      <c r="E491" t="s">
        <v>2946</v>
      </c>
    </row>
    <row r="492" spans="1:5">
      <c r="A492" s="355" t="str">
        <f>IF(Select!$B$2048=1,Lang!B492,IF(Select!$B$2048=2,Lang!C492,IF(Select!$B$2048=3,Lang!D492,IF(Select!$B$2048=4,Lang!E492))))</f>
        <v>Coamă dreaptă mică PANORAMA</v>
      </c>
      <c r="B492" t="s">
        <v>2887</v>
      </c>
      <c r="C492" t="s">
        <v>2905</v>
      </c>
      <c r="D492" t="s">
        <v>2926</v>
      </c>
      <c r="E492" t="s">
        <v>2947</v>
      </c>
    </row>
    <row r="493" spans="1:5">
      <c r="A493" s="355" t="str">
        <f>IF(Select!$B$2048=1,Lang!B493,IF(Select!$B$2048=2,Lang!C493,IF(Select!$B$2048=3,Lang!D493,IF(Select!$B$2048=4,Lang!E493))))</f>
        <v>Coamă rotundă mică PANORAMA</v>
      </c>
      <c r="B493" t="s">
        <v>2888</v>
      </c>
      <c r="C493" t="s">
        <v>2906</v>
      </c>
      <c r="D493" t="s">
        <v>2927</v>
      </c>
      <c r="E493" t="s">
        <v>2948</v>
      </c>
    </row>
    <row r="494" spans="1:5">
      <c r="A494" s="355" t="str">
        <f>IF(Select!$B$2048=1,Lang!B494,IF(Select!$B$2048=2,Lang!C494,IF(Select!$B$2048=3,Lang!D494,IF(Select!$B$2048=4,Lang!E494))))</f>
        <v>Coamă modulară PANORAMA 0,385mm</v>
      </c>
      <c r="B494" t="s">
        <v>2889</v>
      </c>
      <c r="C494" t="s">
        <v>2907</v>
      </c>
      <c r="D494" t="s">
        <v>2928</v>
      </c>
      <c r="E494" t="s">
        <v>2949</v>
      </c>
    </row>
    <row r="495" spans="1:5">
      <c r="A495" s="355" t="str">
        <f>IF(Select!$B$2048=1,Lang!B495,IF(Select!$B$2048=2,Lang!C495,IF(Select!$B$2048=3,Lang!D495,IF(Select!$B$2048=4,Lang!E495))))</f>
        <v>Coamă rotundă mare PANORAMA</v>
      </c>
      <c r="B495" t="s">
        <v>2890</v>
      </c>
      <c r="C495" t="s">
        <v>2908</v>
      </c>
      <c r="D495" t="s">
        <v>2929</v>
      </c>
      <c r="E495" t="s">
        <v>2950</v>
      </c>
    </row>
    <row r="496" spans="1:5">
      <c r="A496" s="355" t="str">
        <f>IF(Select!$B$2048=1,Lang!B496,IF(Select!$B$2048=2,Lang!C496,IF(Select!$B$2048=3,Lang!D496,IF(Select!$B$2048=4,Lang!E496))))</f>
        <v>Capac coamă PANORAMA</v>
      </c>
      <c r="B496" t="s">
        <v>2891</v>
      </c>
      <c r="C496" t="s">
        <v>2909</v>
      </c>
      <c r="D496" t="s">
        <v>2930</v>
      </c>
      <c r="E496" t="s">
        <v>2951</v>
      </c>
    </row>
    <row r="497" spans="1:5">
      <c r="A497" s="355" t="str">
        <f>IF(Select!$B$2048=1,Lang!B497,IF(Select!$B$2048=2,Lang!C497,IF(Select!$B$2048=3,Lang!D497,IF(Select!$B$2048=4,Lang!E497))))</f>
        <v>Colector fronton PANORAMA</v>
      </c>
      <c r="B497" t="s">
        <v>2892</v>
      </c>
      <c r="C497" t="s">
        <v>2910</v>
      </c>
      <c r="D497" t="s">
        <v>2931</v>
      </c>
      <c r="E497" t="s">
        <v>2952</v>
      </c>
    </row>
    <row r="498" spans="1:5">
      <c r="A498" s="355" t="str">
        <f>IF(Select!$B$2048=1,Lang!B498,IF(Select!$B$2048=2,Lang!C498,IF(Select!$B$2048=3,Lang!D498,IF(Select!$B$2048=4,Lang!E498))))</f>
        <v>Racord calcan PANORAMA</v>
      </c>
      <c r="B498" t="s">
        <v>1684</v>
      </c>
      <c r="C498" t="s">
        <v>2911</v>
      </c>
      <c r="D498" t="s">
        <v>2932</v>
      </c>
      <c r="E498" t="s">
        <v>2953</v>
      </c>
    </row>
    <row r="499" spans="1:5">
      <c r="A499" s="355" t="str">
        <f>IF(Select!$B$2048=1,Lang!B499,IF(Select!$B$2048=2,Lang!C499,IF(Select!$B$2048=3,Lang!D499,IF(Select!$B$2048=4,Lang!E499))))</f>
        <v>Dolie PANORAMA</v>
      </c>
      <c r="B499" t="s">
        <v>1685</v>
      </c>
      <c r="C499" t="s">
        <v>2912</v>
      </c>
      <c r="D499" t="s">
        <v>2933</v>
      </c>
      <c r="E499" t="s">
        <v>2954</v>
      </c>
    </row>
    <row r="500" spans="1:5">
      <c r="A500" s="355" t="str">
        <f>IF(Select!$B$2048=1,Lang!B500,IF(Select!$B$2048=2,Lang!C500,IF(Select!$B$2048=3,Lang!D500,IF(Select!$B$2048=4,Lang!E500))))</f>
        <v>Opritor zăpadă PANORAMA</v>
      </c>
      <c r="B500" t="s">
        <v>2893</v>
      </c>
      <c r="C500" t="s">
        <v>2913</v>
      </c>
      <c r="D500" t="s">
        <v>2934</v>
      </c>
      <c r="E500" t="s">
        <v>2955</v>
      </c>
    </row>
    <row r="501" spans="1:5">
      <c r="A501" s="355" t="str">
        <f>IF(Select!$B$2048=1,Lang!B501,IF(Select!$B$2048=2,Lang!C501,IF(Select!$B$2048=3,Lang!D501,IF(Select!$B$2048=4,Lang!E501))))</f>
        <v>Pazie tip 1 PANORAMA</v>
      </c>
      <c r="B501" t="s">
        <v>1687</v>
      </c>
      <c r="C501" t="s">
        <v>2914</v>
      </c>
      <c r="D501" t="s">
        <v>2935</v>
      </c>
      <c r="E501" t="s">
        <v>2956</v>
      </c>
    </row>
    <row r="502" spans="1:5">
      <c r="A502" s="355" t="str">
        <f>IF(Select!$B$2048=1,Lang!B502,IF(Select!$B$2048=2,Lang!C502,IF(Select!$B$2048=3,Lang!D502,IF(Select!$B$2048=4,Lang!E502))))</f>
        <v>Pazie modulară stânga PANORAMA</v>
      </c>
      <c r="B502" t="s">
        <v>2894</v>
      </c>
      <c r="C502" t="s">
        <v>2915</v>
      </c>
      <c r="D502" t="s">
        <v>2936</v>
      </c>
      <c r="E502" t="s">
        <v>2957</v>
      </c>
    </row>
    <row r="503" spans="1:5">
      <c r="A503" s="355" t="str">
        <f>IF(Select!$B$2048=1,Lang!B503,IF(Select!$B$2048=2,Lang!C503,IF(Select!$B$2048=3,Lang!D503,IF(Select!$B$2048=4,Lang!E503))))</f>
        <v>Pazie modulară dreapta PANORAMA</v>
      </c>
      <c r="B503" t="s">
        <v>2895</v>
      </c>
      <c r="C503" t="s">
        <v>2916</v>
      </c>
      <c r="D503" t="s">
        <v>2937</v>
      </c>
      <c r="E503" t="s">
        <v>2958</v>
      </c>
    </row>
    <row r="504" spans="1:5">
      <c r="A504" s="355" t="str">
        <f>IF(Select!$B$2048=1,Lang!B504,IF(Select!$B$2048=2,Lang!C504,IF(Select!$B$2048=3,Lang!D504,IF(Select!$B$2048=4,Lang!E504))))</f>
        <v>Pazie streașină PANORAMA</v>
      </c>
      <c r="B504" t="s">
        <v>2896</v>
      </c>
      <c r="C504" t="s">
        <v>2917</v>
      </c>
      <c r="D504" t="s">
        <v>2938</v>
      </c>
      <c r="E504" t="s">
        <v>2959</v>
      </c>
    </row>
    <row r="505" spans="1:5">
      <c r="A505" s="355" t="str">
        <f>IF(Select!$B$2048=1,Lang!B505,IF(Select!$B$2048=2,Lang!C505,IF(Select!$B$2048=3,Lang!D505,IF(Select!$B$2048=4,Lang!E505))))</f>
        <v>Parazăpadă ranforsată PANORAMA</v>
      </c>
      <c r="B505" t="s">
        <v>2897</v>
      </c>
      <c r="C505" t="s">
        <v>2918</v>
      </c>
      <c r="D505" t="s">
        <v>2939</v>
      </c>
      <c r="E505" t="s">
        <v>2960</v>
      </c>
    </row>
    <row r="506" spans="1:5">
      <c r="A506" s="355" t="str">
        <f>IF(Select!$B$2048=1,Lang!B506,IF(Select!$B$2048=2,Lang!C506,IF(Select!$B$2048=3,Lang!D506,IF(Select!$B$2048=4,Lang!E506))))</f>
        <v>Șort rupere SRA PANORAMA</v>
      </c>
      <c r="B506" t="s">
        <v>2898</v>
      </c>
      <c r="C506" t="s">
        <v>2919</v>
      </c>
      <c r="D506" t="s">
        <v>2940</v>
      </c>
      <c r="E506" t="s">
        <v>2961</v>
      </c>
    </row>
    <row r="507" spans="1:5">
      <c r="A507" s="355" t="str">
        <f>IF(Select!$B$2048=1,Lang!B507,IF(Select!$B$2048=2,Lang!C507,IF(Select!$B$2048=3,Lang!D507,IF(Select!$B$2048=4,Lang!E507))))</f>
        <v>Șort rupere vertical SRV PANORAMA</v>
      </c>
      <c r="B507" t="s">
        <v>2899</v>
      </c>
      <c r="C507" t="s">
        <v>2920</v>
      </c>
      <c r="D507" t="s">
        <v>2941</v>
      </c>
      <c r="E507" t="s">
        <v>2962</v>
      </c>
    </row>
    <row r="508" spans="1:5">
      <c r="A508" s="355" t="str">
        <f>IF(Select!$B$2048=1,Lang!B508,IF(Select!$B$2048=2,Lang!C508,IF(Select!$B$2048=3,Lang!D508,IF(Select!$B$2048=4,Lang!E508))))</f>
        <v>Șort streașină PANORAMA</v>
      </c>
      <c r="B508" t="s">
        <v>2900</v>
      </c>
      <c r="C508" t="s">
        <v>2921</v>
      </c>
      <c r="D508" t="s">
        <v>2942</v>
      </c>
      <c r="E508" t="s">
        <v>2963</v>
      </c>
    </row>
    <row r="509" spans="1:5">
      <c r="A509" s="355" t="str">
        <f>IF(Select!$B$2048=1,Lang!B509,IF(Select!$B$2048=2,Lang!C509,IF(Select!$B$2048=3,Lang!D509,IF(Select!$B$2048=4,Lang!E509))))</f>
        <v>Set coș fum PANORAMA</v>
      </c>
      <c r="B509" t="s">
        <v>2901</v>
      </c>
      <c r="C509" t="s">
        <v>2922</v>
      </c>
      <c r="D509" t="s">
        <v>2943</v>
      </c>
      <c r="E509" t="s">
        <v>2964</v>
      </c>
    </row>
    <row r="510" spans="1:5">
      <c r="A510" s="355" t="str">
        <f>IF(Select!$B$2048=1,Lang!B510,IF(Select!$B$2048=2,Lang!C510,IF(Select!$B$2048=3,Lang!D510,IF(Select!$B$2048=4,Lang!E510))))</f>
        <v>Șurub cap torx 4,8x20 RAL 250 buc/cutie RAL:</v>
      </c>
      <c r="B510" t="s">
        <v>2969</v>
      </c>
      <c r="C510" t="s">
        <v>2972</v>
      </c>
      <c r="D510" t="s">
        <v>2975</v>
      </c>
      <c r="E510" t="s">
        <v>2978</v>
      </c>
    </row>
    <row r="511" spans="1:5">
      <c r="A511" s="355" t="str">
        <f>IF(Select!$B$2048=1,Lang!B511,IF(Select!$B$2048=2,Lang!C511,IF(Select!$B$2048=3,Lang!D511,IF(Select!$B$2048=4,Lang!E511))))</f>
        <v>Șurub cap torx 4,8x35 RAL 250 buc/cutie RAL:</v>
      </c>
      <c r="B511" t="s">
        <v>2970</v>
      </c>
      <c r="C511" t="s">
        <v>2973</v>
      </c>
      <c r="D511" t="s">
        <v>2976</v>
      </c>
      <c r="E511" t="s">
        <v>2979</v>
      </c>
    </row>
    <row r="512" spans="1:5">
      <c r="A512" s="355" t="str">
        <f>IF(Select!$B$2048=1,Lang!B512,IF(Select!$B$2048=2,Lang!C512,IF(Select!$B$2048=3,Lang!D512,IF(Select!$B$2048=4,Lang!E512))))</f>
        <v>B. Specială Pan. Lățime x 2000</v>
      </c>
      <c r="B512" t="s">
        <v>2971</v>
      </c>
      <c r="C512" t="s">
        <v>2974</v>
      </c>
      <c r="D512" t="s">
        <v>2977</v>
      </c>
      <c r="E512" t="s">
        <v>2980</v>
      </c>
    </row>
    <row r="513" spans="1:1">
      <c r="A513" s="355">
        <f>IF(Select!$B$2048=1,Lang!B513,IF(Select!$B$2048=2,Lang!C513,IF(Select!$B$2048=3,Lang!D513,IF(Select!$B$2048=4,Lang!E513))))</f>
        <v>0</v>
      </c>
    </row>
    <row r="514" spans="1:1">
      <c r="A514" s="355">
        <f>IF(Select!$B$2048=1,Lang!B514,IF(Select!$B$2048=2,Lang!C514,IF(Select!$B$2048=3,Lang!D514,IF(Select!$B$2048=4,Lang!E514))))</f>
        <v>0</v>
      </c>
    </row>
    <row r="515" spans="1:1">
      <c r="A515" s="355">
        <f>IF(Select!$B$2048=1,Lang!B515,IF(Select!$B$2048=2,Lang!C515,IF(Select!$B$2048=3,Lang!D515,IF(Select!$B$2048=4,Lang!E515))))</f>
        <v>0</v>
      </c>
    </row>
    <row r="516" spans="1:1">
      <c r="A516" s="355">
        <f>IF(Select!$B$2048=1,Lang!B516,IF(Select!$B$2048=2,Lang!C516,IF(Select!$B$2048=3,Lang!D516,IF(Select!$B$2048=4,Lang!E516))))</f>
        <v>0</v>
      </c>
    </row>
    <row r="517" spans="1:1">
      <c r="A517" s="355">
        <f>IF(Select!$B$2048=1,Lang!B517,IF(Select!$B$2048=2,Lang!C517,IF(Select!$B$2048=3,Lang!D517,IF(Select!$B$2048=4,Lang!E517))))</f>
        <v>0</v>
      </c>
    </row>
    <row r="518" spans="1:1">
      <c r="A518" s="355">
        <f>IF(Select!$B$2048=1,Lang!B518,IF(Select!$B$2048=2,Lang!C518,IF(Select!$B$2048=3,Lang!D518,IF(Select!$B$2048=4,Lang!E518))))</f>
        <v>0</v>
      </c>
    </row>
    <row r="519" spans="1:1">
      <c r="A519" s="355">
        <f>IF(Select!$B$2048=1,Lang!B519,IF(Select!$B$2048=2,Lang!C519,IF(Select!$B$2048=3,Lang!D519,IF(Select!$B$2048=4,Lang!E519))))</f>
        <v>0</v>
      </c>
    </row>
    <row r="520" spans="1:1">
      <c r="A520" s="355">
        <f>IF(Select!$B$2048=1,Lang!B520,IF(Select!$B$2048=2,Lang!C520,IF(Select!$B$2048=3,Lang!D520,IF(Select!$B$2048=4,Lang!E520))))</f>
        <v>0</v>
      </c>
    </row>
    <row r="521" spans="1:1">
      <c r="A521" s="355">
        <f>IF(Select!$B$2048=1,Lang!B521,IF(Select!$B$2048=2,Lang!C521,IF(Select!$B$2048=3,Lang!D521,IF(Select!$B$2048=4,Lang!E521))))</f>
        <v>0</v>
      </c>
    </row>
    <row r="522" spans="1:1">
      <c r="A522" s="355">
        <f>IF(Select!$B$2048=1,Lang!B522,IF(Select!$B$2048=2,Lang!C522,IF(Select!$B$2048=3,Lang!D522,IF(Select!$B$2048=4,Lang!E522))))</f>
        <v>0</v>
      </c>
    </row>
    <row r="523" spans="1:1">
      <c r="A523" s="355">
        <f>IF(Select!$B$2048=1,Lang!B523,IF(Select!$B$2048=2,Lang!C523,IF(Select!$B$2048=3,Lang!D523,IF(Select!$B$2048=4,Lang!E523))))</f>
        <v>0</v>
      </c>
    </row>
    <row r="524" spans="1:1">
      <c r="A524" s="355">
        <f>IF(Select!$B$2048=1,Lang!B524,IF(Select!$B$2048=2,Lang!C524,IF(Select!$B$2048=3,Lang!D524,IF(Select!$B$2048=4,Lang!E524))))</f>
        <v>0</v>
      </c>
    </row>
    <row r="525" spans="1:1">
      <c r="A525" s="355">
        <f>IF(Select!$B$2048=1,Lang!B525,IF(Select!$B$2048=2,Lang!C525,IF(Select!$B$2048=3,Lang!D525,IF(Select!$B$2048=4,Lang!E525))))</f>
        <v>0</v>
      </c>
    </row>
    <row r="526" spans="1:1">
      <c r="A526" s="355">
        <f>IF(Select!$B$2048=1,Lang!B526,IF(Select!$B$2048=2,Lang!C526,IF(Select!$B$2048=3,Lang!D526,IF(Select!$B$2048=4,Lang!E526))))</f>
        <v>0</v>
      </c>
    </row>
    <row r="527" spans="1:1">
      <c r="A527" s="355">
        <f>IF(Select!$B$2048=1,Lang!B527,IF(Select!$B$2048=2,Lang!C527,IF(Select!$B$2048=3,Lang!D527,IF(Select!$B$2048=4,Lang!E527))))</f>
        <v>0</v>
      </c>
    </row>
    <row r="528" spans="1:1">
      <c r="A528" s="355">
        <f>IF(Select!$B$2048=1,Lang!B528,IF(Select!$B$2048=2,Lang!C528,IF(Select!$B$2048=3,Lang!D528,IF(Select!$B$2048=4,Lang!E528))))</f>
        <v>0</v>
      </c>
    </row>
    <row r="529" spans="1:1">
      <c r="A529" s="355">
        <f>IF(Select!$B$2048=1,Lang!B529,IF(Select!$B$2048=2,Lang!C529,IF(Select!$B$2048=3,Lang!D529,IF(Select!$B$2048=4,Lang!E529))))</f>
        <v>0</v>
      </c>
    </row>
    <row r="530" spans="1:1">
      <c r="A530" s="355">
        <f>IF(Select!$B$2048=1,Lang!B530,IF(Select!$B$2048=2,Lang!C530,IF(Select!$B$2048=3,Lang!D530,IF(Select!$B$2048=4,Lang!E530))))</f>
        <v>0</v>
      </c>
    </row>
    <row r="531" spans="1:1">
      <c r="A531" s="355">
        <f>IF(Select!$B$2048=1,Lang!B531,IF(Select!$B$2048=2,Lang!C531,IF(Select!$B$2048=3,Lang!D531,IF(Select!$B$2048=4,Lang!E531))))</f>
        <v>0</v>
      </c>
    </row>
    <row r="532" spans="1:1">
      <c r="A532" s="355">
        <f>IF(Select!$B$2048=1,Lang!B532,IF(Select!$B$2048=2,Lang!C532,IF(Select!$B$2048=3,Lang!D532,IF(Select!$B$2048=4,Lang!E532))))</f>
        <v>0</v>
      </c>
    </row>
    <row r="533" spans="1:1">
      <c r="A533" s="355">
        <f>IF(Select!$B$2048=1,Lang!B533,IF(Select!$B$2048=2,Lang!C533,IF(Select!$B$2048=3,Lang!D533,IF(Select!$B$2048=4,Lang!E533))))</f>
        <v>0</v>
      </c>
    </row>
    <row r="534" spans="1:1">
      <c r="A534" s="355">
        <f>IF(Select!$B$2048=1,Lang!B534,IF(Select!$B$2048=2,Lang!C534,IF(Select!$B$2048=3,Lang!D534,IF(Select!$B$2048=4,Lang!E534))))</f>
        <v>0</v>
      </c>
    </row>
    <row r="535" spans="1:1">
      <c r="A535" s="355">
        <f>IF(Select!$B$2048=1,Lang!B535,IF(Select!$B$2048=2,Lang!C535,IF(Select!$B$2048=3,Lang!D535,IF(Select!$B$2048=4,Lang!E535))))</f>
        <v>0</v>
      </c>
    </row>
    <row r="536" spans="1:1">
      <c r="A536" s="355">
        <f>IF(Select!$B$2048=1,Lang!B536,IF(Select!$B$2048=2,Lang!C536,IF(Select!$B$2048=3,Lang!D536,IF(Select!$B$2048=4,Lang!E536))))</f>
        <v>0</v>
      </c>
    </row>
    <row r="537" spans="1:1">
      <c r="A537" s="355">
        <f>IF(Select!$B$2048=1,Lang!B537,IF(Select!$B$2048=2,Lang!C537,IF(Select!$B$2048=3,Lang!D537,IF(Select!$B$2048=4,Lang!E537))))</f>
        <v>0</v>
      </c>
    </row>
    <row r="538" spans="1:1">
      <c r="A538" s="355">
        <f>IF(Select!$B$2048=1,Lang!B538,IF(Select!$B$2048=2,Lang!C538,IF(Select!$B$2048=3,Lang!D538,IF(Select!$B$2048=4,Lang!E538))))</f>
        <v>0</v>
      </c>
    </row>
    <row r="539" spans="1:1">
      <c r="A539" s="355">
        <f>IF(Select!$B$2048=1,Lang!B539,IF(Select!$B$2048=2,Lang!C539,IF(Select!$B$2048=3,Lang!D539,IF(Select!$B$2048=4,Lang!E539))))</f>
        <v>0</v>
      </c>
    </row>
    <row r="540" spans="1:1">
      <c r="A540" s="355">
        <f>IF(Select!$B$2048=1,Lang!B540,IF(Select!$B$2048=2,Lang!C540,IF(Select!$B$2048=3,Lang!D540,IF(Select!$B$2048=4,Lang!E540))))</f>
        <v>0</v>
      </c>
    </row>
    <row r="541" spans="1:1">
      <c r="A541" s="355">
        <f>IF(Select!$B$2048=1,Lang!B541,IF(Select!$B$2048=2,Lang!C541,IF(Select!$B$2048=3,Lang!D541,IF(Select!$B$2048=4,Lang!E541))))</f>
        <v>0</v>
      </c>
    </row>
    <row r="542" spans="1:1">
      <c r="A542" s="355">
        <f>IF(Select!$B$2048=1,Lang!B542,IF(Select!$B$2048=2,Lang!C542,IF(Select!$B$2048=3,Lang!D542,IF(Select!$B$2048=4,Lang!E542))))</f>
        <v>0</v>
      </c>
    </row>
    <row r="543" spans="1:1">
      <c r="A543" s="355">
        <f>IF(Select!$B$2048=1,Lang!B543,IF(Select!$B$2048=2,Lang!C543,IF(Select!$B$2048=3,Lang!D543,IF(Select!$B$2048=4,Lang!E543))))</f>
        <v>0</v>
      </c>
    </row>
    <row r="544" spans="1:1">
      <c r="A544" s="355">
        <f>IF(Select!$B$2048=1,Lang!B544,IF(Select!$B$2048=2,Lang!C544,IF(Select!$B$2048=3,Lang!D544,IF(Select!$B$2048=4,Lang!E544))))</f>
        <v>0</v>
      </c>
    </row>
    <row r="545" spans="1:1">
      <c r="A545" s="355">
        <f>IF(Select!$B$2048=1,Lang!B545,IF(Select!$B$2048=2,Lang!C545,IF(Select!$B$2048=3,Lang!D545,IF(Select!$B$2048=4,Lang!E545))))</f>
        <v>0</v>
      </c>
    </row>
    <row r="546" spans="1:1">
      <c r="A546" s="355">
        <f>IF(Select!$B$2048=1,Lang!B546,IF(Select!$B$2048=2,Lang!C546,IF(Select!$B$2048=3,Lang!D546,IF(Select!$B$2048=4,Lang!E546))))</f>
        <v>0</v>
      </c>
    </row>
    <row r="547" spans="1:1">
      <c r="A547" s="355">
        <f>IF(Select!$B$2048=1,Lang!B547,IF(Select!$B$2048=2,Lang!C547,IF(Select!$B$2048=3,Lang!D547,IF(Select!$B$2048=4,Lang!E547))))</f>
        <v>0</v>
      </c>
    </row>
    <row r="548" spans="1:1">
      <c r="A548" s="355">
        <f>IF(Select!$B$2048=1,Lang!B548,IF(Select!$B$2048=2,Lang!C548,IF(Select!$B$2048=3,Lang!D548,IF(Select!$B$2048=4,Lang!E548))))</f>
        <v>0</v>
      </c>
    </row>
    <row r="549" spans="1:1">
      <c r="A549" s="355">
        <f>IF(Select!$B$2048=1,Lang!B549,IF(Select!$B$2048=2,Lang!C549,IF(Select!$B$2048=3,Lang!D549,IF(Select!$B$2048=4,Lang!E549))))</f>
        <v>0</v>
      </c>
    </row>
    <row r="550" spans="1:1">
      <c r="A550" s="355">
        <f>IF(Select!$B$2048=1,Lang!B550,IF(Select!$B$2048=2,Lang!C550,IF(Select!$B$2048=3,Lang!D550,IF(Select!$B$2048=4,Lang!E550))))</f>
        <v>0</v>
      </c>
    </row>
    <row r="551" spans="1:1">
      <c r="A551" s="355">
        <f>IF(Select!$B$2048=1,Lang!B551,IF(Select!$B$2048=2,Lang!C551,IF(Select!$B$2048=3,Lang!D551,IF(Select!$B$2048=4,Lang!E551))))</f>
        <v>0</v>
      </c>
    </row>
    <row r="552" spans="1:1">
      <c r="A552" s="355">
        <f>IF(Select!$B$2048=1,Lang!B552,IF(Select!$B$2048=2,Lang!C552,IF(Select!$B$2048=3,Lang!D552,IF(Select!$B$2048=4,Lang!E552))))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961"/>
  <sheetViews>
    <sheetView topLeftCell="A58" workbookViewId="0">
      <selection activeCell="K67" sqref="K67"/>
    </sheetView>
  </sheetViews>
  <sheetFormatPr defaultRowHeight="14.4"/>
  <cols>
    <col min="1" max="1" width="58" customWidth="1"/>
    <col min="2" max="2" width="9.109375" style="249"/>
    <col min="3" max="6" width="9.109375" style="248"/>
  </cols>
  <sheetData>
    <row r="1" spans="1:6">
      <c r="B1" s="249" t="s">
        <v>1730</v>
      </c>
      <c r="C1" s="248">
        <v>1</v>
      </c>
      <c r="D1" s="248">
        <v>2</v>
      </c>
      <c r="E1" s="248">
        <v>3</v>
      </c>
      <c r="F1" s="248" t="s">
        <v>1731</v>
      </c>
    </row>
    <row r="2" spans="1:6" s="77" customFormat="1">
      <c r="A2" s="488" t="s">
        <v>2246</v>
      </c>
      <c r="B2" s="249">
        <v>9.2100000000000009</v>
      </c>
      <c r="C2" s="248">
        <f>ROUND(B2*(1-'Disc Dep'!$J$24),2)</f>
        <v>6.82</v>
      </c>
      <c r="D2" s="248">
        <f>ROUND(C2*(1+'Adaos Distr'!$J$24),2)</f>
        <v>6.82</v>
      </c>
      <c r="E2" s="248">
        <f>ROUND(D2*(1+'Adaos RESELLER'!$J$24),2)</f>
        <v>6.82</v>
      </c>
      <c r="F2" s="248">
        <f>IF(Select!$E$23=1,C2,IF(Select!$E$23=2,D2,IF(Select!$E$23=3,E2)))</f>
        <v>6.82</v>
      </c>
    </row>
    <row r="3" spans="1:6" s="77" customFormat="1">
      <c r="A3" s="488" t="s">
        <v>2247</v>
      </c>
      <c r="B3" s="249">
        <v>8.86</v>
      </c>
      <c r="C3" s="248">
        <f>ROUND(B3*(1-'Disc Dep'!$J$26),2)</f>
        <v>6.56</v>
      </c>
      <c r="D3" s="248">
        <f>ROUND(C3*(1+'Adaos Distr'!$J$26),2)</f>
        <v>6.56</v>
      </c>
      <c r="E3" s="248">
        <f>ROUND(D3*(1+'Adaos RESELLER'!$J$26),2)</f>
        <v>6.56</v>
      </c>
      <c r="F3" s="248">
        <f>IF(Select!$E$23=1,C3,IF(Select!$E$23=2,D3,IF(Select!$E$23=3,E3)))</f>
        <v>6.56</v>
      </c>
    </row>
    <row r="4" spans="1:6" s="77" customFormat="1">
      <c r="A4" s="488" t="s">
        <v>2248</v>
      </c>
      <c r="B4" s="249">
        <v>9.58</v>
      </c>
      <c r="C4" s="248">
        <f>ROUND(B4*(1-'Disc Dep'!$J$27),2)</f>
        <v>7.09</v>
      </c>
      <c r="D4" s="248">
        <f>ROUND(C4*(1+'Adaos Distr'!$J$27),2)</f>
        <v>7.09</v>
      </c>
      <c r="E4" s="248">
        <f>ROUND(D4*(1+'Adaos RESELLER'!$J$27),2)</f>
        <v>7.09</v>
      </c>
      <c r="F4" s="248">
        <f>IF(Select!$E$23=1,C4,IF(Select!$E$23=2,D4,IF(Select!$E$23=3,E4)))</f>
        <v>7.09</v>
      </c>
    </row>
    <row r="5" spans="1:6" s="77" customFormat="1">
      <c r="A5" s="488" t="s">
        <v>2280</v>
      </c>
      <c r="B5" s="249">
        <v>13.39</v>
      </c>
      <c r="C5" s="248">
        <f>ROUND(B5*(1-'Disc Dep'!$J$28),2)</f>
        <v>9.91</v>
      </c>
      <c r="D5" s="248">
        <f>ROUND(C5*(1+'Adaos Distr'!$J$28),2)</f>
        <v>9.91</v>
      </c>
      <c r="E5" s="248">
        <f>ROUND(D5*(1+'Adaos RESELLER'!$J$28),2)</f>
        <v>9.91</v>
      </c>
      <c r="F5" s="248">
        <f>IF(Select!$E$23=1,C5,IF(Select!$E$23=2,D5,IF(Select!$E$23=3,E5)))</f>
        <v>9.91</v>
      </c>
    </row>
    <row r="6" spans="1:6" s="77" customFormat="1">
      <c r="A6" s="488" t="s">
        <v>2291</v>
      </c>
      <c r="B6" s="249">
        <v>11.81</v>
      </c>
      <c r="C6" s="248">
        <f>ROUND(B6*(1-'Disc Dep'!$J$29),2)</f>
        <v>8.74</v>
      </c>
      <c r="D6" s="248">
        <f>ROUND(C6*(1+'Adaos Distr'!$J$29),2)</f>
        <v>8.74</v>
      </c>
      <c r="E6" s="248">
        <f>ROUND(D6*(1+'Adaos RESELLER'!$J$29),2)</f>
        <v>8.74</v>
      </c>
      <c r="F6" s="248">
        <f>IF(Select!$E$23=1,C6,IF(Select!$E$23=2,D6,IF(Select!$E$23=3,E6)))</f>
        <v>8.74</v>
      </c>
    </row>
    <row r="7" spans="1:6" s="77" customFormat="1">
      <c r="A7" s="488" t="s">
        <v>2249</v>
      </c>
      <c r="B7" s="249">
        <v>7.74</v>
      </c>
      <c r="C7" s="248">
        <f>ROUND(B7*(1-'Disc Dep'!$J$14),2)</f>
        <v>5.73</v>
      </c>
      <c r="D7" s="248">
        <f>ROUND(C7*(1+'Adaos Distr'!$J$14),2)</f>
        <v>5.73</v>
      </c>
      <c r="E7" s="248">
        <f>ROUND(D7*(1+'Adaos RESELLER'!$J$14),2)</f>
        <v>5.73</v>
      </c>
      <c r="F7" s="248">
        <f>IF(Select!$E$23=1,C7,IF(Select!$E$23=2,D7,IF(Select!$E$23=3,E7)))</f>
        <v>5.73</v>
      </c>
    </row>
    <row r="8" spans="1:6" s="77" customFormat="1">
      <c r="A8" s="488" t="s">
        <v>2250</v>
      </c>
      <c r="B8" s="249">
        <v>8.34</v>
      </c>
      <c r="C8" s="248">
        <f>ROUND(B8*(1-'Disc Dep'!$J$15),2)</f>
        <v>6.17</v>
      </c>
      <c r="D8" s="248">
        <f>ROUND(C8*(1+'Adaos Distr'!$J$15),2)</f>
        <v>6.17</v>
      </c>
      <c r="E8" s="248">
        <f>ROUND(D8*(1+'Adaos RESELLER'!$J$15),2)</f>
        <v>6.17</v>
      </c>
      <c r="F8" s="248">
        <f>IF(Select!$E$23=1,C8,IF(Select!$E$23=2,D8,IF(Select!$E$23=3,E8)))</f>
        <v>6.17</v>
      </c>
    </row>
    <row r="9" spans="1:6" s="77" customFormat="1">
      <c r="A9" s="488" t="s">
        <v>2251</v>
      </c>
      <c r="B9" s="249">
        <v>8.25</v>
      </c>
      <c r="C9" s="248">
        <f>ROUND(B9*(1-'Disc Dep'!$J$17),2)</f>
        <v>6.11</v>
      </c>
      <c r="D9" s="248">
        <f>ROUND(C9*(1+'Adaos Distr'!$J$17),2)</f>
        <v>6.11</v>
      </c>
      <c r="E9" s="248">
        <f>ROUND(D9*(1+'Adaos RESELLER'!$J$17),2)</f>
        <v>6.11</v>
      </c>
      <c r="F9" s="248">
        <f>IF(Select!$E$23=1,C9,IF(Select!$E$23=2,D9,IF(Select!$E$23=3,E9)))</f>
        <v>6.11</v>
      </c>
    </row>
    <row r="10" spans="1:6" s="77" customFormat="1">
      <c r="A10" s="488" t="s">
        <v>2252</v>
      </c>
      <c r="B10" s="249">
        <v>8.51</v>
      </c>
      <c r="C10" s="248">
        <f>ROUND(B10*(1-'Disc Dep'!$J$18),2)</f>
        <v>6.3</v>
      </c>
      <c r="D10" s="248">
        <f>ROUND(C10*(1+'Adaos Distr'!$J$18),2)</f>
        <v>6.3</v>
      </c>
      <c r="E10" s="248">
        <f>ROUND(D10*(1+'Adaos RESELLER'!$J$18),2)</f>
        <v>6.3</v>
      </c>
      <c r="F10" s="248">
        <f>IF(Select!$E$23=1,C10,IF(Select!$E$23=2,D10,IF(Select!$E$23=3,E10)))</f>
        <v>6.3</v>
      </c>
    </row>
    <row r="11" spans="1:6" s="77" customFormat="1">
      <c r="A11" s="488" t="s">
        <v>2281</v>
      </c>
      <c r="B11" s="249">
        <v>12.39</v>
      </c>
      <c r="C11" s="248">
        <f>ROUND(B11*(1-'Disc Dep'!$J$19),2)</f>
        <v>9.17</v>
      </c>
      <c r="D11" s="248">
        <f>ROUND(C11*(1+'Adaos Distr'!$J$19),2)</f>
        <v>9.17</v>
      </c>
      <c r="E11" s="248">
        <f>ROUND(D11*(1+'Adaos RESELLER'!$J$19),2)</f>
        <v>9.17</v>
      </c>
      <c r="F11" s="248">
        <f>IF(Select!$E$23=1,C11,IF(Select!$E$23=2,D11,IF(Select!$E$23=3,E11)))</f>
        <v>9.17</v>
      </c>
    </row>
    <row r="12" spans="1:6" s="77" customFormat="1">
      <c r="A12" s="488" t="s">
        <v>2292</v>
      </c>
      <c r="B12" s="249">
        <v>10.92</v>
      </c>
      <c r="C12" s="248">
        <f>ROUND(B12*(1-'Disc Dep'!$J$20),2)</f>
        <v>8.08</v>
      </c>
      <c r="D12" s="248">
        <f>ROUND(C12*(1+'Adaos Distr'!$J$20),2)</f>
        <v>8.08</v>
      </c>
      <c r="E12" s="248">
        <f>ROUND(D12*(1+'Adaos RESELLER'!$J$20),2)</f>
        <v>8.08</v>
      </c>
      <c r="F12" s="248">
        <f>IF(Select!$E$23=1,C12,IF(Select!$E$23=2,D12,IF(Select!$E$23=3,E12)))</f>
        <v>8.08</v>
      </c>
    </row>
    <row r="13" spans="1:6" s="77" customFormat="1">
      <c r="A13" s="488" t="s">
        <v>2253</v>
      </c>
      <c r="B13" s="249">
        <v>8.52</v>
      </c>
      <c r="C13" s="248">
        <f>ROUND(B13*(1-'Disc Dep'!$J$33),2)</f>
        <v>6.3</v>
      </c>
      <c r="D13" s="248">
        <f>ROUND(C13*(1+'Adaos Distr'!$J$33),2)</f>
        <v>6.3</v>
      </c>
      <c r="E13" s="248">
        <f>ROUND(D13*(1+'Adaos RESELLER'!$J$33),2)</f>
        <v>6.3</v>
      </c>
      <c r="F13" s="248">
        <f>IF(Select!$E$23=1,C13,IF(Select!$E$23=2,D13,IF(Select!$E$23=3,E13)))</f>
        <v>6.3</v>
      </c>
    </row>
    <row r="14" spans="1:6" s="77" customFormat="1">
      <c r="A14" s="488" t="s">
        <v>2254</v>
      </c>
      <c r="B14" s="249">
        <v>8.4700000000000006</v>
      </c>
      <c r="C14" s="248">
        <f>ROUND(B14*(1-'Disc Dep'!$J$35),2)</f>
        <v>6.27</v>
      </c>
      <c r="D14" s="248">
        <f>ROUND(C14*(1+'Adaos Distr'!$J$35),2)</f>
        <v>6.27</v>
      </c>
      <c r="E14" s="248">
        <f>ROUND(D14*(1+'Adaos RESELLER'!$J$35),2)</f>
        <v>6.27</v>
      </c>
      <c r="F14" s="248">
        <f>IF(Select!$E$23=1,C14,IF(Select!$E$23=2,D14,IF(Select!$E$23=3,E14)))</f>
        <v>6.27</v>
      </c>
    </row>
    <row r="15" spans="1:6" s="77" customFormat="1">
      <c r="A15" s="488" t="s">
        <v>2255</v>
      </c>
      <c r="B15" s="249">
        <v>8.82</v>
      </c>
      <c r="C15" s="248">
        <f>ROUND(B15*(1-'Disc Dep'!$J$36),2)</f>
        <v>6.53</v>
      </c>
      <c r="D15" s="248">
        <f>ROUND(C15*(1+'Adaos Distr'!$J$36),2)</f>
        <v>6.53</v>
      </c>
      <c r="E15" s="248">
        <f>ROUND(D15*(1+'Adaos RESELLER'!$J$36),2)</f>
        <v>6.53</v>
      </c>
      <c r="F15" s="248">
        <f>IF(Select!$E$23=1,C15,IF(Select!$E$23=2,D15,IF(Select!$E$23=3,E15)))</f>
        <v>6.53</v>
      </c>
    </row>
    <row r="16" spans="1:6" s="77" customFormat="1">
      <c r="A16" s="488" t="s">
        <v>2282</v>
      </c>
      <c r="B16" s="249">
        <v>12.63</v>
      </c>
      <c r="C16" s="248">
        <f>ROUND(B16*(1-'Disc Dep'!$J$37),2)</f>
        <v>9.35</v>
      </c>
      <c r="D16" s="248">
        <f>ROUND(C16*(1+'Adaos Distr'!$J$37),2)</f>
        <v>9.35</v>
      </c>
      <c r="E16" s="248">
        <f>ROUND(D16*(1+'Adaos RESELLER'!$J$37),2)</f>
        <v>9.35</v>
      </c>
      <c r="F16" s="248">
        <f>IF(Select!$E$23=1,C16,IF(Select!$E$23=2,D16,IF(Select!$E$23=3,E16)))</f>
        <v>9.35</v>
      </c>
    </row>
    <row r="17" spans="1:6" s="77" customFormat="1">
      <c r="A17" s="488" t="s">
        <v>2293</v>
      </c>
      <c r="B17" s="249">
        <v>11.07</v>
      </c>
      <c r="C17" s="248">
        <f>ROUND(B17*(1-'Disc Dep'!$J$38),2)</f>
        <v>8.19</v>
      </c>
      <c r="D17" s="248">
        <f>ROUND(C17*(1+'Adaos Distr'!$J$38),2)</f>
        <v>8.19</v>
      </c>
      <c r="E17" s="248">
        <f>ROUND(D17*(1+'Adaos RESELLER'!$J$38),2)</f>
        <v>8.19</v>
      </c>
      <c r="F17" s="248">
        <f>IF(Select!$E$23=1,C17,IF(Select!$E$23=2,D17,IF(Select!$E$23=3,E17)))</f>
        <v>8.19</v>
      </c>
    </row>
    <row r="18" spans="1:6" s="77" customFormat="1">
      <c r="A18" s="488" t="s">
        <v>2256</v>
      </c>
      <c r="B18" s="249">
        <v>9.2100000000000009</v>
      </c>
      <c r="C18" s="248">
        <f>ROUND(B18*(1-'Disc Dep'!$J$42),2)</f>
        <v>6.82</v>
      </c>
      <c r="D18" s="248">
        <f>ROUND(C18*(1+'Adaos Distr'!$J$42),2)</f>
        <v>6.82</v>
      </c>
      <c r="E18" s="248">
        <f>ROUND(D18*(1+'Adaos RESELLER'!$J$42),2)</f>
        <v>6.82</v>
      </c>
      <c r="F18" s="248">
        <f>IF(Select!$E$23=1,C18,IF(Select!$E$23=2,D18,IF(Select!$E$23=3,E18)))</f>
        <v>6.82</v>
      </c>
    </row>
    <row r="19" spans="1:6" s="77" customFormat="1">
      <c r="A19" s="488" t="s">
        <v>2257</v>
      </c>
      <c r="B19" s="249">
        <v>8.86</v>
      </c>
      <c r="C19" s="248">
        <f>ROUND(B19*(1-'Disc Dep'!$J$44),2)</f>
        <v>6.56</v>
      </c>
      <c r="D19" s="248">
        <f>ROUND(C19*(1+'Adaos Distr'!$J$44),2)</f>
        <v>6.56</v>
      </c>
      <c r="E19" s="248">
        <f>ROUND(D19*(1+'Adaos RESELLER'!$J$44),2)</f>
        <v>6.56</v>
      </c>
      <c r="F19" s="248">
        <f>IF(Select!$E$23=1,C19,IF(Select!$E$23=2,D19,IF(Select!$E$23=3,E19)))</f>
        <v>6.56</v>
      </c>
    </row>
    <row r="20" spans="1:6" s="77" customFormat="1">
      <c r="A20" s="488" t="s">
        <v>2258</v>
      </c>
      <c r="B20" s="249">
        <v>9.58</v>
      </c>
      <c r="C20" s="248">
        <f>ROUND(B20*(1-'Disc Dep'!$J$45),2)</f>
        <v>7.09</v>
      </c>
      <c r="D20" s="248">
        <f>ROUND(C20*(1+'Adaos Distr'!$J$45),2)</f>
        <v>7.09</v>
      </c>
      <c r="E20" s="248">
        <f>ROUND(D20*(1+'Adaos RESELLER'!$J$45),2)</f>
        <v>7.09</v>
      </c>
      <c r="F20" s="248">
        <f>IF(Select!$E$23=1,C20,IF(Select!$E$23=2,D20,IF(Select!$E$23=3,E20)))</f>
        <v>7.09</v>
      </c>
    </row>
    <row r="21" spans="1:6" s="77" customFormat="1">
      <c r="A21" s="488" t="s">
        <v>2283</v>
      </c>
      <c r="B21" s="249">
        <v>13.39</v>
      </c>
      <c r="C21" s="248">
        <f>ROUND(B21*(1-'Disc Dep'!$J$46),2)</f>
        <v>9.91</v>
      </c>
      <c r="D21" s="248">
        <f>ROUND(C21*(1+'Adaos Distr'!$J$46),2)</f>
        <v>9.91</v>
      </c>
      <c r="E21" s="248">
        <f>ROUND(D21*(1+'Adaos RESELLER'!$J$46),2)</f>
        <v>9.91</v>
      </c>
      <c r="F21" s="248">
        <f>IF(Select!$E$23=1,C21,IF(Select!$E$23=2,D21,IF(Select!$E$23=3,E21)))</f>
        <v>9.91</v>
      </c>
    </row>
    <row r="22" spans="1:6" s="77" customFormat="1">
      <c r="A22" s="488" t="s">
        <v>2294</v>
      </c>
      <c r="B22" s="249">
        <v>11.81</v>
      </c>
      <c r="C22" s="248">
        <f>ROUND(B22*(1-'Disc Dep'!$J$47),2)</f>
        <v>8.74</v>
      </c>
      <c r="D22" s="248">
        <f>ROUND(C22*(1+'Adaos Distr'!$J$47),2)</f>
        <v>8.74</v>
      </c>
      <c r="E22" s="248">
        <f>ROUND(D22*(1+'Adaos RESELLER'!$J$47),2)</f>
        <v>8.74</v>
      </c>
      <c r="F22" s="248">
        <f>IF(Select!$E$23=1,C22,IF(Select!$E$23=2,D22,IF(Select!$E$23=3,E22)))</f>
        <v>8.74</v>
      </c>
    </row>
    <row r="23" spans="1:6" s="77" customFormat="1">
      <c r="A23" s="488" t="s">
        <v>2259</v>
      </c>
      <c r="B23" s="249">
        <v>8.8800000000000008</v>
      </c>
      <c r="C23" s="248">
        <f>ROUND(B23*(1-'Disc Dep'!$J$9),2)</f>
        <v>6.57</v>
      </c>
      <c r="D23" s="248">
        <f>ROUND(C23*(1+'Adaos Distr'!$J$9),2)</f>
        <v>6.57</v>
      </c>
      <c r="E23" s="248">
        <f>ROUND(D23*(1+'Adaos RESELLER'!$J$9),2)</f>
        <v>6.57</v>
      </c>
      <c r="F23" s="248">
        <f>IF(Select!$E$23=1,C23,IF(Select!$E$23=2,D23,IF(Select!$E$23=3,E23)))</f>
        <v>6.57</v>
      </c>
    </row>
    <row r="24" spans="1:6" s="77" customFormat="1">
      <c r="A24" s="488" t="s">
        <v>2284</v>
      </c>
      <c r="B24" s="249">
        <v>12.63</v>
      </c>
      <c r="C24" s="248">
        <f>ROUND(B24*(1-'Disc Dep'!$J$10),2)</f>
        <v>9.35</v>
      </c>
      <c r="D24" s="248">
        <f>ROUND(C24*(1+'Adaos Distr'!$J$10),2)</f>
        <v>9.35</v>
      </c>
      <c r="E24" s="248">
        <f>ROUND(D24*(1+'Adaos RESELLER'!$J$10),2)</f>
        <v>9.35</v>
      </c>
      <c r="F24" s="248">
        <f>IF(Select!$E$23=1,C24,IF(Select!$E$23=2,D24,IF(Select!$E$23=3,E24)))</f>
        <v>9.35</v>
      </c>
    </row>
    <row r="25" spans="1:6" s="77" customFormat="1">
      <c r="A25" s="488" t="s">
        <v>2295</v>
      </c>
      <c r="B25" s="249">
        <v>11.08</v>
      </c>
      <c r="C25" s="248">
        <f>ROUND(B25*(1-'Disc Dep'!$J$11),2)</f>
        <v>8.1999999999999993</v>
      </c>
      <c r="D25" s="248">
        <f>ROUND(C25*(1+'Adaos Distr'!$J$11),2)</f>
        <v>8.1999999999999993</v>
      </c>
      <c r="E25" s="248">
        <f>ROUND(D25*(1+'Adaos RESELLER'!$J$11),2)</f>
        <v>8.1999999999999993</v>
      </c>
      <c r="F25" s="248">
        <f>IF(Select!$E$23=1,C25,IF(Select!$E$23=2,D25,IF(Select!$E$23=3,E25)))</f>
        <v>8.1999999999999993</v>
      </c>
    </row>
    <row r="26" spans="1:6" s="77" customFormat="1">
      <c r="A26" s="488" t="s">
        <v>2264</v>
      </c>
      <c r="B26" s="249">
        <v>5.91</v>
      </c>
      <c r="C26" s="248">
        <f>ROUND(B26*(1-'Disc Dep'!$J$48),2)</f>
        <v>4.37</v>
      </c>
      <c r="D26" s="248">
        <f>ROUND(C26*(1+'Adaos Distr'!$J$48),2)</f>
        <v>4.37</v>
      </c>
      <c r="E26" s="248">
        <f>ROUND(D26*(1+'Adaos RESELLER'!$J$48),2)</f>
        <v>4.37</v>
      </c>
      <c r="F26" s="248">
        <f>IF(Select!$E$23=1,C26,IF(Select!$E$23=2,D26,IF(Select!$E$23=3,E26)))</f>
        <v>4.37</v>
      </c>
    </row>
    <row r="27" spans="1:6" s="77" customFormat="1">
      <c r="A27" s="488" t="s">
        <v>2265</v>
      </c>
      <c r="B27" s="249">
        <v>6.6</v>
      </c>
      <c r="C27" s="248">
        <f>ROUND(B27*(1-'Disc Dep'!$J$49),2)</f>
        <v>4.88</v>
      </c>
      <c r="D27" s="248">
        <f>ROUND(C27*(1+'Adaos Distr'!$J$49),2)</f>
        <v>4.88</v>
      </c>
      <c r="E27" s="248">
        <f>ROUND(D27*(1+'Adaos RESELLER'!$J$49),2)</f>
        <v>4.88</v>
      </c>
      <c r="F27" s="248">
        <f>IF(Select!$E$23=1,C27,IF(Select!$E$23=2,D27,IF(Select!$E$23=3,E27)))</f>
        <v>4.88</v>
      </c>
    </row>
    <row r="28" spans="1:6" s="77" customFormat="1">
      <c r="A28" s="488" t="s">
        <v>2260</v>
      </c>
      <c r="B28" s="249">
        <v>7.64</v>
      </c>
      <c r="C28" s="248">
        <f>ROUND(B28*(1-'Disc Dep'!$J$50),2)</f>
        <v>5.65</v>
      </c>
      <c r="D28" s="248">
        <f>ROUND(C28*(1+'Adaos Distr'!$J$50),2)</f>
        <v>5.65</v>
      </c>
      <c r="E28" s="248">
        <f>ROUND(D28*(1+'Adaos RESELLER'!$J$50),2)</f>
        <v>5.65</v>
      </c>
      <c r="F28" s="248">
        <f>IF(Select!$E$23=1,C28,IF(Select!$E$23=2,D28,IF(Select!$E$23=3,E28)))</f>
        <v>5.65</v>
      </c>
    </row>
    <row r="29" spans="1:6" s="77" customFormat="1">
      <c r="A29" s="488" t="s">
        <v>2261</v>
      </c>
      <c r="B29" s="249">
        <v>8.2100000000000009</v>
      </c>
      <c r="C29" s="248">
        <f>ROUND(B29*(1-'Disc Dep'!$J$51),2)</f>
        <v>6.08</v>
      </c>
      <c r="D29" s="248">
        <f>ROUND(C29*(1+'Adaos Distr'!$J$51),2)</f>
        <v>6.08</v>
      </c>
      <c r="E29" s="248">
        <f>ROUND(D29*(1+'Adaos RESELLER'!$J$51),2)</f>
        <v>6.08</v>
      </c>
      <c r="F29" s="248">
        <f>IF(Select!$E$23=1,C29,IF(Select!$E$23=2,D29,IF(Select!$E$23=3,E29)))</f>
        <v>6.08</v>
      </c>
    </row>
    <row r="30" spans="1:6" s="77" customFormat="1">
      <c r="A30" s="488" t="s">
        <v>2266</v>
      </c>
      <c r="B30" s="249">
        <v>7.19</v>
      </c>
      <c r="C30" s="248">
        <f>ROUND(B30*(1-'Disc Dep'!$J$52),2)</f>
        <v>5.32</v>
      </c>
      <c r="D30" s="248">
        <f>ROUND(C30*(1+'Adaos Distr'!$J$52),2)</f>
        <v>5.32</v>
      </c>
      <c r="E30" s="248">
        <f>ROUND(D30*(1+'Adaos RESELLER'!$J$52),2)</f>
        <v>5.32</v>
      </c>
      <c r="F30" s="248">
        <f>IF(Select!$E$23=1,C30,IF(Select!$E$23=2,D30,IF(Select!$E$23=3,E30)))</f>
        <v>5.32</v>
      </c>
    </row>
    <row r="31" spans="1:6" s="77" customFormat="1">
      <c r="A31" s="488" t="s">
        <v>2262</v>
      </c>
      <c r="B31" s="249">
        <v>8.2100000000000009</v>
      </c>
      <c r="C31" s="248">
        <f>ROUND(B31*(1-'Disc Dep'!$J$53),2)</f>
        <v>6.08</v>
      </c>
      <c r="D31" s="248">
        <f>ROUND(C31*(1+'Adaos Distr'!$J$53),2)</f>
        <v>6.08</v>
      </c>
      <c r="E31" s="248">
        <f>ROUND(D31*(1+'Adaos RESELLER'!$J$53),2)</f>
        <v>6.08</v>
      </c>
      <c r="F31" s="248">
        <f>IF(Select!$E$23=1,C31,IF(Select!$E$23=2,D31,IF(Select!$E$23=3,E31)))</f>
        <v>6.08</v>
      </c>
    </row>
    <row r="32" spans="1:6" s="77" customFormat="1">
      <c r="A32" s="488" t="s">
        <v>2263</v>
      </c>
      <c r="B32" s="249">
        <v>8.56</v>
      </c>
      <c r="C32" s="248">
        <f>ROUND(B32*(1-'Disc Dep'!$J$54),2)</f>
        <v>6.33</v>
      </c>
      <c r="D32" s="248">
        <f>ROUND(C32*(1+'Adaos Distr'!$J$54),2)</f>
        <v>6.33</v>
      </c>
      <c r="E32" s="248">
        <f>ROUND(D32*(1+'Adaos RESELLER'!$J$54),2)</f>
        <v>6.33</v>
      </c>
      <c r="F32" s="248">
        <f>IF(Select!$E$23=1,C32,IF(Select!$E$23=2,D32,IF(Select!$E$23=3,E32)))</f>
        <v>6.33</v>
      </c>
    </row>
    <row r="33" spans="1:6" s="77" customFormat="1">
      <c r="A33" s="488" t="s">
        <v>2285</v>
      </c>
      <c r="B33" s="249">
        <v>12.18</v>
      </c>
      <c r="C33" s="248">
        <f>ROUND(B33*(1-'Disc Dep'!$J$55),2)</f>
        <v>9.01</v>
      </c>
      <c r="D33" s="248">
        <f>ROUND(C33*(1+'Adaos Distr'!$J$55),2)</f>
        <v>9.01</v>
      </c>
      <c r="E33" s="248">
        <f>ROUND(D33*(1+'Adaos RESELLER'!$J$55),2)</f>
        <v>9.01</v>
      </c>
      <c r="F33" s="248">
        <f>IF(Select!$E$23=1,C33,IF(Select!$E$23=2,D33,IF(Select!$E$23=3,E33)))</f>
        <v>9.01</v>
      </c>
    </row>
    <row r="34" spans="1:6" s="77" customFormat="1">
      <c r="A34" s="488" t="s">
        <v>2296</v>
      </c>
      <c r="B34" s="249">
        <v>10.76</v>
      </c>
      <c r="C34" s="248">
        <f>ROUND(B34*(1-'Disc Dep'!$J$56),2)</f>
        <v>7.96</v>
      </c>
      <c r="D34" s="248">
        <f>ROUND(C34*(1+'Adaos Distr'!$J$56),2)</f>
        <v>7.96</v>
      </c>
      <c r="E34" s="248">
        <f>ROUND(D34*(1+'Adaos RESELLER'!$J$56),2)</f>
        <v>7.96</v>
      </c>
      <c r="F34" s="248">
        <f>IF(Select!$E$23=1,C34,IF(Select!$E$23=2,D34,IF(Select!$E$23=3,E34)))</f>
        <v>7.96</v>
      </c>
    </row>
    <row r="35" spans="1:6" s="77" customFormat="1">
      <c r="A35" s="488" t="s">
        <v>2267</v>
      </c>
      <c r="B35" s="249">
        <v>7.64</v>
      </c>
      <c r="C35" s="248">
        <f>ROUND(B35*(1-'Disc Dep'!$J$50),2)</f>
        <v>5.65</v>
      </c>
      <c r="D35" s="248">
        <f>ROUND(C35*(1+'Adaos Distr'!$J$50),2)</f>
        <v>5.65</v>
      </c>
      <c r="E35" s="248">
        <f>ROUND(D35*(1+'Adaos RESELLER'!$J$50),2)</f>
        <v>5.65</v>
      </c>
      <c r="F35" s="248">
        <f>IF(Select!$E$23=1,C35,IF(Select!$E$23=2,D35,IF(Select!$E$23=3,E35)))</f>
        <v>5.65</v>
      </c>
    </row>
    <row r="36" spans="1:6" s="77" customFormat="1">
      <c r="A36" s="488" t="s">
        <v>2268</v>
      </c>
      <c r="B36" s="249">
        <v>8.2100000000000009</v>
      </c>
      <c r="C36" s="248">
        <f>ROUND(B36*(1-'Disc Dep'!$J$51),2)</f>
        <v>6.08</v>
      </c>
      <c r="D36" s="248">
        <f>ROUND(C36*(1+'Adaos Distr'!$J$51),2)</f>
        <v>6.08</v>
      </c>
      <c r="E36" s="248">
        <f>ROUND(D36*(1+'Adaos RESELLER'!$J$51),2)</f>
        <v>6.08</v>
      </c>
      <c r="F36" s="248">
        <f>IF(Select!$E$23=1,C36,IF(Select!$E$23=2,D36,IF(Select!$E$23=3,E36)))</f>
        <v>6.08</v>
      </c>
    </row>
    <row r="37" spans="1:6" s="77" customFormat="1">
      <c r="A37" s="488" t="s">
        <v>2269</v>
      </c>
      <c r="B37" s="249">
        <v>8.2100000000000009</v>
      </c>
      <c r="C37" s="248">
        <f>ROUND(B37*(1-'Disc Dep'!$J$53),2)</f>
        <v>6.08</v>
      </c>
      <c r="D37" s="248">
        <f>ROUND(C37*(1+'Adaos Distr'!$J$53),2)</f>
        <v>6.08</v>
      </c>
      <c r="E37" s="248">
        <f>ROUND(D37*(1+'Adaos RESELLER'!$J$53),2)</f>
        <v>6.08</v>
      </c>
      <c r="F37" s="248">
        <f>IF(Select!$E$23=1,C37,IF(Select!$E$23=2,D37,IF(Select!$E$23=3,E37)))</f>
        <v>6.08</v>
      </c>
    </row>
    <row r="38" spans="1:6" s="77" customFormat="1">
      <c r="A38" s="488" t="s">
        <v>2270</v>
      </c>
      <c r="B38" s="249">
        <v>8.56</v>
      </c>
      <c r="C38" s="248">
        <f>ROUND(B38*(1-'Disc Dep'!$J$54),2)</f>
        <v>6.33</v>
      </c>
      <c r="D38" s="248">
        <f>ROUND(C38*(1+'Adaos Distr'!$J$54),2)</f>
        <v>6.33</v>
      </c>
      <c r="E38" s="248">
        <f>ROUND(D38*(1+'Adaos RESELLER'!$J$54),2)</f>
        <v>6.33</v>
      </c>
      <c r="F38" s="248">
        <f>IF(Select!$E$23=1,C38,IF(Select!$E$23=2,D38,IF(Select!$E$23=3,E38)))</f>
        <v>6.33</v>
      </c>
    </row>
    <row r="39" spans="1:6" s="77" customFormat="1">
      <c r="A39" s="488" t="s">
        <v>2286</v>
      </c>
      <c r="B39" s="249">
        <v>12.18</v>
      </c>
      <c r="C39" s="248">
        <f>ROUND(B39*(1-'Disc Dep'!$J$55),2)</f>
        <v>9.01</v>
      </c>
      <c r="D39" s="248">
        <f>ROUND(C39*(1+'Adaos Distr'!$J$55),2)</f>
        <v>9.01</v>
      </c>
      <c r="E39" s="248">
        <f>ROUND(D39*(1+'Adaos RESELLER'!$J$55),2)</f>
        <v>9.01</v>
      </c>
      <c r="F39" s="248">
        <f>IF(Select!$E$23=1,C39,IF(Select!$E$23=2,D39,IF(Select!$E$23=3,E39)))</f>
        <v>9.01</v>
      </c>
    </row>
    <row r="40" spans="1:6" s="77" customFormat="1">
      <c r="A40" s="488" t="s">
        <v>2297</v>
      </c>
      <c r="B40" s="249">
        <v>10.76</v>
      </c>
      <c r="C40" s="248">
        <f>ROUND(B40*(1-'Disc Dep'!$J$56),2)</f>
        <v>7.96</v>
      </c>
      <c r="D40" s="248">
        <f>ROUND(C40*(1+'Adaos Distr'!$J$56),2)</f>
        <v>7.96</v>
      </c>
      <c r="E40" s="248">
        <f>ROUND(D40*(1+'Adaos RESELLER'!$J$56),2)</f>
        <v>7.96</v>
      </c>
      <c r="F40" s="248">
        <f>IF(Select!$E$23=1,C40,IF(Select!$E$23=2,D40,IF(Select!$E$23=3,E40)))</f>
        <v>7.96</v>
      </c>
    </row>
    <row r="41" spans="1:6" s="77" customFormat="1">
      <c r="A41" s="488" t="s">
        <v>2271</v>
      </c>
      <c r="B41" s="249">
        <v>10</v>
      </c>
      <c r="C41" s="248">
        <f>ROUND(B41*(1-'Disc Dep'!$J$15),2)</f>
        <v>7.4</v>
      </c>
      <c r="D41" s="248">
        <f>ROUND(C41*(1+'Adaos Distr'!$J$15),2)</f>
        <v>7.4</v>
      </c>
      <c r="E41" s="248">
        <f>ROUND(D41*(1+'Adaos RESELLER'!$J$15),2)</f>
        <v>7.4</v>
      </c>
      <c r="F41" s="248">
        <f>IF(Select!$E$23=1,C41,IF(Select!$E$23=2,D41,IF(Select!$E$23=3,E41)))</f>
        <v>7.4</v>
      </c>
    </row>
    <row r="42" spans="1:6" s="77" customFormat="1">
      <c r="A42" s="488" t="s">
        <v>2272</v>
      </c>
      <c r="B42" s="249">
        <v>10.17</v>
      </c>
      <c r="C42" s="248">
        <f>ROUND(B42*(1-'Disc Dep'!$J$18),2)</f>
        <v>7.53</v>
      </c>
      <c r="D42" s="248">
        <f>ROUND(C42*(1+'Adaos Distr'!$J$18),2)</f>
        <v>7.53</v>
      </c>
      <c r="E42" s="248">
        <f>ROUND(D42*(1+'Adaos RESELLER'!$J$18),2)</f>
        <v>7.53</v>
      </c>
      <c r="F42" s="248">
        <f>IF(Select!$E$23=1,C42,IF(Select!$E$23=2,D42,IF(Select!$E$23=3,E42)))</f>
        <v>7.53</v>
      </c>
    </row>
    <row r="43" spans="1:6" s="77" customFormat="1">
      <c r="A43" s="488" t="s">
        <v>2287</v>
      </c>
      <c r="B43" s="249">
        <v>14.05</v>
      </c>
      <c r="C43" s="248">
        <f>ROUND(B43*(1-'Disc Dep'!$J$19),2)</f>
        <v>10.4</v>
      </c>
      <c r="D43" s="248">
        <f>ROUND(C43*(1+'Adaos Distr'!$J$19),2)</f>
        <v>10.4</v>
      </c>
      <c r="E43" s="248">
        <f>ROUND(D43*(1+'Adaos RESELLER'!$J$19),2)</f>
        <v>10.4</v>
      </c>
      <c r="F43" s="248">
        <f>IF(Select!$E$23=1,C43,IF(Select!$E$23=2,D43,IF(Select!$E$23=3,E43)))</f>
        <v>10.4</v>
      </c>
    </row>
    <row r="44" spans="1:6" s="77" customFormat="1">
      <c r="A44" s="488" t="s">
        <v>2298</v>
      </c>
      <c r="B44" s="249">
        <v>12.58</v>
      </c>
      <c r="C44" s="248">
        <f>ROUND(B44*(1-'Disc Dep'!$J$20),2)</f>
        <v>9.31</v>
      </c>
      <c r="D44" s="248">
        <f>ROUND(C44*(1+'Adaos Distr'!$J$20),2)</f>
        <v>9.31</v>
      </c>
      <c r="E44" s="248">
        <f>ROUND(D44*(1+'Adaos RESELLER'!$J$20),2)</f>
        <v>9.31</v>
      </c>
      <c r="F44" s="248">
        <f>IF(Select!$E$23=1,C44,IF(Select!$E$23=2,D44,IF(Select!$E$23=3,E44)))</f>
        <v>9.31</v>
      </c>
    </row>
    <row r="45" spans="1:6" s="77" customFormat="1">
      <c r="A45" s="488" t="s">
        <v>2273</v>
      </c>
      <c r="B45" s="249">
        <v>9.8699999999999992</v>
      </c>
      <c r="C45" s="248">
        <f>ROUND(B45*(1-'Disc Dep'!$J$51),2)</f>
        <v>7.3</v>
      </c>
      <c r="D45" s="248">
        <f>ROUND(C45*(1+'Adaos Distr'!$J$51),2)</f>
        <v>7.3</v>
      </c>
      <c r="E45" s="248">
        <f>ROUND(D45*(1+'Adaos RESELLER'!$J$51),2)</f>
        <v>7.3</v>
      </c>
      <c r="F45" s="248">
        <f>IF(Select!$E$23=1,C45,IF(Select!$E$23=2,D45,IF(Select!$E$23=3,E45)))</f>
        <v>7.3</v>
      </c>
    </row>
    <row r="46" spans="1:6" s="77" customFormat="1">
      <c r="A46" s="488" t="s">
        <v>2274</v>
      </c>
      <c r="B46" s="249">
        <v>10.220000000000001</v>
      </c>
      <c r="C46" s="248">
        <f>ROUND(B46*(1-'Disc Dep'!$J$54),2)</f>
        <v>7.56</v>
      </c>
      <c r="D46" s="248">
        <f>ROUND(C46*(1+'Adaos Distr'!$J$54),2)</f>
        <v>7.56</v>
      </c>
      <c r="E46" s="248">
        <f>ROUND(D46*(1+'Adaos RESELLER'!$J$54),2)</f>
        <v>7.56</v>
      </c>
      <c r="F46" s="248">
        <f>IF(Select!$E$23=1,C46,IF(Select!$E$23=2,D46,IF(Select!$E$23=3,E46)))</f>
        <v>7.56</v>
      </c>
    </row>
    <row r="47" spans="1:6" s="77" customFormat="1">
      <c r="A47" s="488" t="s">
        <v>2288</v>
      </c>
      <c r="B47" s="249">
        <v>13.84</v>
      </c>
      <c r="C47" s="248">
        <f>ROUND(B47*(1-'Disc Dep'!$J$55),2)</f>
        <v>10.24</v>
      </c>
      <c r="D47" s="248">
        <f>ROUND(C47*(1+'Adaos Distr'!$J$55),2)</f>
        <v>10.24</v>
      </c>
      <c r="E47" s="248">
        <f>ROUND(D47*(1+'Adaos RESELLER'!$J$55),2)</f>
        <v>10.24</v>
      </c>
      <c r="F47" s="248">
        <f>IF(Select!$E$23=1,C47,IF(Select!$E$23=2,D47,IF(Select!$E$23=3,E47)))</f>
        <v>10.24</v>
      </c>
    </row>
    <row r="48" spans="1:6" s="77" customFormat="1">
      <c r="A48" s="488" t="s">
        <v>2299</v>
      </c>
      <c r="B48" s="249">
        <v>12.41</v>
      </c>
      <c r="C48" s="248">
        <f>ROUND(B48*(1-'Disc Dep'!$J$56),2)</f>
        <v>9.18</v>
      </c>
      <c r="D48" s="248">
        <f>ROUND(C48*(1+'Adaos Distr'!$J$56),2)</f>
        <v>9.18</v>
      </c>
      <c r="E48" s="248">
        <f>ROUND(D48*(1+'Adaos RESELLER'!$J$56),2)</f>
        <v>9.18</v>
      </c>
      <c r="F48" s="248">
        <f>IF(Select!$E$23=1,C48,IF(Select!$E$23=2,D48,IF(Select!$E$23=3,E48)))</f>
        <v>9.18</v>
      </c>
    </row>
    <row r="49" spans="1:8" s="77" customFormat="1">
      <c r="A49" s="488" t="s">
        <v>2275</v>
      </c>
      <c r="B49" s="249">
        <v>9.8699999999999992</v>
      </c>
      <c r="C49" s="248">
        <f>ROUND(B49*(1-'Disc Dep'!$J$51),2)</f>
        <v>7.3</v>
      </c>
      <c r="D49" s="248">
        <f>ROUND(C49*(1+'Adaos Distr'!$J$51),2)</f>
        <v>7.3</v>
      </c>
      <c r="E49" s="248">
        <f>ROUND(D49*(1+'Adaos RESELLER'!$J$51),2)</f>
        <v>7.3</v>
      </c>
      <c r="F49" s="248">
        <f>IF(Select!$E$23=1,C49,IF(Select!$E$23=2,D49,IF(Select!$E$23=3,E49)))</f>
        <v>7.3</v>
      </c>
    </row>
    <row r="50" spans="1:8" s="77" customFormat="1">
      <c r="A50" s="488" t="s">
        <v>2276</v>
      </c>
      <c r="B50" s="249">
        <v>10.220000000000001</v>
      </c>
      <c r="C50" s="248">
        <f>ROUND(B50*(1-'Disc Dep'!$J$54),2)</f>
        <v>7.56</v>
      </c>
      <c r="D50" s="248">
        <f>ROUND(C50*(1+'Adaos Distr'!$J$54),2)</f>
        <v>7.56</v>
      </c>
      <c r="E50" s="248">
        <f>ROUND(D50*(1+'Adaos RESELLER'!$J$54),2)</f>
        <v>7.56</v>
      </c>
      <c r="F50" s="248">
        <f>IF(Select!$E$23=1,C50,IF(Select!$E$23=2,D50,IF(Select!$E$23=3,E50)))</f>
        <v>7.56</v>
      </c>
    </row>
    <row r="51" spans="1:8" s="77" customFormat="1">
      <c r="A51" s="488" t="s">
        <v>2289</v>
      </c>
      <c r="B51" s="249">
        <v>13.84</v>
      </c>
      <c r="C51" s="248">
        <f>ROUND(B51*(1-'Disc Dep'!$J$55),2)</f>
        <v>10.24</v>
      </c>
      <c r="D51" s="248">
        <f>ROUND(C51*(1+'Adaos Distr'!$J$55),2)</f>
        <v>10.24</v>
      </c>
      <c r="E51" s="248">
        <f>ROUND(D51*(1+'Adaos RESELLER'!$J$55),2)</f>
        <v>10.24</v>
      </c>
      <c r="F51" s="248">
        <f>IF(Select!$E$23=1,C51,IF(Select!$E$23=2,D51,IF(Select!$E$23=3,E51)))</f>
        <v>10.24</v>
      </c>
    </row>
    <row r="52" spans="1:8" s="77" customFormat="1">
      <c r="A52" s="488" t="s">
        <v>2300</v>
      </c>
      <c r="B52" s="249">
        <v>12.41</v>
      </c>
      <c r="C52" s="248">
        <f>ROUND(B52*(1-'Disc Dep'!$J$56),2)</f>
        <v>9.18</v>
      </c>
      <c r="D52" s="248">
        <f>ROUND(C52*(1+'Adaos Distr'!$J$56),2)</f>
        <v>9.18</v>
      </c>
      <c r="E52" s="248">
        <f>ROUND(D52*(1+'Adaos RESELLER'!$J$56),2)</f>
        <v>9.18</v>
      </c>
      <c r="F52" s="248">
        <f>IF(Select!$E$23=1,C52,IF(Select!$E$23=2,D52,IF(Select!$E$23=3,E52)))</f>
        <v>9.18</v>
      </c>
    </row>
    <row r="53" spans="1:8" s="77" customFormat="1">
      <c r="A53" s="488" t="s">
        <v>2277</v>
      </c>
      <c r="B53" s="249">
        <v>10.18</v>
      </c>
      <c r="C53" s="248">
        <f>ROUND(B53*(1-'Disc Dep'!$J$33),2)</f>
        <v>7.53</v>
      </c>
      <c r="D53" s="248">
        <f>ROUND(C53*(1+'Adaos Distr'!$J$33),2)</f>
        <v>7.53</v>
      </c>
      <c r="E53" s="248">
        <f>ROUND(D53*(1+'Adaos RESELLER'!$J$33),2)</f>
        <v>7.53</v>
      </c>
      <c r="F53" s="248">
        <f>IF(Select!$E$23=1,C53,IF(Select!$E$23=2,D53,IF(Select!$E$23=3,E53)))</f>
        <v>7.53</v>
      </c>
    </row>
    <row r="54" spans="1:8" s="77" customFormat="1">
      <c r="A54" s="488" t="s">
        <v>2279</v>
      </c>
      <c r="B54" s="249">
        <v>10.119999999999999</v>
      </c>
      <c r="C54" s="248">
        <f>ROUND(B54*(1-'Disc Dep'!$J$35),2)</f>
        <v>7.49</v>
      </c>
      <c r="D54" s="248">
        <f>ROUND(C54*(1+'Adaos Distr'!$J$35),2)</f>
        <v>7.49</v>
      </c>
      <c r="E54" s="248">
        <f>ROUND(D54*(1+'Adaos RESELLER'!$J$35),2)</f>
        <v>7.49</v>
      </c>
      <c r="F54" s="248">
        <f>IF(Select!$E$23=1,C54,IF(Select!$E$23=2,D54,IF(Select!$E$23=3,E54)))</f>
        <v>7.49</v>
      </c>
    </row>
    <row r="55" spans="1:8" s="77" customFormat="1">
      <c r="A55" s="488" t="s">
        <v>2278</v>
      </c>
      <c r="B55" s="249">
        <v>10.48</v>
      </c>
      <c r="C55" s="248">
        <f>ROUND(B55*(1-'Disc Dep'!$J$36),2)</f>
        <v>7.76</v>
      </c>
      <c r="D55" s="248">
        <f>ROUND(C55*(1+'Adaos Distr'!$J$36),2)</f>
        <v>7.76</v>
      </c>
      <c r="E55" s="248">
        <f>ROUND(D55*(1+'Adaos RESELLER'!$J$36),2)</f>
        <v>7.76</v>
      </c>
      <c r="F55" s="248">
        <f>IF(Select!$E$23=1,C55,IF(Select!$E$23=2,D55,IF(Select!$E$23=3,E55)))</f>
        <v>7.76</v>
      </c>
    </row>
    <row r="56" spans="1:8" s="77" customFormat="1">
      <c r="A56" s="488" t="s">
        <v>2290</v>
      </c>
      <c r="B56" s="249">
        <v>14.29</v>
      </c>
      <c r="C56" s="248">
        <f>ROUND(B56*(1-'Disc Dep'!$J$37),2)</f>
        <v>10.57</v>
      </c>
      <c r="D56" s="248">
        <f>ROUND(C56*(1+'Adaos Distr'!$J$37),2)</f>
        <v>10.57</v>
      </c>
      <c r="E56" s="248">
        <f>ROUND(D56*(1+'Adaos RESELLER'!$J$37),2)</f>
        <v>10.57</v>
      </c>
      <c r="F56" s="248">
        <f>IF(Select!$E$23=1,C56,IF(Select!$E$23=2,D56,IF(Select!$E$23=3,E56)))</f>
        <v>10.57</v>
      </c>
    </row>
    <row r="57" spans="1:8" s="77" customFormat="1">
      <c r="A57" s="488" t="s">
        <v>2301</v>
      </c>
      <c r="B57" s="249">
        <v>12.73</v>
      </c>
      <c r="C57" s="248">
        <f>ROUND(B57*(1-'Disc Dep'!$J$38),2)</f>
        <v>9.42</v>
      </c>
      <c r="D57" s="248">
        <f>ROUND(C57*(1+'Adaos Distr'!$J$38),2)</f>
        <v>9.42</v>
      </c>
      <c r="E57" s="248">
        <f>ROUND(D57*(1+'Adaos RESELLER'!$J$38),2)</f>
        <v>9.42</v>
      </c>
      <c r="F57" s="248">
        <f>IF(Select!$E$23=1,C57,IF(Select!$E$23=2,D57,IF(Select!$E$23=3,E57)))</f>
        <v>9.42</v>
      </c>
    </row>
    <row r="58" spans="1:8" s="77" customFormat="1">
      <c r="A58" s="488"/>
      <c r="B58" s="249"/>
      <c r="C58" s="248"/>
      <c r="D58" s="248"/>
      <c r="E58" s="248"/>
      <c r="F58" s="248"/>
    </row>
    <row r="59" spans="1:8" s="77" customFormat="1">
      <c r="A59" s="488"/>
      <c r="B59" s="249"/>
      <c r="C59" s="248"/>
      <c r="D59" s="248"/>
      <c r="E59" s="248"/>
      <c r="F59" s="248"/>
    </row>
    <row r="60" spans="1:8" s="77" customFormat="1">
      <c r="B60" s="249"/>
      <c r="C60" s="248"/>
      <c r="D60" s="248"/>
      <c r="E60" s="248"/>
      <c r="F60" s="248"/>
    </row>
    <row r="61" spans="1:8">
      <c r="A61" s="234" t="s">
        <v>1729</v>
      </c>
      <c r="B61" s="249">
        <v>8.9600000000000009</v>
      </c>
      <c r="C61" s="248">
        <f>ROUND(B61*(1-'Disc Dep'!$E$19),2)</f>
        <v>6.63</v>
      </c>
      <c r="D61" s="248">
        <f>ROUND(C61*(1+'Adaos Distr'!$E$20),2)</f>
        <v>6.63</v>
      </c>
      <c r="E61" s="248">
        <f>ROUND(D61*(1+'Adaos RESELLER'!$E$20),2)</f>
        <v>6.63</v>
      </c>
      <c r="F61" s="248">
        <f>IF(Select!$E$23=1,C61,IF(Select!$E$23=2,D61,IF(Select!$E$23=3,E61)))</f>
        <v>6.63</v>
      </c>
      <c r="G61">
        <f>B61*1.03</f>
        <v>9.2288000000000014</v>
      </c>
      <c r="H61">
        <f>ROUND(G61,2)</f>
        <v>9.23</v>
      </c>
    </row>
    <row r="62" spans="1:8">
      <c r="A62" s="234" t="s">
        <v>1732</v>
      </c>
      <c r="B62" s="249">
        <v>8.9600000000000009</v>
      </c>
      <c r="C62" s="248">
        <f>ROUND(B62*(1-'Disc Dep'!$E$19),2)</f>
        <v>6.63</v>
      </c>
      <c r="D62" s="248">
        <f>ROUND(C62*(1+'Adaos Distr'!$E$20),2)</f>
        <v>6.63</v>
      </c>
      <c r="E62" s="248">
        <f>ROUND(D62*(1+'Adaos RESELLER'!$E$20),2)</f>
        <v>6.63</v>
      </c>
      <c r="F62" s="248">
        <f>IF(Select!$E$23=1,C62,IF(Select!$E$23=2,D62,IF(Select!$E$23=3,E62)))</f>
        <v>6.63</v>
      </c>
      <c r="G62" s="77">
        <f t="shared" ref="G62:G127" si="0">B62*1.03</f>
        <v>9.2288000000000014</v>
      </c>
      <c r="H62" s="77">
        <f t="shared" ref="H62:H127" si="1">ROUND(G62,2)</f>
        <v>9.23</v>
      </c>
    </row>
    <row r="63" spans="1:8">
      <c r="A63" s="234" t="s">
        <v>1733</v>
      </c>
      <c r="B63" s="249">
        <v>9.48</v>
      </c>
      <c r="C63" s="248">
        <f>ROUND(B63*(1-'Disc Dep'!$E$19),2)</f>
        <v>7.02</v>
      </c>
      <c r="D63" s="248">
        <f>ROUND(C63*(1+'Adaos Distr'!$E$20),2)</f>
        <v>7.02</v>
      </c>
      <c r="E63" s="248">
        <f>ROUND(D63*(1+'Adaos RESELLER'!$E$20),2)</f>
        <v>7.02</v>
      </c>
      <c r="F63" s="248">
        <f>IF(Select!$E$23=1,C63,IF(Select!$E$23=2,D63,IF(Select!$E$23=3,E63)))</f>
        <v>7.02</v>
      </c>
      <c r="G63" s="77">
        <f t="shared" si="0"/>
        <v>9.7644000000000002</v>
      </c>
      <c r="H63" s="77">
        <f t="shared" si="1"/>
        <v>9.76</v>
      </c>
    </row>
    <row r="64" spans="1:8" s="77" customFormat="1">
      <c r="A64" s="520" t="s">
        <v>3225</v>
      </c>
      <c r="B64" s="249">
        <f>B63</f>
        <v>9.48</v>
      </c>
      <c r="C64" s="248">
        <f>ROUND(B64*(1-'Disc Dep'!$E$19),2)</f>
        <v>7.02</v>
      </c>
      <c r="D64" s="248">
        <f>ROUND(C64*(1+'Adaos Distr'!$E$20),2)</f>
        <v>7.02</v>
      </c>
      <c r="E64" s="248">
        <f>ROUND(D64*(1+'Adaos RESELLER'!$E$20),2)</f>
        <v>7.02</v>
      </c>
      <c r="F64" s="248">
        <f>IF(Select!$E$23=1,C64,IF(Select!$E$23=2,D64,IF(Select!$E$23=3,E64)))</f>
        <v>7.02</v>
      </c>
      <c r="G64" s="77">
        <f t="shared" ref="G64" si="2">B64*1.03</f>
        <v>9.7644000000000002</v>
      </c>
      <c r="H64" s="77">
        <f t="shared" ref="H64" si="3">ROUND(G64,2)</f>
        <v>9.76</v>
      </c>
    </row>
    <row r="65" spans="1:13">
      <c r="A65" s="234" t="s">
        <v>1734</v>
      </c>
      <c r="B65" s="249">
        <v>9.48</v>
      </c>
      <c r="C65" s="248">
        <f>ROUND(B65*(1-'Disc Dep'!$E$19),2)</f>
        <v>7.02</v>
      </c>
      <c r="D65" s="248">
        <f>ROUND(C65*(1+'Adaos Distr'!$E$20),2)</f>
        <v>7.02</v>
      </c>
      <c r="E65" s="248">
        <f>ROUND(D65*(1+'Adaos RESELLER'!$E$20),2)</f>
        <v>7.02</v>
      </c>
      <c r="F65" s="248">
        <f>IF(Select!$E$23=1,C65,IF(Select!$E$23=2,D65,IF(Select!$E$23=3,E65)))</f>
        <v>7.02</v>
      </c>
      <c r="G65" s="77">
        <f t="shared" si="0"/>
        <v>9.7644000000000002</v>
      </c>
      <c r="H65" s="77">
        <f t="shared" si="1"/>
        <v>9.76</v>
      </c>
    </row>
    <row r="66" spans="1:13">
      <c r="A66" s="234" t="s">
        <v>1735</v>
      </c>
      <c r="B66" s="249">
        <v>9.48</v>
      </c>
      <c r="C66" s="248">
        <f>ROUND(B66*(1-'Disc Dep'!$E$19),2)</f>
        <v>7.02</v>
      </c>
      <c r="D66" s="248">
        <f>ROUND(C66*(1+'Adaos Distr'!$E$20),2)</f>
        <v>7.02</v>
      </c>
      <c r="E66" s="248">
        <f>ROUND(D66*(1+'Adaos RESELLER'!$E$20),2)</f>
        <v>7.02</v>
      </c>
      <c r="F66" s="248">
        <f>IF(Select!$E$23=1,C66,IF(Select!$E$23=2,D66,IF(Select!$E$23=3,E66)))</f>
        <v>7.02</v>
      </c>
      <c r="G66" s="77">
        <f t="shared" si="0"/>
        <v>9.7644000000000002</v>
      </c>
      <c r="H66" s="77">
        <f t="shared" si="1"/>
        <v>9.76</v>
      </c>
    </row>
    <row r="67" spans="1:13">
      <c r="A67" s="77" t="s">
        <v>2984</v>
      </c>
      <c r="B67" s="249">
        <v>13.74</v>
      </c>
      <c r="C67" s="248">
        <f>ROUND(B67*(1-'Disc Dep'!$E$19),2)</f>
        <v>10.17</v>
      </c>
      <c r="D67" s="248">
        <f>ROUND(C67*(1+'Adaos Distr'!$E$20),2)</f>
        <v>10.17</v>
      </c>
      <c r="E67" s="248">
        <f>ROUND(D67*(1+'Adaos RESELLER'!$E$20),2)</f>
        <v>10.17</v>
      </c>
      <c r="F67" s="248">
        <f>IF(Select!$E$23=1,C67,IF(Select!$E$23=2,D67,IF(Select!$E$23=3,E67)))</f>
        <v>10.17</v>
      </c>
      <c r="G67" s="77">
        <f t="shared" si="0"/>
        <v>14.152200000000001</v>
      </c>
      <c r="H67" s="77">
        <f t="shared" si="1"/>
        <v>14.15</v>
      </c>
    </row>
    <row r="68" spans="1:13" s="77" customFormat="1">
      <c r="A68" s="77" t="s">
        <v>2985</v>
      </c>
      <c r="B68" s="249">
        <f>B67</f>
        <v>13.74</v>
      </c>
      <c r="C68" s="248">
        <f>ROUND(B68*(1-'Disc Dep'!$E$19),2)</f>
        <v>10.17</v>
      </c>
      <c r="D68" s="248">
        <f>ROUND(C68*(1+'Adaos Distr'!$E$20),2)</f>
        <v>10.17</v>
      </c>
      <c r="E68" s="248">
        <f>ROUND(D68*(1+'Adaos RESELLER'!$E$20),2)</f>
        <v>10.17</v>
      </c>
      <c r="F68" s="248">
        <f>IF(Select!$E$23=1,C68,IF(Select!$E$23=2,D68,IF(Select!$E$23=3,E68)))</f>
        <v>10.17</v>
      </c>
      <c r="G68" s="77">
        <f t="shared" ref="G68" si="4">B68*1.03</f>
        <v>14.152200000000001</v>
      </c>
      <c r="H68" s="77">
        <f t="shared" ref="H68" si="5">ROUND(G68,2)</f>
        <v>14.15</v>
      </c>
      <c r="M68" s="512"/>
    </row>
    <row r="69" spans="1:13">
      <c r="A69" s="234" t="s">
        <v>1739</v>
      </c>
      <c r="B69" s="249">
        <v>10.75</v>
      </c>
      <c r="C69" s="248">
        <f>ROUND(B69*(1-'Disc Dep'!$E$19),2)</f>
        <v>7.96</v>
      </c>
      <c r="D69" s="248">
        <f>ROUND(C69*(1+'Adaos Distr'!$E$20),2)</f>
        <v>7.96</v>
      </c>
      <c r="E69" s="248">
        <f>ROUND(D69*(1+'Adaos RESELLER'!$E$20),2)</f>
        <v>7.96</v>
      </c>
      <c r="F69" s="248">
        <f>IF(Select!$E$23=1,C69,IF(Select!$E$23=2,D69,IF(Select!$E$23=3,E69)))</f>
        <v>7.96</v>
      </c>
      <c r="G69" s="77">
        <f t="shared" si="0"/>
        <v>11.0725</v>
      </c>
      <c r="H69" s="77">
        <f t="shared" si="1"/>
        <v>11.07</v>
      </c>
      <c r="M69" s="512"/>
    </row>
    <row r="70" spans="1:13">
      <c r="A70" s="253" t="s">
        <v>1740</v>
      </c>
      <c r="B70" s="249">
        <v>11.37</v>
      </c>
      <c r="C70" s="248">
        <f>ROUND(B70*(1-'Disc Dep'!$E$19),2)</f>
        <v>8.41</v>
      </c>
      <c r="D70" s="248">
        <f>ROUND(C70*(1+'Adaos Distr'!$E$20),2)</f>
        <v>8.41</v>
      </c>
      <c r="E70" s="248">
        <f>ROUND(D70*(1+'Adaos RESELLER'!$E$20),2)</f>
        <v>8.41</v>
      </c>
      <c r="F70" s="248">
        <f>IF(Select!$E$23=1,C70,IF(Select!$E$23=2,D70,IF(Select!$E$23=3,E70)))</f>
        <v>8.41</v>
      </c>
      <c r="G70" s="77">
        <f t="shared" si="0"/>
        <v>11.7111</v>
      </c>
      <c r="H70" s="77">
        <f t="shared" si="1"/>
        <v>11.71</v>
      </c>
    </row>
    <row r="71" spans="1:13">
      <c r="A71" s="234" t="s">
        <v>1741</v>
      </c>
      <c r="B71" s="249">
        <v>14.23</v>
      </c>
      <c r="C71" s="248">
        <f>ROUND(B71*(1-'Disc Dep'!$E$19),2)</f>
        <v>10.53</v>
      </c>
      <c r="D71" s="248">
        <f>ROUND(C71*(1+'Adaos Distr'!$E$20),2)</f>
        <v>10.53</v>
      </c>
      <c r="E71" s="248">
        <f>ROUND(D71*(1+'Adaos RESELLER'!$E$20),2)</f>
        <v>10.53</v>
      </c>
      <c r="F71" s="248">
        <f>IF(Select!$E$23=1,C71,IF(Select!$E$23=2,D71,IF(Select!$E$23=3,E71)))</f>
        <v>10.53</v>
      </c>
      <c r="G71" s="77">
        <f t="shared" si="0"/>
        <v>14.6569</v>
      </c>
      <c r="H71" s="77">
        <f>B71</f>
        <v>14.23</v>
      </c>
    </row>
    <row r="72" spans="1:13">
      <c r="A72" s="234" t="s">
        <v>1738</v>
      </c>
      <c r="B72" s="249">
        <v>19.47</v>
      </c>
      <c r="C72" s="248">
        <f>ROUND(B72*(1-'Disc Dep'!$E$19),2)</f>
        <v>14.41</v>
      </c>
      <c r="D72" s="248">
        <f>ROUND(C72*(1+'Adaos Distr'!$E$20),2)</f>
        <v>14.41</v>
      </c>
      <c r="E72" s="248">
        <f>ROUND(D72*(1+'Adaos RESELLER'!$E$20),2)</f>
        <v>14.41</v>
      </c>
      <c r="F72" s="248">
        <f>IF(Select!$E$23=1,C72,IF(Select!$E$23=2,D72,IF(Select!$E$23=3,E72)))</f>
        <v>14.41</v>
      </c>
      <c r="G72" s="77">
        <f t="shared" si="0"/>
        <v>20.054099999999998</v>
      </c>
      <c r="H72" s="77">
        <f t="shared" si="1"/>
        <v>20.05</v>
      </c>
    </row>
    <row r="73" spans="1:13">
      <c r="A73" s="234" t="s">
        <v>1742</v>
      </c>
      <c r="B73" s="249">
        <v>16.489999999999998</v>
      </c>
      <c r="C73" s="248">
        <f>ROUND(B73*(1-'Disc Dep'!$E$19),2)</f>
        <v>12.2</v>
      </c>
      <c r="D73" s="248">
        <f>ROUND(C73*(1+'Adaos Distr'!$E$20),2)</f>
        <v>12.2</v>
      </c>
      <c r="E73" s="248">
        <f>ROUND(D73*(1+'Adaos RESELLER'!$E$20),2)</f>
        <v>12.2</v>
      </c>
      <c r="F73" s="248">
        <f>IF(Select!$E$23=1,C73,IF(Select!$E$23=2,D73,IF(Select!$E$23=3,E73)))</f>
        <v>12.2</v>
      </c>
      <c r="G73" s="77">
        <f t="shared" si="0"/>
        <v>16.9847</v>
      </c>
      <c r="H73" s="77">
        <f t="shared" si="1"/>
        <v>16.98</v>
      </c>
    </row>
    <row r="74" spans="1:13">
      <c r="A74" s="234" t="s">
        <v>1743</v>
      </c>
      <c r="B74" s="249">
        <v>3.34</v>
      </c>
      <c r="C74" s="248">
        <f>ROUND(B74*(1-'Disc Dep'!$E$19),2)</f>
        <v>2.4700000000000002</v>
      </c>
      <c r="D74" s="248">
        <f>ROUND(C74*(1+'Adaos Distr'!$E$20),2)</f>
        <v>2.4700000000000002</v>
      </c>
      <c r="E74" s="248">
        <f>ROUND(D74*(1+'Adaos RESELLER'!$E$20),2)</f>
        <v>2.4700000000000002</v>
      </c>
      <c r="F74" s="248">
        <f>IF(Select!$E$23=1,C74,IF(Select!$E$23=2,D74,IF(Select!$E$23=3,E74)))</f>
        <v>2.4700000000000002</v>
      </c>
      <c r="G74" s="77">
        <f t="shared" si="0"/>
        <v>3.4401999999999999</v>
      </c>
      <c r="H74" s="77">
        <f t="shared" si="1"/>
        <v>3.44</v>
      </c>
    </row>
    <row r="75" spans="1:13">
      <c r="A75" s="234" t="s">
        <v>1744</v>
      </c>
      <c r="B75" s="249">
        <v>3.44</v>
      </c>
      <c r="C75" s="248">
        <f>ROUND(B75*(1-'Disc Dep'!$E$19),2)</f>
        <v>2.5499999999999998</v>
      </c>
      <c r="D75" s="248">
        <f>ROUND(C75*(1+'Adaos Distr'!$E$20),2)</f>
        <v>2.5499999999999998</v>
      </c>
      <c r="E75" s="248">
        <f>ROUND(D75*(1+'Adaos RESELLER'!$E$20),2)</f>
        <v>2.5499999999999998</v>
      </c>
      <c r="F75" s="248">
        <f>IF(Select!$E$23=1,C75,IF(Select!$E$23=2,D75,IF(Select!$E$23=3,E75)))</f>
        <v>2.5499999999999998</v>
      </c>
      <c r="G75" s="77">
        <f t="shared" si="0"/>
        <v>3.5432000000000001</v>
      </c>
      <c r="H75" s="77">
        <f t="shared" si="1"/>
        <v>3.54</v>
      </c>
    </row>
    <row r="76" spans="1:13">
      <c r="A76" s="234" t="s">
        <v>1745</v>
      </c>
      <c r="B76" s="249">
        <v>4.57</v>
      </c>
      <c r="C76" s="248">
        <f>ROUND(B76*(1-'Disc Dep'!$E$19),2)</f>
        <v>3.38</v>
      </c>
      <c r="D76" s="248">
        <f>ROUND(C76*(1+'Adaos Distr'!$E$20),2)</f>
        <v>3.38</v>
      </c>
      <c r="E76" s="248">
        <f>ROUND(D76*(1+'Adaos RESELLER'!$E$20),2)</f>
        <v>3.38</v>
      </c>
      <c r="F76" s="248">
        <f>IF(Select!$E$23=1,C76,IF(Select!$E$23=2,D76,IF(Select!$E$23=3,E76)))</f>
        <v>3.38</v>
      </c>
      <c r="G76" s="77">
        <f t="shared" si="0"/>
        <v>4.7071000000000005</v>
      </c>
      <c r="H76" s="77">
        <f>B76</f>
        <v>4.57</v>
      </c>
    </row>
    <row r="77" spans="1:13">
      <c r="A77" s="234" t="s">
        <v>1746</v>
      </c>
      <c r="B77" s="249">
        <v>4.8499999999999996</v>
      </c>
      <c r="C77" s="248">
        <f>ROUND(B77*(1-'Disc Dep'!$E$19),2)</f>
        <v>3.59</v>
      </c>
      <c r="D77" s="248">
        <f>ROUND(C77*(1+'Adaos Distr'!$E$20),2)</f>
        <v>3.59</v>
      </c>
      <c r="E77" s="248">
        <f>ROUND(D77*(1+'Adaos RESELLER'!$E$20),2)</f>
        <v>3.59</v>
      </c>
      <c r="F77" s="248">
        <f>IF(Select!$E$23=1,C77,IF(Select!$E$23=2,D77,IF(Select!$E$23=3,E77)))</f>
        <v>3.59</v>
      </c>
      <c r="G77" s="77">
        <f t="shared" si="0"/>
        <v>4.9954999999999998</v>
      </c>
      <c r="H77" s="77">
        <f t="shared" si="1"/>
        <v>5</v>
      </c>
    </row>
    <row r="78" spans="1:13">
      <c r="A78" s="234" t="s">
        <v>1747</v>
      </c>
      <c r="B78" s="249">
        <v>3.79</v>
      </c>
      <c r="C78" s="248">
        <f>ROUND(B78*(1-'Disc Dep'!$E$19),2)</f>
        <v>2.8</v>
      </c>
      <c r="D78" s="248">
        <f>ROUND(C78*(1+'Adaos Distr'!$E$20),2)</f>
        <v>2.8</v>
      </c>
      <c r="E78" s="248">
        <f>ROUND(D78*(1+'Adaos RESELLER'!$E$20),2)</f>
        <v>2.8</v>
      </c>
      <c r="F78" s="248">
        <f>IF(Select!$E$23=1,C78,IF(Select!$E$23=2,D78,IF(Select!$E$23=3,E78)))</f>
        <v>2.8</v>
      </c>
      <c r="G78" s="77">
        <f t="shared" si="0"/>
        <v>3.9037000000000002</v>
      </c>
      <c r="H78" s="77">
        <f t="shared" si="1"/>
        <v>3.9</v>
      </c>
    </row>
    <row r="79" spans="1:13">
      <c r="A79" s="234" t="s">
        <v>1748</v>
      </c>
      <c r="B79" s="249">
        <v>2.1</v>
      </c>
      <c r="C79" s="248">
        <f>ROUND(B79*(1-'Disc Dep'!$E$19),2)</f>
        <v>1.55</v>
      </c>
      <c r="D79" s="248">
        <f>ROUND(C79*(1+'Adaos Distr'!$E$20),2)</f>
        <v>1.55</v>
      </c>
      <c r="E79" s="248">
        <f>ROUND(D79*(1+'Adaos RESELLER'!$E$20),2)</f>
        <v>1.55</v>
      </c>
      <c r="F79" s="248">
        <f>IF(Select!$E$23=1,C79,IF(Select!$E$23=2,D79,IF(Select!$E$23=3,E79)))</f>
        <v>1.55</v>
      </c>
      <c r="G79" s="77">
        <f t="shared" si="0"/>
        <v>2.1630000000000003</v>
      </c>
      <c r="H79" s="77">
        <f t="shared" si="1"/>
        <v>2.16</v>
      </c>
    </row>
    <row r="80" spans="1:13">
      <c r="A80" s="234" t="s">
        <v>1749</v>
      </c>
      <c r="B80" s="249">
        <v>2.16</v>
      </c>
      <c r="C80" s="248">
        <f>ROUND(B80*(1-'Disc Dep'!$E$19),2)</f>
        <v>1.6</v>
      </c>
      <c r="D80" s="248">
        <f>ROUND(C80*(1+'Adaos Distr'!$E$20),2)</f>
        <v>1.6</v>
      </c>
      <c r="E80" s="248">
        <f>ROUND(D80*(1+'Adaos RESELLER'!$E$20),2)</f>
        <v>1.6</v>
      </c>
      <c r="F80" s="248">
        <f>IF(Select!$E$23=1,C80,IF(Select!$E$23=2,D80,IF(Select!$E$23=3,E80)))</f>
        <v>1.6</v>
      </c>
      <c r="G80" s="77">
        <f t="shared" si="0"/>
        <v>2.2248000000000001</v>
      </c>
      <c r="H80" s="77">
        <f t="shared" si="1"/>
        <v>2.2200000000000002</v>
      </c>
    </row>
    <row r="81" spans="1:8">
      <c r="A81" s="234" t="s">
        <v>1750</v>
      </c>
      <c r="B81" s="249">
        <v>2.4500000000000002</v>
      </c>
      <c r="C81" s="248">
        <f>ROUND(B81*(1-'Disc Dep'!$E$19),2)</f>
        <v>1.81</v>
      </c>
      <c r="D81" s="248">
        <f>ROUND(C81*(1+'Adaos Distr'!$E$20),2)</f>
        <v>1.81</v>
      </c>
      <c r="E81" s="248">
        <f>ROUND(D81*(1+'Adaos RESELLER'!$E$20),2)</f>
        <v>1.81</v>
      </c>
      <c r="F81" s="248">
        <f>IF(Select!$E$23=1,C81,IF(Select!$E$23=2,D81,IF(Select!$E$23=3,E81)))</f>
        <v>1.81</v>
      </c>
      <c r="G81" s="77">
        <f t="shared" si="0"/>
        <v>2.5235000000000003</v>
      </c>
      <c r="H81" s="77">
        <f>B81</f>
        <v>2.4500000000000002</v>
      </c>
    </row>
    <row r="82" spans="1:8">
      <c r="A82" s="234" t="s">
        <v>1751</v>
      </c>
      <c r="B82" s="249">
        <v>3.06</v>
      </c>
      <c r="C82" s="248">
        <f>ROUND(B82*(1-'Disc Dep'!$E$19),2)</f>
        <v>2.2599999999999998</v>
      </c>
      <c r="D82" s="248">
        <f>ROUND(C82*(1+'Adaos Distr'!$E$20),2)</f>
        <v>2.2599999999999998</v>
      </c>
      <c r="E82" s="248">
        <f>ROUND(D82*(1+'Adaos RESELLER'!$E$20),2)</f>
        <v>2.2599999999999998</v>
      </c>
      <c r="F82" s="248">
        <f>IF(Select!$E$23=1,C82,IF(Select!$E$23=2,D82,IF(Select!$E$23=3,E82)))</f>
        <v>2.2599999999999998</v>
      </c>
      <c r="G82" s="77">
        <f t="shared" si="0"/>
        <v>3.1518000000000002</v>
      </c>
      <c r="H82" s="77">
        <f t="shared" si="1"/>
        <v>3.15</v>
      </c>
    </row>
    <row r="83" spans="1:8">
      <c r="A83" s="234" t="s">
        <v>1752</v>
      </c>
      <c r="B83" s="249">
        <v>2.39</v>
      </c>
      <c r="C83" s="248">
        <f>ROUND(B83*(1-'Disc Dep'!$E$19),2)</f>
        <v>1.77</v>
      </c>
      <c r="D83" s="248">
        <f>ROUND(C83*(1+'Adaos Distr'!$E$20),2)</f>
        <v>1.77</v>
      </c>
      <c r="E83" s="248">
        <f>ROUND(D83*(1+'Adaos RESELLER'!$E$20),2)</f>
        <v>1.77</v>
      </c>
      <c r="F83" s="248">
        <f>IF(Select!$E$23=1,C83,IF(Select!$E$23=2,D83,IF(Select!$E$23=3,E83)))</f>
        <v>1.77</v>
      </c>
      <c r="G83" s="77">
        <f t="shared" si="0"/>
        <v>2.4617</v>
      </c>
      <c r="H83" s="77">
        <f t="shared" si="1"/>
        <v>2.46</v>
      </c>
    </row>
    <row r="84" spans="1:8">
      <c r="A84" s="234" t="s">
        <v>1753</v>
      </c>
      <c r="B84" s="249">
        <v>2.1</v>
      </c>
      <c r="C84" s="248">
        <f>ROUND(B84*(1-'Disc Dep'!$E$19),2)</f>
        <v>1.55</v>
      </c>
      <c r="D84" s="248">
        <f>ROUND(C84*(1+'Adaos Distr'!$E$20),2)</f>
        <v>1.55</v>
      </c>
      <c r="E84" s="248">
        <f>ROUND(D84*(1+'Adaos RESELLER'!$E$20),2)</f>
        <v>1.55</v>
      </c>
      <c r="F84" s="248">
        <f>IF(Select!$E$23=1,C84,IF(Select!$E$23=2,D84,IF(Select!$E$23=3,E84)))</f>
        <v>1.55</v>
      </c>
      <c r="G84" s="77">
        <f t="shared" si="0"/>
        <v>2.1630000000000003</v>
      </c>
      <c r="H84" s="77">
        <f t="shared" si="1"/>
        <v>2.16</v>
      </c>
    </row>
    <row r="85" spans="1:8">
      <c r="A85" s="234" t="s">
        <v>1754</v>
      </c>
      <c r="B85" s="249">
        <v>2.16</v>
      </c>
      <c r="C85" s="248">
        <f>ROUND(B85*(1-'Disc Dep'!$E$19),2)</f>
        <v>1.6</v>
      </c>
      <c r="D85" s="248">
        <f>ROUND(C85*(1+'Adaos Distr'!$E$20),2)</f>
        <v>1.6</v>
      </c>
      <c r="E85" s="248">
        <f>ROUND(D85*(1+'Adaos RESELLER'!$E$20),2)</f>
        <v>1.6</v>
      </c>
      <c r="F85" s="248">
        <f>IF(Select!$E$23=1,C85,IF(Select!$E$23=2,D85,IF(Select!$E$23=3,E85)))</f>
        <v>1.6</v>
      </c>
      <c r="G85" s="77">
        <f t="shared" si="0"/>
        <v>2.2248000000000001</v>
      </c>
      <c r="H85" s="77">
        <f t="shared" si="1"/>
        <v>2.2200000000000002</v>
      </c>
    </row>
    <row r="86" spans="1:8">
      <c r="A86" s="234" t="s">
        <v>1755</v>
      </c>
      <c r="B86" s="249">
        <v>2.4500000000000002</v>
      </c>
      <c r="C86" s="248">
        <f>ROUND(B86*(1-'Disc Dep'!$E$19),2)</f>
        <v>1.81</v>
      </c>
      <c r="D86" s="248">
        <f>ROUND(C86*(1+'Adaos Distr'!$E$20),2)</f>
        <v>1.81</v>
      </c>
      <c r="E86" s="248">
        <f>ROUND(D86*(1+'Adaos RESELLER'!$E$20),2)</f>
        <v>1.81</v>
      </c>
      <c r="F86" s="248">
        <f>IF(Select!$E$23=1,C86,IF(Select!$E$23=2,D86,IF(Select!$E$23=3,E86)))</f>
        <v>1.81</v>
      </c>
      <c r="G86" s="77">
        <f t="shared" si="0"/>
        <v>2.5235000000000003</v>
      </c>
      <c r="H86" s="77">
        <f>B86</f>
        <v>2.4500000000000002</v>
      </c>
    </row>
    <row r="87" spans="1:8">
      <c r="A87" s="234" t="s">
        <v>1756</v>
      </c>
      <c r="B87" s="249">
        <v>3.06</v>
      </c>
      <c r="C87" s="248">
        <f>ROUND(B87*(1-'Disc Dep'!$E$19),2)</f>
        <v>2.2599999999999998</v>
      </c>
      <c r="D87" s="248">
        <f>ROUND(C87*(1+'Adaos Distr'!$E$20),2)</f>
        <v>2.2599999999999998</v>
      </c>
      <c r="E87" s="248">
        <f>ROUND(D87*(1+'Adaos RESELLER'!$E$20),2)</f>
        <v>2.2599999999999998</v>
      </c>
      <c r="F87" s="248">
        <f>IF(Select!$E$23=1,C87,IF(Select!$E$23=2,D87,IF(Select!$E$23=3,E87)))</f>
        <v>2.2599999999999998</v>
      </c>
      <c r="G87" s="77">
        <f t="shared" si="0"/>
        <v>3.1518000000000002</v>
      </c>
      <c r="H87" s="77">
        <f t="shared" si="1"/>
        <v>3.15</v>
      </c>
    </row>
    <row r="88" spans="1:8">
      <c r="A88" s="234" t="s">
        <v>1757</v>
      </c>
      <c r="B88" s="249">
        <v>2.39</v>
      </c>
      <c r="C88" s="248">
        <f>ROUND(B88*(1-'Disc Dep'!$E$19),2)</f>
        <v>1.77</v>
      </c>
      <c r="D88" s="248">
        <f>ROUND(C88*(1+'Adaos Distr'!$E$20),2)</f>
        <v>1.77</v>
      </c>
      <c r="E88" s="248">
        <f>ROUND(D88*(1+'Adaos RESELLER'!$E$20),2)</f>
        <v>1.77</v>
      </c>
      <c r="F88" s="248">
        <f>IF(Select!$E$23=1,C88,IF(Select!$E$23=2,D88,IF(Select!$E$23=3,E88)))</f>
        <v>1.77</v>
      </c>
      <c r="G88" s="77">
        <f t="shared" si="0"/>
        <v>2.4617</v>
      </c>
      <c r="H88" s="77">
        <f t="shared" si="1"/>
        <v>2.46</v>
      </c>
    </row>
    <row r="89" spans="1:8">
      <c r="G89" s="77">
        <f t="shared" si="0"/>
        <v>0</v>
      </c>
      <c r="H89" s="77">
        <f t="shared" si="1"/>
        <v>0</v>
      </c>
    </row>
    <row r="90" spans="1:8">
      <c r="A90" s="77" t="s">
        <v>1777</v>
      </c>
      <c r="B90" s="249">
        <v>5.29</v>
      </c>
      <c r="C90" s="248">
        <f>ROUND(B90*(1-'Disc Dep'!$E$5),2)</f>
        <v>3.91</v>
      </c>
      <c r="D90" s="248">
        <f>ROUND(C90*(1+'Adaos Distr'!$E$5),2)</f>
        <v>3.91</v>
      </c>
      <c r="E90" s="248">
        <f>ROUND(D90*(1+'Adaos RESELLER'!$E$5),2)</f>
        <v>3.91</v>
      </c>
      <c r="F90" s="248">
        <f>IF(Select!$E$23=1,C90,IF(Select!$E$23=2,D90,IF(Select!$E$23=3,E90)))</f>
        <v>3.91</v>
      </c>
      <c r="G90" s="77">
        <f t="shared" si="0"/>
        <v>5.4487000000000005</v>
      </c>
      <c r="H90" s="77">
        <f t="shared" si="1"/>
        <v>5.45</v>
      </c>
    </row>
    <row r="91" spans="1:8">
      <c r="A91" s="77" t="s">
        <v>1778</v>
      </c>
      <c r="B91" s="249">
        <v>5.29</v>
      </c>
      <c r="C91" s="248">
        <f>ROUND(B91*(1-'Disc Dep'!$E$5),2)</f>
        <v>3.91</v>
      </c>
      <c r="D91" s="248">
        <f>ROUND(C91*(1+'Adaos Distr'!$E$5),2)</f>
        <v>3.91</v>
      </c>
      <c r="E91" s="248">
        <f>ROUND(D91*(1+'Adaos RESELLER'!$E$5),2)</f>
        <v>3.91</v>
      </c>
      <c r="F91" s="248">
        <f>IF(Select!$E$23=1,C91,IF(Select!$E$23=2,D91,IF(Select!$E$23=3,E91)))</f>
        <v>3.91</v>
      </c>
      <c r="G91" s="77">
        <f t="shared" si="0"/>
        <v>5.4487000000000005</v>
      </c>
      <c r="H91" s="77">
        <f t="shared" si="1"/>
        <v>5.45</v>
      </c>
    </row>
    <row r="92" spans="1:8">
      <c r="A92" s="77" t="s">
        <v>1779</v>
      </c>
      <c r="B92" s="249">
        <v>6.61</v>
      </c>
      <c r="C92" s="248">
        <f>ROUND(B92*(1-'Disc Dep'!$E$5),2)</f>
        <v>4.8899999999999997</v>
      </c>
      <c r="D92" s="248">
        <f>ROUND(C92*(1+'Adaos Distr'!$E$5),2)</f>
        <v>4.8899999999999997</v>
      </c>
      <c r="E92" s="248">
        <f>ROUND(D92*(1+'Adaos RESELLER'!$E$5),2)</f>
        <v>4.8899999999999997</v>
      </c>
      <c r="F92" s="248">
        <f>IF(Select!$E$23=1,C92,IF(Select!$E$23=2,D92,IF(Select!$E$23=3,E92)))</f>
        <v>4.8899999999999997</v>
      </c>
      <c r="G92" s="77">
        <f t="shared" si="0"/>
        <v>6.8083000000000009</v>
      </c>
      <c r="H92" s="77">
        <f t="shared" si="1"/>
        <v>6.81</v>
      </c>
    </row>
    <row r="93" spans="1:8">
      <c r="A93" s="77" t="s">
        <v>1780</v>
      </c>
      <c r="B93" s="249">
        <v>5.27</v>
      </c>
      <c r="C93" s="248">
        <f>ROUND(B93*(1-'Disc Dep'!$E$5),2)</f>
        <v>3.9</v>
      </c>
      <c r="D93" s="248">
        <f>ROUND(C93*(1+'Adaos Distr'!$E$5),2)</f>
        <v>3.9</v>
      </c>
      <c r="E93" s="248">
        <f>ROUND(D93*(1+'Adaos RESELLER'!$E$5),2)</f>
        <v>3.9</v>
      </c>
      <c r="F93" s="248">
        <f>IF(Select!$E$23=1,C93,IF(Select!$E$23=2,D93,IF(Select!$E$23=3,E93)))</f>
        <v>3.9</v>
      </c>
      <c r="G93" s="77">
        <f t="shared" si="0"/>
        <v>5.4280999999999997</v>
      </c>
      <c r="H93" s="77">
        <f t="shared" si="1"/>
        <v>5.43</v>
      </c>
    </row>
    <row r="94" spans="1:8">
      <c r="A94" s="77" t="s">
        <v>1781</v>
      </c>
      <c r="B94" s="249">
        <v>3.87</v>
      </c>
      <c r="C94" s="248">
        <f>ROUND(B94*(1-'Disc Dep'!$E$5),2)</f>
        <v>2.86</v>
      </c>
      <c r="D94" s="248">
        <f>ROUND(C94*(1+'Adaos Distr'!$E$5),2)</f>
        <v>2.86</v>
      </c>
      <c r="E94" s="248">
        <f>ROUND(D94*(1+'Adaos RESELLER'!$E$5),2)</f>
        <v>2.86</v>
      </c>
      <c r="F94" s="248">
        <f>IF(Select!$E$23=1,C94,IF(Select!$E$23=2,D94,IF(Select!$E$23=3,E94)))</f>
        <v>2.86</v>
      </c>
      <c r="G94" s="77">
        <f t="shared" si="0"/>
        <v>3.9861000000000004</v>
      </c>
      <c r="H94" s="77">
        <f t="shared" si="1"/>
        <v>3.99</v>
      </c>
    </row>
    <row r="95" spans="1:8">
      <c r="A95" s="77" t="s">
        <v>1782</v>
      </c>
      <c r="B95" s="249">
        <v>5.29</v>
      </c>
      <c r="C95" s="248">
        <f>ROUND(B95*(1-'Disc Dep'!$E$5),2)</f>
        <v>3.91</v>
      </c>
      <c r="D95" s="248">
        <f>ROUND(C95*(1+'Adaos Distr'!$E$5),2)</f>
        <v>3.91</v>
      </c>
      <c r="E95" s="248">
        <f>ROUND(D95*(1+'Adaos RESELLER'!$E$5),2)</f>
        <v>3.91</v>
      </c>
      <c r="F95" s="248">
        <f>IF(Select!$E$23=1,C95,IF(Select!$E$23=2,D95,IF(Select!$E$23=3,E95)))</f>
        <v>3.91</v>
      </c>
      <c r="G95" s="77">
        <f t="shared" si="0"/>
        <v>5.4487000000000005</v>
      </c>
      <c r="H95" s="77">
        <f t="shared" si="1"/>
        <v>5.45</v>
      </c>
    </row>
    <row r="96" spans="1:8">
      <c r="A96" s="77" t="s">
        <v>1783</v>
      </c>
      <c r="B96" s="249">
        <v>5.29</v>
      </c>
      <c r="C96" s="248">
        <f>ROUND(B96*(1-'Disc Dep'!$E$5),2)</f>
        <v>3.91</v>
      </c>
      <c r="D96" s="248">
        <f>ROUND(C96*(1+'Adaos Distr'!$E$5),2)</f>
        <v>3.91</v>
      </c>
      <c r="E96" s="248">
        <f>ROUND(D96*(1+'Adaos RESELLER'!$E$5),2)</f>
        <v>3.91</v>
      </c>
      <c r="F96" s="248">
        <f>IF(Select!$E$23=1,C96,IF(Select!$E$23=2,D96,IF(Select!$E$23=3,E96)))</f>
        <v>3.91</v>
      </c>
      <c r="G96" s="77">
        <f t="shared" si="0"/>
        <v>5.4487000000000005</v>
      </c>
      <c r="H96" s="77">
        <f t="shared" si="1"/>
        <v>5.45</v>
      </c>
    </row>
    <row r="97" spans="1:8">
      <c r="A97" s="77" t="s">
        <v>1784</v>
      </c>
      <c r="B97" s="249">
        <v>6.18</v>
      </c>
      <c r="C97" s="248">
        <f>ROUND(B97*(1-'Disc Dep'!$E$5),2)</f>
        <v>4.57</v>
      </c>
      <c r="D97" s="248">
        <f>ROUND(C97*(1+'Adaos Distr'!$E$5),2)</f>
        <v>4.57</v>
      </c>
      <c r="E97" s="248">
        <f>ROUND(D97*(1+'Adaos RESELLER'!$E$5),2)</f>
        <v>4.57</v>
      </c>
      <c r="F97" s="248">
        <f>IF(Select!$E$23=1,C97,IF(Select!$E$23=2,D97,IF(Select!$E$23=3,E97)))</f>
        <v>4.57</v>
      </c>
      <c r="G97" s="77">
        <f t="shared" si="0"/>
        <v>6.3654000000000002</v>
      </c>
      <c r="H97" s="77">
        <f t="shared" si="1"/>
        <v>6.37</v>
      </c>
    </row>
    <row r="98" spans="1:8">
      <c r="A98" s="77" t="s">
        <v>1785</v>
      </c>
      <c r="B98" s="249">
        <v>5.3</v>
      </c>
      <c r="C98" s="248">
        <f>ROUND(B98*(1-'Disc Dep'!$E$5),2)</f>
        <v>3.92</v>
      </c>
      <c r="D98" s="248">
        <f>ROUND(C98*(1+'Adaos Distr'!$E$5),2)</f>
        <v>3.92</v>
      </c>
      <c r="E98" s="248">
        <f>ROUND(D98*(1+'Adaos RESELLER'!$E$5),2)</f>
        <v>3.92</v>
      </c>
      <c r="F98" s="248">
        <f>IF(Select!$E$23=1,C98,IF(Select!$E$23=2,D98,IF(Select!$E$23=3,E98)))</f>
        <v>3.92</v>
      </c>
      <c r="G98" s="77">
        <f t="shared" si="0"/>
        <v>5.4589999999999996</v>
      </c>
      <c r="H98" s="77">
        <f t="shared" si="1"/>
        <v>5.46</v>
      </c>
    </row>
    <row r="99" spans="1:8">
      <c r="A99" s="77" t="s">
        <v>1786</v>
      </c>
      <c r="B99" s="249">
        <v>4.0199999999999996</v>
      </c>
      <c r="C99" s="248">
        <f>ROUND(B99*(1-'Disc Dep'!$E$5),2)</f>
        <v>2.97</v>
      </c>
      <c r="D99" s="248">
        <f>ROUND(C99*(1+'Adaos Distr'!$E$5),2)</f>
        <v>2.97</v>
      </c>
      <c r="E99" s="248">
        <f>ROUND(D99*(1+'Adaos RESELLER'!$E$5),2)</f>
        <v>2.97</v>
      </c>
      <c r="F99" s="248">
        <f>IF(Select!$E$23=1,C99,IF(Select!$E$23=2,D99,IF(Select!$E$23=3,E99)))</f>
        <v>2.97</v>
      </c>
      <c r="G99" s="77">
        <f t="shared" si="0"/>
        <v>4.1406000000000001</v>
      </c>
      <c r="H99" s="77">
        <f t="shared" si="1"/>
        <v>4.1399999999999997</v>
      </c>
    </row>
    <row r="100" spans="1:8">
      <c r="A100" s="77" t="s">
        <v>1858</v>
      </c>
      <c r="B100" s="249">
        <v>5.0599999999999996</v>
      </c>
      <c r="C100" s="248">
        <f>ROUND(B100*(1-'Disc Dep'!$E$5),2)</f>
        <v>3.74</v>
      </c>
      <c r="D100" s="248">
        <f>ROUND(C100*(1+'Adaos Distr'!$E$5),2)</f>
        <v>3.74</v>
      </c>
      <c r="E100" s="248">
        <f>ROUND(D100*(1+'Adaos RESELLER'!$E$5),2)</f>
        <v>3.74</v>
      </c>
      <c r="F100" s="248">
        <f>IF(Select!$E$23=1,C100,IF(Select!$E$23=2,D100,IF(Select!$E$23=3,E100)))</f>
        <v>3.74</v>
      </c>
      <c r="G100" s="77">
        <f t="shared" si="0"/>
        <v>5.2117999999999993</v>
      </c>
      <c r="H100" s="77">
        <f t="shared" si="1"/>
        <v>5.21</v>
      </c>
    </row>
    <row r="101" spans="1:8">
      <c r="A101" s="77" t="s">
        <v>1859</v>
      </c>
      <c r="B101" s="249">
        <v>5.0599999999999996</v>
      </c>
      <c r="C101" s="248">
        <f>ROUND(B101*(1-'Disc Dep'!$E$5),2)</f>
        <v>3.74</v>
      </c>
      <c r="D101" s="248">
        <f>ROUND(C101*(1+'Adaos Distr'!$E$5),2)</f>
        <v>3.74</v>
      </c>
      <c r="E101" s="248">
        <f>ROUND(D101*(1+'Adaos RESELLER'!$E$5),2)</f>
        <v>3.74</v>
      </c>
      <c r="F101" s="248">
        <f>IF(Select!$E$23=1,C101,IF(Select!$E$23=2,D101,IF(Select!$E$23=3,E101)))</f>
        <v>3.74</v>
      </c>
      <c r="G101" s="77">
        <f t="shared" si="0"/>
        <v>5.2117999999999993</v>
      </c>
      <c r="H101" s="77">
        <f t="shared" si="1"/>
        <v>5.21</v>
      </c>
    </row>
    <row r="102" spans="1:8">
      <c r="A102" s="77" t="s">
        <v>1860</v>
      </c>
      <c r="B102" s="249">
        <v>5.91</v>
      </c>
      <c r="C102" s="248">
        <f>ROUND(B102*(1-'Disc Dep'!$E$5),2)</f>
        <v>4.37</v>
      </c>
      <c r="D102" s="248">
        <f>ROUND(C102*(1+'Adaos Distr'!$E$5),2)</f>
        <v>4.37</v>
      </c>
      <c r="E102" s="248">
        <f>ROUND(D102*(1+'Adaos RESELLER'!$E$5),2)</f>
        <v>4.37</v>
      </c>
      <c r="F102" s="248">
        <f>IF(Select!$E$23=1,C102,IF(Select!$E$23=2,D102,IF(Select!$E$23=3,E102)))</f>
        <v>4.37</v>
      </c>
      <c r="G102" s="77">
        <f t="shared" si="0"/>
        <v>6.0872999999999999</v>
      </c>
      <c r="H102" s="77">
        <f t="shared" si="1"/>
        <v>6.09</v>
      </c>
    </row>
    <row r="103" spans="1:8">
      <c r="A103" s="77" t="s">
        <v>1861</v>
      </c>
      <c r="B103" s="249">
        <v>5.08</v>
      </c>
      <c r="C103" s="248">
        <f>ROUND(B103*(1-'Disc Dep'!$E$5),2)</f>
        <v>3.76</v>
      </c>
      <c r="D103" s="248">
        <f>ROUND(C103*(1+'Adaos Distr'!$E$5),2)</f>
        <v>3.76</v>
      </c>
      <c r="E103" s="248">
        <f>ROUND(D103*(1+'Adaos RESELLER'!$E$5),2)</f>
        <v>3.76</v>
      </c>
      <c r="F103" s="248">
        <f>IF(Select!$E$23=1,C103,IF(Select!$E$23=2,D103,IF(Select!$E$23=3,E103)))</f>
        <v>3.76</v>
      </c>
      <c r="G103" s="77">
        <f t="shared" si="0"/>
        <v>5.2324000000000002</v>
      </c>
      <c r="H103" s="77">
        <f t="shared" si="1"/>
        <v>5.23</v>
      </c>
    </row>
    <row r="104" spans="1:8">
      <c r="A104" s="77" t="s">
        <v>1857</v>
      </c>
      <c r="B104" s="249">
        <v>3.87</v>
      </c>
      <c r="C104" s="248">
        <f>ROUND(B104*(1-'Disc Dep'!$E$5),2)</f>
        <v>2.86</v>
      </c>
      <c r="D104" s="248">
        <f>ROUND(C104*(1+'Adaos Distr'!$E$5),2)</f>
        <v>2.86</v>
      </c>
      <c r="E104" s="248">
        <f>ROUND(D104*(1+'Adaos RESELLER'!$E$5),2)</f>
        <v>2.86</v>
      </c>
      <c r="F104" s="248">
        <f>IF(Select!$E$23=1,C104,IF(Select!$E$23=2,D104,IF(Select!$E$23=3,E104)))</f>
        <v>2.86</v>
      </c>
      <c r="G104" s="77">
        <f t="shared" si="0"/>
        <v>3.9861000000000004</v>
      </c>
      <c r="H104" s="77">
        <f t="shared" si="1"/>
        <v>3.99</v>
      </c>
    </row>
    <row r="105" spans="1:8">
      <c r="G105" s="77">
        <f t="shared" si="0"/>
        <v>0</v>
      </c>
      <c r="H105" s="77">
        <f t="shared" si="1"/>
        <v>0</v>
      </c>
    </row>
    <row r="106" spans="1:8">
      <c r="A106" s="77" t="s">
        <v>2325</v>
      </c>
      <c r="B106" s="249">
        <v>2.56</v>
      </c>
      <c r="C106" s="248">
        <f>ROUND(B106*(1-'Disc Dep'!$C$112),2)</f>
        <v>1.89</v>
      </c>
      <c r="D106" s="248">
        <f>ROUND(C106*(1+'Adaos Distr'!$C$110),2)</f>
        <v>1.89</v>
      </c>
      <c r="E106" s="248">
        <f>ROUND(D106*(1+'Adaos RESELLER'!$C$110),2)</f>
        <v>1.89</v>
      </c>
      <c r="F106" s="248">
        <f>IF(Select!$E$23=1,C106,IF(Select!$E$23=2,D106,IF(Select!$E$23=3,E106)))</f>
        <v>1.89</v>
      </c>
      <c r="G106" s="77">
        <f t="shared" si="0"/>
        <v>2.6368</v>
      </c>
      <c r="H106" s="77">
        <f t="shared" si="1"/>
        <v>2.64</v>
      </c>
    </row>
    <row r="107" spans="1:8">
      <c r="A107" s="77" t="s">
        <v>2326</v>
      </c>
      <c r="B107" s="249">
        <v>2.27</v>
      </c>
      <c r="C107" s="248">
        <f>ROUND(B107*(1-'Disc Dep'!$C$112),2)</f>
        <v>1.68</v>
      </c>
      <c r="D107" s="248">
        <f>ROUND(C107*(1+'Adaos Distr'!$C$110),2)</f>
        <v>1.68</v>
      </c>
      <c r="E107" s="248">
        <f>ROUND(D107*(1+'Adaos RESELLER'!$C$110),2)</f>
        <v>1.68</v>
      </c>
      <c r="F107" s="248">
        <f>IF(Select!$E$23=1,C107,IF(Select!$E$23=2,D107,IF(Select!$E$23=3,E107)))</f>
        <v>1.68</v>
      </c>
      <c r="G107" s="77">
        <f t="shared" si="0"/>
        <v>2.3381000000000003</v>
      </c>
      <c r="H107" s="77">
        <f t="shared" si="1"/>
        <v>2.34</v>
      </c>
    </row>
    <row r="108" spans="1:8">
      <c r="A108" s="77" t="s">
        <v>2327</v>
      </c>
      <c r="B108" s="249">
        <v>2.0499999999999998</v>
      </c>
      <c r="C108" s="248">
        <f>ROUND(B108*(1-'Disc Dep'!$C$112),2)</f>
        <v>1.52</v>
      </c>
      <c r="D108" s="248">
        <f>ROUND(C108*(1+'Adaos Distr'!$C$110),2)</f>
        <v>1.52</v>
      </c>
      <c r="E108" s="248">
        <f>ROUND(D108*(1+'Adaos RESELLER'!$C$110),2)</f>
        <v>1.52</v>
      </c>
      <c r="F108" s="248">
        <f>IF(Select!$E$23=1,C108,IF(Select!$E$23=2,D108,IF(Select!$E$23=3,E108)))</f>
        <v>1.52</v>
      </c>
      <c r="G108" s="77">
        <f t="shared" si="0"/>
        <v>2.1114999999999999</v>
      </c>
      <c r="H108" s="77">
        <f t="shared" si="1"/>
        <v>2.11</v>
      </c>
    </row>
    <row r="109" spans="1:8">
      <c r="A109" t="s">
        <v>1791</v>
      </c>
      <c r="B109" s="249">
        <f>Info!B150</f>
        <v>18.07</v>
      </c>
      <c r="C109" s="248">
        <f>ROUND(B109*(1-'Disc Dep'!$C$112),2)</f>
        <v>13.37</v>
      </c>
      <c r="D109" s="248">
        <f>ROUND(C109*(1+'Adaos Distr'!$C$110),2)</f>
        <v>13.37</v>
      </c>
      <c r="E109" s="248">
        <f>ROUND(D109*(1+'Adaos RESELLER'!$C$110),2)</f>
        <v>13.37</v>
      </c>
      <c r="F109" s="248">
        <f>IF(Select!$E$23=1,C109,IF(Select!$E$23=2,D109,IF(Select!$E$23=3,E109)))</f>
        <v>13.37</v>
      </c>
      <c r="G109" s="77">
        <f t="shared" si="0"/>
        <v>18.612100000000002</v>
      </c>
      <c r="H109" s="77">
        <f t="shared" si="1"/>
        <v>18.61</v>
      </c>
    </row>
    <row r="110" spans="1:8">
      <c r="A110" s="77" t="s">
        <v>2328</v>
      </c>
      <c r="B110" s="249">
        <v>2.64</v>
      </c>
      <c r="C110" s="248">
        <f>ROUND(B110*(1-'Disc Dep'!$C$112),2)</f>
        <v>1.95</v>
      </c>
      <c r="D110" s="248">
        <f>ROUND(C110*(1+'Adaos Distr'!$C$110),2)</f>
        <v>1.95</v>
      </c>
      <c r="E110" s="248">
        <f>ROUND(D110*(1+'Adaos RESELLER'!$C$110),2)</f>
        <v>1.95</v>
      </c>
      <c r="F110" s="248">
        <f>IF(Select!$E$23=1,C110,IF(Select!$E$23=2,D110,IF(Select!$E$23=3,E110)))</f>
        <v>1.95</v>
      </c>
      <c r="G110" s="77">
        <f t="shared" si="0"/>
        <v>2.7192000000000003</v>
      </c>
      <c r="H110" s="77">
        <f t="shared" si="1"/>
        <v>2.72</v>
      </c>
    </row>
    <row r="111" spans="1:8">
      <c r="A111" s="77" t="s">
        <v>2329</v>
      </c>
      <c r="B111" s="249">
        <v>2.34</v>
      </c>
      <c r="C111" s="248">
        <f>ROUND(B111*(1-'Disc Dep'!$C$112),2)</f>
        <v>1.73</v>
      </c>
      <c r="D111" s="248">
        <f>ROUND(C111*(1+'Adaos Distr'!$C$110),2)</f>
        <v>1.73</v>
      </c>
      <c r="E111" s="248">
        <f>ROUND(D111*(1+'Adaos RESELLER'!$C$110),2)</f>
        <v>1.73</v>
      </c>
      <c r="F111" s="248">
        <f>IF(Select!$E$23=1,C111,IF(Select!$E$23=2,D111,IF(Select!$E$23=3,E111)))</f>
        <v>1.73</v>
      </c>
      <c r="G111" s="77">
        <f t="shared" si="0"/>
        <v>2.4102000000000001</v>
      </c>
      <c r="H111" s="77">
        <f t="shared" si="1"/>
        <v>2.41</v>
      </c>
    </row>
    <row r="112" spans="1:8">
      <c r="A112" s="77" t="s">
        <v>2330</v>
      </c>
      <c r="B112" s="249">
        <v>2.11</v>
      </c>
      <c r="C112" s="248">
        <f>ROUND(B112*(1-'Disc Dep'!$C$112),2)</f>
        <v>1.56</v>
      </c>
      <c r="D112" s="248">
        <f>ROUND(C112*(1+'Adaos Distr'!$C$110),2)</f>
        <v>1.56</v>
      </c>
      <c r="E112" s="248">
        <f>ROUND(D112*(1+'Adaos RESELLER'!$C$110),2)</f>
        <v>1.56</v>
      </c>
      <c r="F112" s="248">
        <f>IF(Select!$E$23=1,C112,IF(Select!$E$23=2,D112,IF(Select!$E$23=3,E112)))</f>
        <v>1.56</v>
      </c>
      <c r="G112" s="77">
        <f t="shared" si="0"/>
        <v>2.1732999999999998</v>
      </c>
      <c r="H112" s="77">
        <f t="shared" si="1"/>
        <v>2.17</v>
      </c>
    </row>
    <row r="113" spans="1:8">
      <c r="A113" s="77" t="s">
        <v>2331</v>
      </c>
      <c r="B113" s="249">
        <v>2.98</v>
      </c>
      <c r="C113" s="248">
        <f>ROUND(B113*(1-'Disc Dep'!$C$112),2)</f>
        <v>2.21</v>
      </c>
      <c r="D113" s="248">
        <f>ROUND(C113*(1+'Adaos Distr'!$C$110),2)</f>
        <v>2.21</v>
      </c>
      <c r="E113" s="248">
        <f>ROUND(D113*(1+'Adaos RESELLER'!$C$110),2)</f>
        <v>2.21</v>
      </c>
      <c r="F113" s="248">
        <f>IF(Select!$E$23=1,C113,IF(Select!$E$23=2,D113,IF(Select!$E$23=3,E113)))</f>
        <v>2.21</v>
      </c>
      <c r="G113" s="77">
        <f t="shared" si="0"/>
        <v>3.0693999999999999</v>
      </c>
      <c r="H113" s="77">
        <f>B113</f>
        <v>2.98</v>
      </c>
    </row>
    <row r="114" spans="1:8">
      <c r="A114" s="77" t="s">
        <v>2332</v>
      </c>
      <c r="B114" s="249">
        <v>2.64</v>
      </c>
      <c r="C114" s="248">
        <f>ROUND(B114*(1-'Disc Dep'!$C$112),2)</f>
        <v>1.95</v>
      </c>
      <c r="D114" s="248">
        <f>ROUND(C114*(1+'Adaos Distr'!$C$110),2)</f>
        <v>1.95</v>
      </c>
      <c r="E114" s="248">
        <f>ROUND(D114*(1+'Adaos RESELLER'!$C$110),2)</f>
        <v>1.95</v>
      </c>
      <c r="F114" s="248">
        <f>IF(Select!$E$23=1,C114,IF(Select!$E$23=2,D114,IF(Select!$E$23=3,E114)))</f>
        <v>1.95</v>
      </c>
      <c r="G114" s="77">
        <f t="shared" si="0"/>
        <v>2.7192000000000003</v>
      </c>
      <c r="H114" s="77">
        <f t="shared" ref="H114:H115" si="6">B114</f>
        <v>2.64</v>
      </c>
    </row>
    <row r="115" spans="1:8">
      <c r="A115" s="77" t="s">
        <v>2333</v>
      </c>
      <c r="B115" s="249">
        <v>2.39</v>
      </c>
      <c r="C115" s="248">
        <f>ROUND(B115*(1-'Disc Dep'!$C$112),2)</f>
        <v>1.77</v>
      </c>
      <c r="D115" s="248">
        <f>ROUND(C115*(1+'Adaos Distr'!$C$110),2)</f>
        <v>1.77</v>
      </c>
      <c r="E115" s="248">
        <f>ROUND(D115*(1+'Adaos RESELLER'!$C$110),2)</f>
        <v>1.77</v>
      </c>
      <c r="F115" s="248">
        <f>IF(Select!$E$23=1,C115,IF(Select!$E$23=2,D115,IF(Select!$E$23=3,E115)))</f>
        <v>1.77</v>
      </c>
      <c r="G115" s="77">
        <f t="shared" si="0"/>
        <v>2.4617</v>
      </c>
      <c r="H115" s="77">
        <f t="shared" si="6"/>
        <v>2.39</v>
      </c>
    </row>
    <row r="116" spans="1:8">
      <c r="A116" s="77" t="s">
        <v>2334</v>
      </c>
      <c r="B116" s="249">
        <v>4.47</v>
      </c>
      <c r="C116" s="248">
        <f>ROUND(B116*(1-'Disc Dep'!$C$112),2)</f>
        <v>3.31</v>
      </c>
      <c r="D116" s="248">
        <f>ROUND(C116*(1+'Adaos Distr'!$C$110),2)</f>
        <v>3.31</v>
      </c>
      <c r="E116" s="248">
        <f>ROUND(D116*(1+'Adaos RESELLER'!$C$110),2)</f>
        <v>3.31</v>
      </c>
      <c r="F116" s="248">
        <f>IF(Select!$E$23=1,C116,IF(Select!$E$23=2,D116,IF(Select!$E$23=3,E116)))</f>
        <v>3.31</v>
      </c>
      <c r="G116" s="77">
        <f t="shared" si="0"/>
        <v>4.6040999999999999</v>
      </c>
      <c r="H116" s="77">
        <f t="shared" si="1"/>
        <v>4.5999999999999996</v>
      </c>
    </row>
    <row r="117" spans="1:8">
      <c r="A117" s="77" t="s">
        <v>2335</v>
      </c>
      <c r="B117" s="249">
        <v>3.96</v>
      </c>
      <c r="C117" s="248">
        <f>ROUND(B117*(1-'Disc Dep'!$C$112),2)</f>
        <v>2.93</v>
      </c>
      <c r="D117" s="248">
        <f>ROUND(C117*(1+'Adaos Distr'!$C$110),2)</f>
        <v>2.93</v>
      </c>
      <c r="E117" s="248">
        <f>ROUND(D117*(1+'Adaos RESELLER'!$C$110),2)</f>
        <v>2.93</v>
      </c>
      <c r="F117" s="248">
        <f>IF(Select!$E$23=1,C117,IF(Select!$E$23=2,D117,IF(Select!$E$23=3,E117)))</f>
        <v>2.93</v>
      </c>
      <c r="G117" s="77">
        <f t="shared" si="0"/>
        <v>4.0788000000000002</v>
      </c>
      <c r="H117" s="77">
        <f t="shared" si="1"/>
        <v>4.08</v>
      </c>
    </row>
    <row r="118" spans="1:8">
      <c r="A118" s="77" t="s">
        <v>2336</v>
      </c>
      <c r="B118" s="249">
        <v>3.57</v>
      </c>
      <c r="C118" s="248">
        <f>ROUND(B118*(1-'Disc Dep'!$C$112),2)</f>
        <v>2.64</v>
      </c>
      <c r="D118" s="248">
        <f>ROUND(C118*(1+'Adaos Distr'!$C$110),2)</f>
        <v>2.64</v>
      </c>
      <c r="E118" s="248">
        <f>ROUND(D118*(1+'Adaos RESELLER'!$C$110),2)</f>
        <v>2.64</v>
      </c>
      <c r="F118" s="248">
        <f>IF(Select!$E$23=1,C118,IF(Select!$E$23=2,D118,IF(Select!$E$23=3,E118)))</f>
        <v>2.64</v>
      </c>
      <c r="G118" s="77">
        <f t="shared" si="0"/>
        <v>3.6770999999999998</v>
      </c>
      <c r="H118" s="77">
        <f t="shared" si="1"/>
        <v>3.68</v>
      </c>
    </row>
    <row r="119" spans="1:8">
      <c r="A119" s="77" t="s">
        <v>2337</v>
      </c>
      <c r="B119" s="249">
        <v>2.9</v>
      </c>
      <c r="C119" s="248">
        <f>ROUND(B119*(1-'Disc Dep'!$C$112),2)</f>
        <v>2.15</v>
      </c>
      <c r="D119" s="248">
        <f>ROUND(C119*(1+'Adaos Distr'!$C$110),2)</f>
        <v>2.15</v>
      </c>
      <c r="E119" s="248">
        <f>ROUND(D119*(1+'Adaos RESELLER'!$C$110),2)</f>
        <v>2.15</v>
      </c>
      <c r="F119" s="248">
        <f>IF(Select!$E$23=1,C119,IF(Select!$E$23=2,D119,IF(Select!$E$23=3,E119)))</f>
        <v>2.15</v>
      </c>
      <c r="G119" s="77">
        <f t="shared" si="0"/>
        <v>2.9870000000000001</v>
      </c>
      <c r="H119" s="77">
        <f t="shared" si="1"/>
        <v>2.99</v>
      </c>
    </row>
    <row r="120" spans="1:8">
      <c r="A120" s="77" t="s">
        <v>2338</v>
      </c>
      <c r="B120" s="249">
        <v>2.58</v>
      </c>
      <c r="C120" s="248">
        <f>ROUND(B120*(1-'Disc Dep'!$C$112),2)</f>
        <v>1.91</v>
      </c>
      <c r="D120" s="248">
        <f>ROUND(C120*(1+'Adaos Distr'!$C$110),2)</f>
        <v>1.91</v>
      </c>
      <c r="E120" s="248">
        <f>ROUND(D120*(1+'Adaos RESELLER'!$C$110),2)</f>
        <v>1.91</v>
      </c>
      <c r="F120" s="248">
        <f>IF(Select!$E$23=1,C120,IF(Select!$E$23=2,D120,IF(Select!$E$23=3,E120)))</f>
        <v>1.91</v>
      </c>
      <c r="G120" s="77">
        <f t="shared" si="0"/>
        <v>2.6574</v>
      </c>
      <c r="H120" s="77">
        <f t="shared" si="1"/>
        <v>2.66</v>
      </c>
    </row>
    <row r="121" spans="1:8">
      <c r="A121" s="77" t="s">
        <v>2339</v>
      </c>
      <c r="B121" s="249">
        <v>2.33</v>
      </c>
      <c r="C121" s="248">
        <f>ROUND(B121*(1-'Disc Dep'!$C$112),2)</f>
        <v>1.72</v>
      </c>
      <c r="D121" s="248">
        <f>ROUND(C121*(1+'Adaos Distr'!$C$110),2)</f>
        <v>1.72</v>
      </c>
      <c r="E121" s="248">
        <f>ROUND(D121*(1+'Adaos RESELLER'!$C$110),2)</f>
        <v>1.72</v>
      </c>
      <c r="F121" s="248">
        <f>IF(Select!$E$23=1,C121,IF(Select!$E$23=2,D121,IF(Select!$E$23=3,E121)))</f>
        <v>1.72</v>
      </c>
      <c r="G121" s="77">
        <f t="shared" si="0"/>
        <v>2.3999000000000001</v>
      </c>
      <c r="H121" s="77">
        <f t="shared" si="1"/>
        <v>2.4</v>
      </c>
    </row>
    <row r="122" spans="1:8">
      <c r="A122" s="77" t="s">
        <v>2340</v>
      </c>
      <c r="B122" s="249">
        <v>3.61</v>
      </c>
      <c r="C122" s="248">
        <f>ROUND(B122*(1-'Disc Dep'!$C$112),2)</f>
        <v>2.67</v>
      </c>
      <c r="D122" s="248">
        <f>ROUND(C122*(1+'Adaos Distr'!$C$110),2)</f>
        <v>2.67</v>
      </c>
      <c r="E122" s="248">
        <f>ROUND(D122*(1+'Adaos RESELLER'!$C$110),2)</f>
        <v>2.67</v>
      </c>
      <c r="F122" s="248">
        <f>IF(Select!$E$23=1,C122,IF(Select!$E$23=2,D122,IF(Select!$E$23=3,E122)))</f>
        <v>2.67</v>
      </c>
      <c r="G122" s="77">
        <f t="shared" si="0"/>
        <v>3.7183000000000002</v>
      </c>
      <c r="H122" s="77">
        <f t="shared" si="1"/>
        <v>3.72</v>
      </c>
    </row>
    <row r="123" spans="1:8">
      <c r="A123" s="77" t="s">
        <v>2341</v>
      </c>
      <c r="B123" s="249">
        <v>3.19</v>
      </c>
      <c r="C123" s="248">
        <f>ROUND(B123*(1-'Disc Dep'!$C$112),2)</f>
        <v>2.36</v>
      </c>
      <c r="D123" s="248">
        <f>ROUND(C123*(1+'Adaos Distr'!$C$110),2)</f>
        <v>2.36</v>
      </c>
      <c r="E123" s="248">
        <f>ROUND(D123*(1+'Adaos RESELLER'!$C$110),2)</f>
        <v>2.36</v>
      </c>
      <c r="F123" s="248">
        <f>IF(Select!$E$23=1,C123,IF(Select!$E$23=2,D123,IF(Select!$E$23=3,E123)))</f>
        <v>2.36</v>
      </c>
      <c r="G123" s="77">
        <f t="shared" si="0"/>
        <v>3.2856999999999998</v>
      </c>
      <c r="H123" s="77">
        <f t="shared" si="1"/>
        <v>3.29</v>
      </c>
    </row>
    <row r="124" spans="1:8">
      <c r="A124" s="77" t="s">
        <v>2342</v>
      </c>
      <c r="B124" s="249">
        <v>2.89</v>
      </c>
      <c r="C124" s="248">
        <f>ROUND(B124*(1-'Disc Dep'!$C$112),2)</f>
        <v>2.14</v>
      </c>
      <c r="D124" s="248">
        <f>ROUND(C124*(1+'Adaos Distr'!$C$110),2)</f>
        <v>2.14</v>
      </c>
      <c r="E124" s="248">
        <f>ROUND(D124*(1+'Adaos RESELLER'!$C$110),2)</f>
        <v>2.14</v>
      </c>
      <c r="F124" s="248">
        <f>IF(Select!$E$23=1,C124,IF(Select!$E$23=2,D124,IF(Select!$E$23=3,E124)))</f>
        <v>2.14</v>
      </c>
      <c r="G124" s="77">
        <f t="shared" si="0"/>
        <v>2.9767000000000001</v>
      </c>
      <c r="H124" s="77">
        <f t="shared" si="1"/>
        <v>2.98</v>
      </c>
    </row>
    <row r="125" spans="1:8">
      <c r="A125" s="77" t="s">
        <v>2343</v>
      </c>
      <c r="B125" s="249">
        <v>3.84</v>
      </c>
      <c r="C125" s="248">
        <f>ROUND(B125*(1-'Disc Dep'!$C$112),2)</f>
        <v>2.84</v>
      </c>
      <c r="D125" s="248">
        <f>ROUND(C125*(1+'Adaos Distr'!$C$110),2)</f>
        <v>2.84</v>
      </c>
      <c r="E125" s="248">
        <f>ROUND(D125*(1+'Adaos RESELLER'!$C$110),2)</f>
        <v>2.84</v>
      </c>
      <c r="F125" s="248">
        <f>IF(Select!$E$23=1,C125,IF(Select!$E$23=2,D125,IF(Select!$E$23=3,E125)))</f>
        <v>2.84</v>
      </c>
      <c r="G125" s="77">
        <f t="shared" si="0"/>
        <v>3.9552</v>
      </c>
      <c r="H125" s="77">
        <f t="shared" si="1"/>
        <v>3.96</v>
      </c>
    </row>
    <row r="126" spans="1:8">
      <c r="A126" s="77" t="s">
        <v>2344</v>
      </c>
      <c r="B126" s="249">
        <v>3.4</v>
      </c>
      <c r="C126" s="248">
        <f>ROUND(B126*(1-'Disc Dep'!$C$112),2)</f>
        <v>2.52</v>
      </c>
      <c r="D126" s="248">
        <f>ROUND(C126*(1+'Adaos Distr'!$C$110),2)</f>
        <v>2.52</v>
      </c>
      <c r="E126" s="248">
        <f>ROUND(D126*(1+'Adaos RESELLER'!$C$110),2)</f>
        <v>2.52</v>
      </c>
      <c r="F126" s="248">
        <f>IF(Select!$E$23=1,C126,IF(Select!$E$23=2,D126,IF(Select!$E$23=3,E126)))</f>
        <v>2.52</v>
      </c>
      <c r="G126" s="77">
        <f t="shared" si="0"/>
        <v>3.5019999999999998</v>
      </c>
      <c r="H126" s="77">
        <f t="shared" si="1"/>
        <v>3.5</v>
      </c>
    </row>
    <row r="127" spans="1:8">
      <c r="A127" s="77" t="s">
        <v>2345</v>
      </c>
      <c r="B127" s="249">
        <v>3.08</v>
      </c>
      <c r="C127" s="248">
        <f>ROUND(B127*(1-'Disc Dep'!$C$112),2)</f>
        <v>2.2799999999999998</v>
      </c>
      <c r="D127" s="248">
        <f>ROUND(C127*(1+'Adaos Distr'!$C$110),2)</f>
        <v>2.2799999999999998</v>
      </c>
      <c r="E127" s="248">
        <f>ROUND(D127*(1+'Adaos RESELLER'!$C$110),2)</f>
        <v>2.2799999999999998</v>
      </c>
      <c r="F127" s="248">
        <f>IF(Select!$E$23=1,C127,IF(Select!$E$23=2,D127,IF(Select!$E$23=3,E127)))</f>
        <v>2.2799999999999998</v>
      </c>
      <c r="G127" s="77">
        <f t="shared" si="0"/>
        <v>3.1724000000000001</v>
      </c>
      <c r="H127" s="77">
        <f t="shared" si="1"/>
        <v>3.17</v>
      </c>
    </row>
    <row r="128" spans="1:8" s="77" customFormat="1">
      <c r="A128" s="77" t="s">
        <v>3197</v>
      </c>
      <c r="B128" s="249">
        <v>2.9</v>
      </c>
      <c r="C128" s="248">
        <f>ROUND(B128*(1-'Disc Dep'!$C$112),2)</f>
        <v>2.15</v>
      </c>
      <c r="D128" s="248">
        <f>ROUND(C128*(1+'Adaos Distr'!$C$110),2)</f>
        <v>2.15</v>
      </c>
      <c r="E128" s="248">
        <f>ROUND(D128*(1+'Adaos RESELLER'!$C$110),2)</f>
        <v>2.15</v>
      </c>
      <c r="F128" s="248">
        <f>IF(Select!$E$23=1,C128,IF(Select!$E$23=2,D128,IF(Select!$E$23=3,E128)))</f>
        <v>2.15</v>
      </c>
      <c r="G128" s="77">
        <f t="shared" ref="G128:G130" si="7">B128*1.03</f>
        <v>2.9870000000000001</v>
      </c>
      <c r="H128" s="77">
        <f t="shared" ref="H128:H130" si="8">ROUND(G128,2)</f>
        <v>2.99</v>
      </c>
    </row>
    <row r="129" spans="1:8" s="77" customFormat="1">
      <c r="A129" s="77" t="s">
        <v>3198</v>
      </c>
      <c r="B129" s="249">
        <v>2.56</v>
      </c>
      <c r="C129" s="248">
        <f>ROUND(B129*(1-'Disc Dep'!$C$112),2)</f>
        <v>1.89</v>
      </c>
      <c r="D129" s="248">
        <f>ROUND(C129*(1+'Adaos Distr'!$C$110),2)</f>
        <v>1.89</v>
      </c>
      <c r="E129" s="248">
        <f>ROUND(D129*(1+'Adaos RESELLER'!$C$110),2)</f>
        <v>1.89</v>
      </c>
      <c r="F129" s="248">
        <f>IF(Select!$E$23=1,C129,IF(Select!$E$23=2,D129,IF(Select!$E$23=3,E129)))</f>
        <v>1.89</v>
      </c>
      <c r="G129" s="77">
        <f t="shared" si="7"/>
        <v>2.6368</v>
      </c>
      <c r="H129" s="77">
        <f t="shared" si="8"/>
        <v>2.64</v>
      </c>
    </row>
    <row r="130" spans="1:8" s="77" customFormat="1">
      <c r="A130" s="77" t="s">
        <v>3199</v>
      </c>
      <c r="B130" s="249">
        <v>2.3199999999999998</v>
      </c>
      <c r="C130" s="248">
        <f>ROUND(B130*(1-'Disc Dep'!$C$112),2)</f>
        <v>1.72</v>
      </c>
      <c r="D130" s="248">
        <f>ROUND(C130*(1+'Adaos Distr'!$C$110),2)</f>
        <v>1.72</v>
      </c>
      <c r="E130" s="248">
        <f>ROUND(D130*(1+'Adaos RESELLER'!$C$110),2)</f>
        <v>1.72</v>
      </c>
      <c r="F130" s="248">
        <f>IF(Select!$E$23=1,C130,IF(Select!$E$23=2,D130,IF(Select!$E$23=3,E130)))</f>
        <v>1.72</v>
      </c>
      <c r="G130" s="77">
        <f t="shared" si="7"/>
        <v>2.3895999999999997</v>
      </c>
      <c r="H130" s="77">
        <f t="shared" si="8"/>
        <v>2.39</v>
      </c>
    </row>
    <row r="131" spans="1:8" s="77" customFormat="1">
      <c r="B131" s="249"/>
      <c r="C131" s="248">
        <f>ROUND(B131*(1-'Disc Dep'!$C$112),2)</f>
        <v>0</v>
      </c>
      <c r="D131" s="248">
        <f>ROUND(C131*(1+'Adaos Distr'!$C$110),2)</f>
        <v>0</v>
      </c>
      <c r="E131" s="248">
        <f>ROUND(D131*(1+'Adaos RESELLER'!$C$110),2)</f>
        <v>0</v>
      </c>
      <c r="F131" s="248">
        <f>IF(Select!$E$23=1,C131,IF(Select!$E$23=2,D131,IF(Select!$E$23=3,E131)))</f>
        <v>0</v>
      </c>
    </row>
    <row r="132" spans="1:8" s="77" customFormat="1">
      <c r="A132" s="77" t="s">
        <v>2304</v>
      </c>
      <c r="B132" s="249">
        <f>B106</f>
        <v>2.56</v>
      </c>
      <c r="C132" s="248">
        <f>ROUND(B132*(1-'Disc Dep'!$C$112),2)</f>
        <v>1.89</v>
      </c>
      <c r="D132" s="248">
        <f>ROUND(C132*(1+'Adaos Distr'!$C$110),2)</f>
        <v>1.89</v>
      </c>
      <c r="E132" s="248">
        <f>ROUND(D132*(1+'Adaos RESELLER'!$C$110),2)</f>
        <v>1.89</v>
      </c>
      <c r="F132" s="248">
        <f>IF(Select!$E$23=1,C132,IF(Select!$E$23=2,D132,IF(Select!$E$23=3,E132)))</f>
        <v>1.89</v>
      </c>
    </row>
    <row r="133" spans="1:8" s="77" customFormat="1">
      <c r="A133" s="77" t="s">
        <v>2305</v>
      </c>
      <c r="B133" s="249">
        <f t="shared" ref="B133:B153" si="9">B107</f>
        <v>2.27</v>
      </c>
      <c r="C133" s="248">
        <f>ROUND(B133*(1-'Disc Dep'!$C$112),2)</f>
        <v>1.68</v>
      </c>
      <c r="D133" s="248">
        <f>ROUND(C133*(1+'Adaos Distr'!$C$110),2)</f>
        <v>1.68</v>
      </c>
      <c r="E133" s="248">
        <f>ROUND(D133*(1+'Adaos RESELLER'!$C$110),2)</f>
        <v>1.68</v>
      </c>
      <c r="F133" s="248">
        <f>IF(Select!$E$23=1,C133,IF(Select!$E$23=2,D133,IF(Select!$E$23=3,E133)))</f>
        <v>1.68</v>
      </c>
    </row>
    <row r="134" spans="1:8" s="77" customFormat="1">
      <c r="A134" s="77" t="s">
        <v>2306</v>
      </c>
      <c r="B134" s="249">
        <f t="shared" si="9"/>
        <v>2.0499999999999998</v>
      </c>
      <c r="C134" s="248">
        <f>ROUND(B134*(1-'Disc Dep'!$C$112),2)</f>
        <v>1.52</v>
      </c>
      <c r="D134" s="248">
        <f>ROUND(C134*(1+'Adaos Distr'!$C$110),2)</f>
        <v>1.52</v>
      </c>
      <c r="E134" s="248">
        <f>ROUND(D134*(1+'Adaos RESELLER'!$C$110),2)</f>
        <v>1.52</v>
      </c>
      <c r="F134" s="248">
        <f>IF(Select!$E$23=1,C134,IF(Select!$E$23=2,D134,IF(Select!$E$23=3,E134)))</f>
        <v>1.52</v>
      </c>
    </row>
    <row r="135" spans="1:8" s="77" customFormat="1">
      <c r="A135" s="77" t="s">
        <v>1791</v>
      </c>
      <c r="B135" s="249">
        <f t="shared" si="9"/>
        <v>18.07</v>
      </c>
      <c r="C135" s="248">
        <f>ROUND(B135*(1-'Disc Dep'!$C$112),2)</f>
        <v>13.37</v>
      </c>
      <c r="D135" s="248">
        <f>ROUND(C135*(1+'Adaos Distr'!$C$110),2)</f>
        <v>13.37</v>
      </c>
      <c r="E135" s="248">
        <f>ROUND(D135*(1+'Adaos RESELLER'!$C$110),2)</f>
        <v>13.37</v>
      </c>
      <c r="F135" s="248">
        <f>IF(Select!$E$23=1,C135,IF(Select!$E$23=2,D135,IF(Select!$E$23=3,E135)))</f>
        <v>13.37</v>
      </c>
    </row>
    <row r="136" spans="1:8" s="77" customFormat="1">
      <c r="A136" s="77" t="s">
        <v>2307</v>
      </c>
      <c r="B136" s="249">
        <f t="shared" si="9"/>
        <v>2.64</v>
      </c>
      <c r="C136" s="248">
        <f>ROUND(B136*(1-'Disc Dep'!$C$112),2)</f>
        <v>1.95</v>
      </c>
      <c r="D136" s="248">
        <f>ROUND(C136*(1+'Adaos Distr'!$C$110),2)</f>
        <v>1.95</v>
      </c>
      <c r="E136" s="248">
        <f>ROUND(D136*(1+'Adaos RESELLER'!$C$110),2)</f>
        <v>1.95</v>
      </c>
      <c r="F136" s="248">
        <f>IF(Select!$E$23=1,C136,IF(Select!$E$23=2,D136,IF(Select!$E$23=3,E136)))</f>
        <v>1.95</v>
      </c>
    </row>
    <row r="137" spans="1:8" s="77" customFormat="1">
      <c r="A137" s="77" t="s">
        <v>2308</v>
      </c>
      <c r="B137" s="249">
        <f t="shared" si="9"/>
        <v>2.34</v>
      </c>
      <c r="C137" s="248">
        <f>ROUND(B137*(1-'Disc Dep'!$C$112),2)</f>
        <v>1.73</v>
      </c>
      <c r="D137" s="248">
        <f>ROUND(C137*(1+'Adaos Distr'!$C$110),2)</f>
        <v>1.73</v>
      </c>
      <c r="E137" s="248">
        <f>ROUND(D137*(1+'Adaos RESELLER'!$C$110),2)</f>
        <v>1.73</v>
      </c>
      <c r="F137" s="248">
        <f>IF(Select!$E$23=1,C137,IF(Select!$E$23=2,D137,IF(Select!$E$23=3,E137)))</f>
        <v>1.73</v>
      </c>
    </row>
    <row r="138" spans="1:8" s="77" customFormat="1">
      <c r="A138" s="77" t="s">
        <v>2309</v>
      </c>
      <c r="B138" s="249">
        <f t="shared" si="9"/>
        <v>2.11</v>
      </c>
      <c r="C138" s="248">
        <f>ROUND(B138*(1-'Disc Dep'!$C$112),2)</f>
        <v>1.56</v>
      </c>
      <c r="D138" s="248">
        <f>ROUND(C138*(1+'Adaos Distr'!$C$110),2)</f>
        <v>1.56</v>
      </c>
      <c r="E138" s="248">
        <f>ROUND(D138*(1+'Adaos RESELLER'!$C$110),2)</f>
        <v>1.56</v>
      </c>
      <c r="F138" s="248">
        <f>IF(Select!$E$23=1,C138,IF(Select!$E$23=2,D138,IF(Select!$E$23=3,E138)))</f>
        <v>1.56</v>
      </c>
    </row>
    <row r="139" spans="1:8" s="77" customFormat="1">
      <c r="A139" s="77" t="s">
        <v>2310</v>
      </c>
      <c r="B139" s="249">
        <f t="shared" si="9"/>
        <v>2.98</v>
      </c>
      <c r="C139" s="248">
        <f>ROUND(B139*(1-'Disc Dep'!$C$112),2)</f>
        <v>2.21</v>
      </c>
      <c r="D139" s="248">
        <f>ROUND(C139*(1+'Adaos Distr'!$C$110),2)</f>
        <v>2.21</v>
      </c>
      <c r="E139" s="248">
        <f>ROUND(D139*(1+'Adaos RESELLER'!$C$110),2)</f>
        <v>2.21</v>
      </c>
      <c r="F139" s="248">
        <f>IF(Select!$E$23=1,C139,IF(Select!$E$23=2,D139,IF(Select!$E$23=3,E139)))</f>
        <v>2.21</v>
      </c>
    </row>
    <row r="140" spans="1:8" s="77" customFormat="1">
      <c r="A140" s="77" t="s">
        <v>2311</v>
      </c>
      <c r="B140" s="249">
        <f t="shared" si="9"/>
        <v>2.64</v>
      </c>
      <c r="C140" s="248">
        <f>ROUND(B140*(1-'Disc Dep'!$C$112),2)</f>
        <v>1.95</v>
      </c>
      <c r="D140" s="248">
        <f>ROUND(C140*(1+'Adaos Distr'!$C$110),2)</f>
        <v>1.95</v>
      </c>
      <c r="E140" s="248">
        <f>ROUND(D140*(1+'Adaos RESELLER'!$C$110),2)</f>
        <v>1.95</v>
      </c>
      <c r="F140" s="248">
        <f>IF(Select!$E$23=1,C140,IF(Select!$E$23=2,D140,IF(Select!$E$23=3,E140)))</f>
        <v>1.95</v>
      </c>
    </row>
    <row r="141" spans="1:8" s="77" customFormat="1">
      <c r="A141" s="77" t="s">
        <v>2312</v>
      </c>
      <c r="B141" s="249">
        <f t="shared" si="9"/>
        <v>2.39</v>
      </c>
      <c r="C141" s="248">
        <f>ROUND(B141*(1-'Disc Dep'!$C$112),2)</f>
        <v>1.77</v>
      </c>
      <c r="D141" s="248">
        <f>ROUND(C141*(1+'Adaos Distr'!$C$110),2)</f>
        <v>1.77</v>
      </c>
      <c r="E141" s="248">
        <f>ROUND(D141*(1+'Adaos RESELLER'!$C$110),2)</f>
        <v>1.77</v>
      </c>
      <c r="F141" s="248">
        <f>IF(Select!$E$23=1,C141,IF(Select!$E$23=2,D141,IF(Select!$E$23=3,E141)))</f>
        <v>1.77</v>
      </c>
    </row>
    <row r="142" spans="1:8" s="77" customFormat="1">
      <c r="A142" s="77" t="s">
        <v>2313</v>
      </c>
      <c r="B142" s="249">
        <f t="shared" si="9"/>
        <v>4.47</v>
      </c>
      <c r="C142" s="248">
        <f>ROUND(B142*(1-'Disc Dep'!$C$112),2)</f>
        <v>3.31</v>
      </c>
      <c r="D142" s="248">
        <f>ROUND(C142*(1+'Adaos Distr'!$C$110),2)</f>
        <v>3.31</v>
      </c>
      <c r="E142" s="248">
        <f>ROUND(D142*(1+'Adaos RESELLER'!$C$110),2)</f>
        <v>3.31</v>
      </c>
      <c r="F142" s="248">
        <f>IF(Select!$E$23=1,C142,IF(Select!$E$23=2,D142,IF(Select!$E$23=3,E142)))</f>
        <v>3.31</v>
      </c>
    </row>
    <row r="143" spans="1:8" s="77" customFormat="1">
      <c r="A143" s="77" t="s">
        <v>2314</v>
      </c>
      <c r="B143" s="249">
        <f t="shared" si="9"/>
        <v>3.96</v>
      </c>
      <c r="C143" s="248">
        <f>ROUND(B143*(1-'Disc Dep'!$C$112),2)</f>
        <v>2.93</v>
      </c>
      <c r="D143" s="248">
        <f>ROUND(C143*(1+'Adaos Distr'!$C$110),2)</f>
        <v>2.93</v>
      </c>
      <c r="E143" s="248">
        <f>ROUND(D143*(1+'Adaos RESELLER'!$C$110),2)</f>
        <v>2.93</v>
      </c>
      <c r="F143" s="248">
        <f>IF(Select!$E$23=1,C143,IF(Select!$E$23=2,D143,IF(Select!$E$23=3,E143)))</f>
        <v>2.93</v>
      </c>
    </row>
    <row r="144" spans="1:8" s="77" customFormat="1">
      <c r="A144" s="77" t="s">
        <v>2315</v>
      </c>
      <c r="B144" s="249">
        <f t="shared" si="9"/>
        <v>3.57</v>
      </c>
      <c r="C144" s="248">
        <f>ROUND(B144*(1-'Disc Dep'!$C$112),2)</f>
        <v>2.64</v>
      </c>
      <c r="D144" s="248">
        <f>ROUND(C144*(1+'Adaos Distr'!$C$110),2)</f>
        <v>2.64</v>
      </c>
      <c r="E144" s="248">
        <f>ROUND(D144*(1+'Adaos RESELLER'!$C$110),2)</f>
        <v>2.64</v>
      </c>
      <c r="F144" s="248">
        <f>IF(Select!$E$23=1,C144,IF(Select!$E$23=2,D144,IF(Select!$E$23=3,E144)))</f>
        <v>2.64</v>
      </c>
    </row>
    <row r="145" spans="1:6" s="77" customFormat="1">
      <c r="A145" s="77" t="s">
        <v>2316</v>
      </c>
      <c r="B145" s="249">
        <f t="shared" si="9"/>
        <v>2.9</v>
      </c>
      <c r="C145" s="248">
        <f>ROUND(B145*(1-'Disc Dep'!$C$112),2)</f>
        <v>2.15</v>
      </c>
      <c r="D145" s="248">
        <f>ROUND(C145*(1+'Adaos Distr'!$C$110),2)</f>
        <v>2.15</v>
      </c>
      <c r="E145" s="248">
        <f>ROUND(D145*(1+'Adaos RESELLER'!$C$110),2)</f>
        <v>2.15</v>
      </c>
      <c r="F145" s="248">
        <f>IF(Select!$E$23=1,C145,IF(Select!$E$23=2,D145,IF(Select!$E$23=3,E145)))</f>
        <v>2.15</v>
      </c>
    </row>
    <row r="146" spans="1:6" s="77" customFormat="1">
      <c r="A146" s="77" t="s">
        <v>2317</v>
      </c>
      <c r="B146" s="249">
        <f t="shared" si="9"/>
        <v>2.58</v>
      </c>
      <c r="C146" s="248">
        <f>ROUND(B146*(1-'Disc Dep'!$C$112),2)</f>
        <v>1.91</v>
      </c>
      <c r="D146" s="248">
        <f>ROUND(C146*(1+'Adaos Distr'!$C$110),2)</f>
        <v>1.91</v>
      </c>
      <c r="E146" s="248">
        <f>ROUND(D146*(1+'Adaos RESELLER'!$C$110),2)</f>
        <v>1.91</v>
      </c>
      <c r="F146" s="248">
        <f>IF(Select!$E$23=1,C146,IF(Select!$E$23=2,D146,IF(Select!$E$23=3,E146)))</f>
        <v>1.91</v>
      </c>
    </row>
    <row r="147" spans="1:6" s="77" customFormat="1">
      <c r="A147" s="77" t="s">
        <v>2318</v>
      </c>
      <c r="B147" s="249">
        <f t="shared" si="9"/>
        <v>2.33</v>
      </c>
      <c r="C147" s="248">
        <f>ROUND(B147*(1-'Disc Dep'!$C$112),2)</f>
        <v>1.72</v>
      </c>
      <c r="D147" s="248">
        <f>ROUND(C147*(1+'Adaos Distr'!$C$110),2)</f>
        <v>1.72</v>
      </c>
      <c r="E147" s="248">
        <f>ROUND(D147*(1+'Adaos RESELLER'!$C$110),2)</f>
        <v>1.72</v>
      </c>
      <c r="F147" s="248">
        <f>IF(Select!$E$23=1,C147,IF(Select!$E$23=2,D147,IF(Select!$E$23=3,E147)))</f>
        <v>1.72</v>
      </c>
    </row>
    <row r="148" spans="1:6" s="77" customFormat="1">
      <c r="A148" s="77" t="s">
        <v>2319</v>
      </c>
      <c r="B148" s="249">
        <f t="shared" si="9"/>
        <v>3.61</v>
      </c>
      <c r="C148" s="248">
        <f>ROUND(B148*(1-'Disc Dep'!$C$112),2)</f>
        <v>2.67</v>
      </c>
      <c r="D148" s="248">
        <f>ROUND(C148*(1+'Adaos Distr'!$C$110),2)</f>
        <v>2.67</v>
      </c>
      <c r="E148" s="248">
        <f>ROUND(D148*(1+'Adaos RESELLER'!$C$110),2)</f>
        <v>2.67</v>
      </c>
      <c r="F148" s="248">
        <f>IF(Select!$E$23=1,C148,IF(Select!$E$23=2,D148,IF(Select!$E$23=3,E148)))</f>
        <v>2.67</v>
      </c>
    </row>
    <row r="149" spans="1:6" s="77" customFormat="1">
      <c r="A149" s="77" t="s">
        <v>2320</v>
      </c>
      <c r="B149" s="249">
        <f t="shared" si="9"/>
        <v>3.19</v>
      </c>
      <c r="C149" s="248">
        <f>ROUND(B149*(1-'Disc Dep'!$C$112),2)</f>
        <v>2.36</v>
      </c>
      <c r="D149" s="248">
        <f>ROUND(C149*(1+'Adaos Distr'!$C$110),2)</f>
        <v>2.36</v>
      </c>
      <c r="E149" s="248">
        <f>ROUND(D149*(1+'Adaos RESELLER'!$C$110),2)</f>
        <v>2.36</v>
      </c>
      <c r="F149" s="248">
        <f>IF(Select!$E$23=1,C149,IF(Select!$E$23=2,D149,IF(Select!$E$23=3,E149)))</f>
        <v>2.36</v>
      </c>
    </row>
    <row r="150" spans="1:6" s="77" customFormat="1">
      <c r="A150" s="77" t="s">
        <v>2321</v>
      </c>
      <c r="B150" s="249">
        <f t="shared" si="9"/>
        <v>2.89</v>
      </c>
      <c r="C150" s="248">
        <f>ROUND(B150*(1-'Disc Dep'!$C$112),2)</f>
        <v>2.14</v>
      </c>
      <c r="D150" s="248">
        <f>ROUND(C150*(1+'Adaos Distr'!$C$110),2)</f>
        <v>2.14</v>
      </c>
      <c r="E150" s="248">
        <f>ROUND(D150*(1+'Adaos RESELLER'!$C$110),2)</f>
        <v>2.14</v>
      </c>
      <c r="F150" s="248">
        <f>IF(Select!$E$23=1,C150,IF(Select!$E$23=2,D150,IF(Select!$E$23=3,E150)))</f>
        <v>2.14</v>
      </c>
    </row>
    <row r="151" spans="1:6" s="77" customFormat="1">
      <c r="A151" s="77" t="s">
        <v>2322</v>
      </c>
      <c r="B151" s="249">
        <f t="shared" si="9"/>
        <v>3.84</v>
      </c>
      <c r="C151" s="248">
        <f>ROUND(B151*(1-'Disc Dep'!$C$112),2)</f>
        <v>2.84</v>
      </c>
      <c r="D151" s="248">
        <f>ROUND(C151*(1+'Adaos Distr'!$C$110),2)</f>
        <v>2.84</v>
      </c>
      <c r="E151" s="248">
        <f>ROUND(D151*(1+'Adaos RESELLER'!$C$110),2)</f>
        <v>2.84</v>
      </c>
      <c r="F151" s="248">
        <f>IF(Select!$E$23=1,C151,IF(Select!$E$23=2,D151,IF(Select!$E$23=3,E151)))</f>
        <v>2.84</v>
      </c>
    </row>
    <row r="152" spans="1:6" s="77" customFormat="1">
      <c r="A152" s="77" t="s">
        <v>2323</v>
      </c>
      <c r="B152" s="249">
        <f t="shared" si="9"/>
        <v>3.4</v>
      </c>
      <c r="C152" s="248">
        <f>ROUND(B152*(1-'Disc Dep'!$C$112),2)</f>
        <v>2.52</v>
      </c>
      <c r="D152" s="248">
        <f>ROUND(C152*(1+'Adaos Distr'!$C$110),2)</f>
        <v>2.52</v>
      </c>
      <c r="E152" s="248">
        <f>ROUND(D152*(1+'Adaos RESELLER'!$C$110),2)</f>
        <v>2.52</v>
      </c>
      <c r="F152" s="248">
        <f>IF(Select!$E$23=1,C152,IF(Select!$E$23=2,D152,IF(Select!$E$23=3,E152)))</f>
        <v>2.52</v>
      </c>
    </row>
    <row r="153" spans="1:6" s="77" customFormat="1">
      <c r="A153" s="77" t="s">
        <v>2324</v>
      </c>
      <c r="B153" s="249">
        <f t="shared" si="9"/>
        <v>3.08</v>
      </c>
      <c r="C153" s="248">
        <f>ROUND(B153*(1-'Disc Dep'!$C$112),2)</f>
        <v>2.2799999999999998</v>
      </c>
      <c r="D153" s="248">
        <f>ROUND(C153*(1+'Adaos Distr'!$C$110),2)</f>
        <v>2.2799999999999998</v>
      </c>
      <c r="E153" s="248">
        <f>ROUND(D153*(1+'Adaos RESELLER'!$C$110),2)</f>
        <v>2.2799999999999998</v>
      </c>
      <c r="F153" s="248">
        <f>IF(Select!$E$23=1,C153,IF(Select!$E$23=2,D153,IF(Select!$E$23=3,E153)))</f>
        <v>2.2799999999999998</v>
      </c>
    </row>
    <row r="154" spans="1:6" s="77" customFormat="1">
      <c r="A154" s="77" t="s">
        <v>3200</v>
      </c>
      <c r="B154" s="249">
        <v>2.9</v>
      </c>
      <c r="C154" s="248">
        <f>ROUND(B154*(1-'Disc Dep'!$C$112),2)</f>
        <v>2.15</v>
      </c>
      <c r="D154" s="248">
        <f>ROUND(C154*(1+'Adaos Distr'!$C$110),2)</f>
        <v>2.15</v>
      </c>
      <c r="E154" s="248">
        <f>ROUND(D154*(1+'Adaos RESELLER'!$C$110),2)</f>
        <v>2.15</v>
      </c>
      <c r="F154" s="248">
        <f>IF(Select!$E$23=1,C154,IF(Select!$E$23=2,D154,IF(Select!$E$23=3,E154)))</f>
        <v>2.15</v>
      </c>
    </row>
    <row r="155" spans="1:6" s="77" customFormat="1">
      <c r="A155" s="77" t="s">
        <v>3201</v>
      </c>
      <c r="B155" s="249">
        <v>2.56</v>
      </c>
      <c r="C155" s="248">
        <f>ROUND(B155*(1-'Disc Dep'!$C$112),2)</f>
        <v>1.89</v>
      </c>
      <c r="D155" s="248">
        <f>ROUND(C155*(1+'Adaos Distr'!$C$110),2)</f>
        <v>1.89</v>
      </c>
      <c r="E155" s="248">
        <f>ROUND(D155*(1+'Adaos RESELLER'!$C$110),2)</f>
        <v>1.89</v>
      </c>
      <c r="F155" s="248">
        <f>IF(Select!$E$23=1,C155,IF(Select!$E$23=2,D155,IF(Select!$E$23=3,E155)))</f>
        <v>1.89</v>
      </c>
    </row>
    <row r="156" spans="1:6" s="77" customFormat="1">
      <c r="A156" s="77" t="s">
        <v>3202</v>
      </c>
      <c r="B156" s="249">
        <v>2.3199999999999998</v>
      </c>
      <c r="C156" s="248">
        <f>ROUND(B156*(1-'Disc Dep'!$C$112),2)</f>
        <v>1.72</v>
      </c>
      <c r="D156" s="248">
        <f>ROUND(C156*(1+'Adaos Distr'!$C$110),2)</f>
        <v>1.72</v>
      </c>
      <c r="E156" s="248">
        <f>ROUND(D156*(1+'Adaos RESELLER'!$C$110),2)</f>
        <v>1.72</v>
      </c>
      <c r="F156" s="248">
        <f>IF(Select!$E$23=1,C156,IF(Select!$E$23=2,D156,IF(Select!$E$23=3,E156)))</f>
        <v>1.72</v>
      </c>
    </row>
    <row r="157" spans="1:6" s="77" customFormat="1">
      <c r="B157" s="249"/>
      <c r="C157" s="248">
        <f>ROUND(B157*(1-'Disc Dep'!$C$112),2)</f>
        <v>0</v>
      </c>
      <c r="D157" s="248">
        <f>ROUND(C157*(1+'Adaos Distr'!$C$110),2)</f>
        <v>0</v>
      </c>
      <c r="E157" s="248">
        <f>ROUND(D157*(1+'Adaos RESELLER'!$C$110),2)</f>
        <v>0</v>
      </c>
      <c r="F157" s="248">
        <f>IF(Select!$E$23=1,C157,IF(Select!$E$23=2,D157,IF(Select!$E$23=3,E157)))</f>
        <v>0</v>
      </c>
    </row>
    <row r="158" spans="1:6" s="77" customFormat="1">
      <c r="A158" s="77" t="s">
        <v>2356</v>
      </c>
      <c r="B158" s="249">
        <v>3.51</v>
      </c>
      <c r="C158" s="248">
        <f>ROUND(B158*(1-'Disc Dep'!$C$112),2)</f>
        <v>2.6</v>
      </c>
      <c r="D158" s="248">
        <f>ROUND(C158*(1+'Adaos Distr'!$C$110),2)</f>
        <v>2.6</v>
      </c>
      <c r="E158" s="248">
        <f>ROUND(D158*(1+'Adaos RESELLER'!$C$110),2)</f>
        <v>2.6</v>
      </c>
      <c r="F158" s="248">
        <f>IF(Select!$E$23=1,C158,IF(Select!$E$23=2,D158,IF(Select!$E$23=3,E158)))</f>
        <v>2.6</v>
      </c>
    </row>
    <row r="159" spans="1:6" s="77" customFormat="1">
      <c r="A159" s="77" t="s">
        <v>2357</v>
      </c>
      <c r="B159" s="249">
        <v>3.93</v>
      </c>
      <c r="C159" s="248">
        <f>ROUND(B159*(1-'Disc Dep'!$C$112),2)</f>
        <v>2.91</v>
      </c>
      <c r="D159" s="248">
        <f>ROUND(C159*(1+'Adaos Distr'!$C$110),2)</f>
        <v>2.91</v>
      </c>
      <c r="E159" s="248">
        <f>ROUND(D159*(1+'Adaos RESELLER'!$C$110),2)</f>
        <v>2.91</v>
      </c>
      <c r="F159" s="248">
        <f>IF(Select!$E$23=1,C159,IF(Select!$E$23=2,D159,IF(Select!$E$23=3,E159)))</f>
        <v>2.91</v>
      </c>
    </row>
    <row r="160" spans="1:6" s="77" customFormat="1">
      <c r="A160" s="77" t="s">
        <v>2358</v>
      </c>
      <c r="B160" s="249">
        <f t="shared" ref="B160:B179" si="10">B134</f>
        <v>2.0499999999999998</v>
      </c>
      <c r="C160" s="248">
        <f>ROUND(B160*(1-'Disc Dep'!$C$112),2)</f>
        <v>1.52</v>
      </c>
      <c r="D160" s="248">
        <f>ROUND(C160*(1+'Adaos Distr'!$C$110),2)</f>
        <v>1.52</v>
      </c>
      <c r="E160" s="248">
        <f>ROUND(D160*(1+'Adaos RESELLER'!$C$110),2)</f>
        <v>1.52</v>
      </c>
      <c r="F160" s="248">
        <f>IF(Select!$E$23=1,C160,IF(Select!$E$23=2,D160,IF(Select!$E$23=3,E160)))</f>
        <v>1.52</v>
      </c>
    </row>
    <row r="161" spans="1:6" s="77" customFormat="1">
      <c r="A161" s="77" t="s">
        <v>1791</v>
      </c>
      <c r="B161" s="249">
        <f t="shared" si="10"/>
        <v>18.07</v>
      </c>
      <c r="C161" s="248">
        <f>ROUND(B161*(1-'Disc Dep'!$C$112),2)</f>
        <v>13.37</v>
      </c>
      <c r="D161" s="248">
        <f>ROUND(C161*(1+'Adaos Distr'!$C$110),2)</f>
        <v>13.37</v>
      </c>
      <c r="E161" s="248">
        <f>ROUND(D161*(1+'Adaos RESELLER'!$C$110),2)</f>
        <v>13.37</v>
      </c>
      <c r="F161" s="248">
        <f>IF(Select!$E$23=1,C161,IF(Select!$E$23=2,D161,IF(Select!$E$23=3,E161)))</f>
        <v>13.37</v>
      </c>
    </row>
    <row r="162" spans="1:6" s="77" customFormat="1">
      <c r="A162" s="77" t="s">
        <v>2359</v>
      </c>
      <c r="B162" s="249">
        <v>3.62</v>
      </c>
      <c r="C162" s="248">
        <f>ROUND(B162*(1-'Disc Dep'!$C$112),2)</f>
        <v>2.68</v>
      </c>
      <c r="D162" s="248">
        <f>ROUND(C162*(1+'Adaos Distr'!$C$110),2)</f>
        <v>2.68</v>
      </c>
      <c r="E162" s="248">
        <f>ROUND(D162*(1+'Adaos RESELLER'!$C$110),2)</f>
        <v>2.68</v>
      </c>
      <c r="F162" s="248">
        <f>IF(Select!$E$23=1,C162,IF(Select!$E$23=2,D162,IF(Select!$E$23=3,E162)))</f>
        <v>2.68</v>
      </c>
    </row>
    <row r="163" spans="1:6" s="77" customFormat="1">
      <c r="A163" s="77" t="s">
        <v>2360</v>
      </c>
      <c r="B163" s="249">
        <v>4.05</v>
      </c>
      <c r="C163" s="248">
        <f>ROUND(B163*(1-'Disc Dep'!$C$112),2)</f>
        <v>3</v>
      </c>
      <c r="D163" s="248">
        <f>ROUND(C163*(1+'Adaos Distr'!$C$110),2)</f>
        <v>3</v>
      </c>
      <c r="E163" s="248">
        <f>ROUND(D163*(1+'Adaos RESELLER'!$C$110),2)</f>
        <v>3</v>
      </c>
      <c r="F163" s="248">
        <f>IF(Select!$E$23=1,C163,IF(Select!$E$23=2,D163,IF(Select!$E$23=3,E163)))</f>
        <v>3</v>
      </c>
    </row>
    <row r="164" spans="1:6" s="77" customFormat="1">
      <c r="A164" s="77" t="s">
        <v>2361</v>
      </c>
      <c r="B164" s="249">
        <v>2.12</v>
      </c>
      <c r="C164" s="248">
        <f>ROUND(B164*(1-'Disc Dep'!$C$112),2)</f>
        <v>1.57</v>
      </c>
      <c r="D164" s="248">
        <f>ROUND(C164*(1+'Adaos Distr'!$C$110),2)</f>
        <v>1.57</v>
      </c>
      <c r="E164" s="248">
        <f>ROUND(D164*(1+'Adaos RESELLER'!$C$110),2)</f>
        <v>1.57</v>
      </c>
      <c r="F164" s="248">
        <f>IF(Select!$E$23=1,C164,IF(Select!$E$23=2,D164,IF(Select!$E$23=3,E164)))</f>
        <v>1.57</v>
      </c>
    </row>
    <row r="165" spans="1:6" s="77" customFormat="1">
      <c r="A165" s="77" t="s">
        <v>2362</v>
      </c>
      <c r="B165" s="249">
        <v>4.09</v>
      </c>
      <c r="C165" s="248">
        <f>ROUND(B165*(1-'Disc Dep'!$C$112),2)</f>
        <v>3.03</v>
      </c>
      <c r="D165" s="248">
        <f>ROUND(C165*(1+'Adaos Distr'!$C$110),2)</f>
        <v>3.03</v>
      </c>
      <c r="E165" s="248">
        <f>ROUND(D165*(1+'Adaos RESELLER'!$C$110),2)</f>
        <v>3.03</v>
      </c>
      <c r="F165" s="248">
        <f>IF(Select!$E$23=1,C165,IF(Select!$E$23=2,D165,IF(Select!$E$23=3,E165)))</f>
        <v>3.03</v>
      </c>
    </row>
    <row r="166" spans="1:6" s="77" customFormat="1">
      <c r="A166" s="77" t="s">
        <v>2363</v>
      </c>
      <c r="B166" s="249">
        <v>4.58</v>
      </c>
      <c r="C166" s="248">
        <f>ROUND(B166*(1-'Disc Dep'!$C$112),2)</f>
        <v>3.39</v>
      </c>
      <c r="D166" s="248">
        <f>ROUND(C166*(1+'Adaos Distr'!$C$110),2)</f>
        <v>3.39</v>
      </c>
      <c r="E166" s="248">
        <f>ROUND(D166*(1+'Adaos RESELLER'!$C$110),2)</f>
        <v>3.39</v>
      </c>
      <c r="F166" s="248">
        <f>IF(Select!$E$23=1,C166,IF(Select!$E$23=2,D166,IF(Select!$E$23=3,E166)))</f>
        <v>3.39</v>
      </c>
    </row>
    <row r="167" spans="1:6" s="77" customFormat="1">
      <c r="A167" s="77" t="s">
        <v>2364</v>
      </c>
      <c r="B167" s="249">
        <f t="shared" si="10"/>
        <v>2.39</v>
      </c>
      <c r="C167" s="248">
        <f>ROUND(B167*(1-'Disc Dep'!$C$112),2)</f>
        <v>1.77</v>
      </c>
      <c r="D167" s="248">
        <f>ROUND(C167*(1+'Adaos Distr'!$C$110),2)</f>
        <v>1.77</v>
      </c>
      <c r="E167" s="248">
        <f>ROUND(D167*(1+'Adaos RESELLER'!$C$110),2)</f>
        <v>1.77</v>
      </c>
      <c r="F167" s="248">
        <f>IF(Select!$E$23=1,C167,IF(Select!$E$23=2,D167,IF(Select!$E$23=3,E167)))</f>
        <v>1.77</v>
      </c>
    </row>
    <row r="168" spans="1:6" s="77" customFormat="1">
      <c r="A168" s="77" t="s">
        <v>2365</v>
      </c>
      <c r="B168" s="249">
        <v>6.12</v>
      </c>
      <c r="C168" s="248">
        <f>ROUND(B168*(1-'Disc Dep'!$C$112),2)</f>
        <v>4.53</v>
      </c>
      <c r="D168" s="248">
        <f>ROUND(C168*(1+'Adaos Distr'!$C$110),2)</f>
        <v>4.53</v>
      </c>
      <c r="E168" s="248">
        <f>ROUND(D168*(1+'Adaos RESELLER'!$C$110),2)</f>
        <v>4.53</v>
      </c>
      <c r="F168" s="248">
        <f>IF(Select!$E$23=1,C168,IF(Select!$E$23=2,D168,IF(Select!$E$23=3,E168)))</f>
        <v>4.53</v>
      </c>
    </row>
    <row r="169" spans="1:6" s="77" customFormat="1">
      <c r="A169" s="77" t="s">
        <v>2366</v>
      </c>
      <c r="B169" s="249">
        <v>6.85</v>
      </c>
      <c r="C169" s="248">
        <f>ROUND(B169*(1-'Disc Dep'!$C$112),2)</f>
        <v>5.07</v>
      </c>
      <c r="D169" s="248">
        <f>ROUND(C169*(1+'Adaos Distr'!$C$110),2)</f>
        <v>5.07</v>
      </c>
      <c r="E169" s="248">
        <f>ROUND(D169*(1+'Adaos RESELLER'!$C$110),2)</f>
        <v>5.07</v>
      </c>
      <c r="F169" s="248">
        <f>IF(Select!$E$23=1,C169,IF(Select!$E$23=2,D169,IF(Select!$E$23=3,E169)))</f>
        <v>5.07</v>
      </c>
    </row>
    <row r="170" spans="1:6" s="77" customFormat="1">
      <c r="A170" s="77" t="s">
        <v>2367</v>
      </c>
      <c r="B170" s="249">
        <f t="shared" si="10"/>
        <v>3.57</v>
      </c>
      <c r="C170" s="248">
        <f>ROUND(B170*(1-'Disc Dep'!$C$112),2)</f>
        <v>2.64</v>
      </c>
      <c r="D170" s="248">
        <f>ROUND(C170*(1+'Adaos Distr'!$C$110),2)</f>
        <v>2.64</v>
      </c>
      <c r="E170" s="248">
        <f>ROUND(D170*(1+'Adaos RESELLER'!$C$110),2)</f>
        <v>2.64</v>
      </c>
      <c r="F170" s="248">
        <f>IF(Select!$E$23=1,C170,IF(Select!$E$23=2,D170,IF(Select!$E$23=3,E170)))</f>
        <v>2.64</v>
      </c>
    </row>
    <row r="171" spans="1:6" s="77" customFormat="1">
      <c r="A171" s="77" t="s">
        <v>2368</v>
      </c>
      <c r="B171" s="249">
        <v>3.99</v>
      </c>
      <c r="C171" s="248">
        <f>ROUND(B171*(1-'Disc Dep'!$C$112),2)</f>
        <v>2.95</v>
      </c>
      <c r="D171" s="248">
        <f>ROUND(C171*(1+'Adaos Distr'!$C$110),2)</f>
        <v>2.95</v>
      </c>
      <c r="E171" s="248">
        <f>ROUND(D171*(1+'Adaos RESELLER'!$C$110),2)</f>
        <v>2.95</v>
      </c>
      <c r="F171" s="248">
        <f>IF(Select!$E$23=1,C171,IF(Select!$E$23=2,D171,IF(Select!$E$23=3,E171)))</f>
        <v>2.95</v>
      </c>
    </row>
    <row r="172" spans="1:6" s="77" customFormat="1">
      <c r="A172" s="77" t="s">
        <v>2369</v>
      </c>
      <c r="B172" s="249">
        <v>4.46</v>
      </c>
      <c r="C172" s="248">
        <f>ROUND(B172*(1-'Disc Dep'!$C$112),2)</f>
        <v>3.3</v>
      </c>
      <c r="D172" s="248">
        <f>ROUND(C172*(1+'Adaos Distr'!$C$110),2)</f>
        <v>3.3</v>
      </c>
      <c r="E172" s="248">
        <f>ROUND(D172*(1+'Adaos RESELLER'!$C$110),2)</f>
        <v>3.3</v>
      </c>
      <c r="F172" s="248">
        <f>IF(Select!$E$23=1,C172,IF(Select!$E$23=2,D172,IF(Select!$E$23=3,E172)))</f>
        <v>3.3</v>
      </c>
    </row>
    <row r="173" spans="1:6" s="77" customFormat="1">
      <c r="A173" s="77" t="s">
        <v>2370</v>
      </c>
      <c r="B173" s="249">
        <v>2.33</v>
      </c>
      <c r="C173" s="248">
        <f>ROUND(B173*(1-'Disc Dep'!$C$112),2)</f>
        <v>1.72</v>
      </c>
      <c r="D173" s="248">
        <f>ROUND(C173*(1+'Adaos Distr'!$C$110),2)</f>
        <v>1.72</v>
      </c>
      <c r="E173" s="248">
        <f>ROUND(D173*(1+'Adaos RESELLER'!$C$110),2)</f>
        <v>1.72</v>
      </c>
      <c r="F173" s="248">
        <f>IF(Select!$E$23=1,C173,IF(Select!$E$23=2,D173,IF(Select!$E$23=3,E173)))</f>
        <v>1.72</v>
      </c>
    </row>
    <row r="174" spans="1:6" s="77" customFormat="1">
      <c r="A174" s="77" t="s">
        <v>2371</v>
      </c>
      <c r="B174" s="249">
        <v>4.9400000000000004</v>
      </c>
      <c r="C174" s="248">
        <f>ROUND(B174*(1-'Disc Dep'!$C$112),2)</f>
        <v>3.66</v>
      </c>
      <c r="D174" s="248">
        <f>ROUND(C174*(1+'Adaos Distr'!$C$110),2)</f>
        <v>3.66</v>
      </c>
      <c r="E174" s="248">
        <f>ROUND(D174*(1+'Adaos RESELLER'!$C$110),2)</f>
        <v>3.66</v>
      </c>
      <c r="F174" s="248">
        <f>IF(Select!$E$23=1,C174,IF(Select!$E$23=2,D174,IF(Select!$E$23=3,E174)))</f>
        <v>3.66</v>
      </c>
    </row>
    <row r="175" spans="1:6" s="77" customFormat="1">
      <c r="A175" s="77" t="s">
        <v>2372</v>
      </c>
      <c r="B175" s="249">
        <v>5.54</v>
      </c>
      <c r="C175" s="248">
        <f>ROUND(B175*(1-'Disc Dep'!$C$112),2)</f>
        <v>4.0999999999999996</v>
      </c>
      <c r="D175" s="248">
        <f>ROUND(C175*(1+'Adaos Distr'!$C$110),2)</f>
        <v>4.0999999999999996</v>
      </c>
      <c r="E175" s="248">
        <f>ROUND(D175*(1+'Adaos RESELLER'!$C$110),2)</f>
        <v>4.0999999999999996</v>
      </c>
      <c r="F175" s="248">
        <f>IF(Select!$E$23=1,C175,IF(Select!$E$23=2,D175,IF(Select!$E$23=3,E175)))</f>
        <v>4.0999999999999996</v>
      </c>
    </row>
    <row r="176" spans="1:6" s="77" customFormat="1">
      <c r="A176" s="77" t="s">
        <v>2373</v>
      </c>
      <c r="B176" s="249">
        <f t="shared" si="10"/>
        <v>2.89</v>
      </c>
      <c r="C176" s="248">
        <f>ROUND(B176*(1-'Disc Dep'!$C$112),2)</f>
        <v>2.14</v>
      </c>
      <c r="D176" s="248">
        <f>ROUND(C176*(1+'Adaos Distr'!$C$110),2)</f>
        <v>2.14</v>
      </c>
      <c r="E176" s="248">
        <f>ROUND(D176*(1+'Adaos RESELLER'!$C$110),2)</f>
        <v>2.14</v>
      </c>
      <c r="F176" s="248">
        <f>IF(Select!$E$23=1,C176,IF(Select!$E$23=2,D176,IF(Select!$E$23=3,E176)))</f>
        <v>2.14</v>
      </c>
    </row>
    <row r="177" spans="1:6" s="77" customFormat="1">
      <c r="A177" s="77" t="s">
        <v>2374</v>
      </c>
      <c r="B177" s="249">
        <v>5.26</v>
      </c>
      <c r="C177" s="248">
        <f>ROUND(B177*(1-'Disc Dep'!$C$112),2)</f>
        <v>3.89</v>
      </c>
      <c r="D177" s="248">
        <f>ROUND(C177*(1+'Adaos Distr'!$C$110),2)</f>
        <v>3.89</v>
      </c>
      <c r="E177" s="248">
        <f>ROUND(D177*(1+'Adaos RESELLER'!$C$110),2)</f>
        <v>3.89</v>
      </c>
      <c r="F177" s="248">
        <f>IF(Select!$E$23=1,C177,IF(Select!$E$23=2,D177,IF(Select!$E$23=3,E177)))</f>
        <v>3.89</v>
      </c>
    </row>
    <row r="178" spans="1:6" s="77" customFormat="1">
      <c r="A178" s="77" t="s">
        <v>2375</v>
      </c>
      <c r="B178" s="249">
        <v>5.89</v>
      </c>
      <c r="C178" s="248">
        <f>ROUND(B178*(1-'Disc Dep'!$C$112),2)</f>
        <v>4.3600000000000003</v>
      </c>
      <c r="D178" s="248">
        <f>ROUND(C178*(1+'Adaos Distr'!$C$110),2)</f>
        <v>4.3600000000000003</v>
      </c>
      <c r="E178" s="248">
        <f>ROUND(D178*(1+'Adaos RESELLER'!$C$110),2)</f>
        <v>4.3600000000000003</v>
      </c>
      <c r="F178" s="248">
        <f>IF(Select!$E$23=1,C178,IF(Select!$E$23=2,D178,IF(Select!$E$23=3,E178)))</f>
        <v>4.3600000000000003</v>
      </c>
    </row>
    <row r="179" spans="1:6" s="77" customFormat="1">
      <c r="A179" s="77" t="s">
        <v>2376</v>
      </c>
      <c r="B179" s="249">
        <f t="shared" si="10"/>
        <v>3.08</v>
      </c>
      <c r="C179" s="248">
        <f>ROUND(B179*(1-'Disc Dep'!$C$112),2)</f>
        <v>2.2799999999999998</v>
      </c>
      <c r="D179" s="248">
        <f>ROUND(C179*(1+'Adaos Distr'!$C$110),2)</f>
        <v>2.2799999999999998</v>
      </c>
      <c r="E179" s="248">
        <f>ROUND(D179*(1+'Adaos RESELLER'!$C$110),2)</f>
        <v>2.2799999999999998</v>
      </c>
      <c r="F179" s="248">
        <f>IF(Select!$E$23=1,C179,IF(Select!$E$23=2,D179,IF(Select!$E$23=3,E179)))</f>
        <v>2.2799999999999998</v>
      </c>
    </row>
    <row r="180" spans="1:6" s="77" customFormat="1">
      <c r="A180" s="77" t="s">
        <v>3203</v>
      </c>
      <c r="B180" s="249">
        <v>3.97</v>
      </c>
      <c r="C180" s="248">
        <f>ROUND(B180*(1-'Disc Dep'!$C$112),2)</f>
        <v>2.94</v>
      </c>
      <c r="D180" s="248">
        <f>ROUND(C180*(1+'Adaos Distr'!$C$110),2)</f>
        <v>2.94</v>
      </c>
      <c r="E180" s="248">
        <f>ROUND(D180*(1+'Adaos RESELLER'!$C$110),2)</f>
        <v>2.94</v>
      </c>
      <c r="F180" s="248">
        <f>IF(Select!$E$23=1,C180,IF(Select!$E$23=2,D180,IF(Select!$E$23=3,E180)))</f>
        <v>2.94</v>
      </c>
    </row>
    <row r="181" spans="1:6" s="77" customFormat="1">
      <c r="A181" s="77" t="s">
        <v>3204</v>
      </c>
      <c r="B181" s="249">
        <v>4.4400000000000004</v>
      </c>
      <c r="C181" s="248">
        <f>ROUND(B181*(1-'Disc Dep'!$C$112),2)</f>
        <v>3.29</v>
      </c>
      <c r="D181" s="248">
        <f>ROUND(C181*(1+'Adaos Distr'!$C$110),2)</f>
        <v>3.29</v>
      </c>
      <c r="E181" s="248">
        <f>ROUND(D181*(1+'Adaos RESELLER'!$C$110),2)</f>
        <v>3.29</v>
      </c>
      <c r="F181" s="248">
        <f>IF(Select!$E$23=1,C181,IF(Select!$E$23=2,D181,IF(Select!$E$23=3,E181)))</f>
        <v>3.29</v>
      </c>
    </row>
    <row r="182" spans="1:6" s="77" customFormat="1">
      <c r="A182" s="77" t="s">
        <v>3205</v>
      </c>
      <c r="B182" s="249">
        <v>2.3199999999999998</v>
      </c>
      <c r="C182" s="248">
        <f>ROUND(B182*(1-'Disc Dep'!$C$112),2)</f>
        <v>1.72</v>
      </c>
      <c r="D182" s="248">
        <f>ROUND(C182*(1+'Adaos Distr'!$C$110),2)</f>
        <v>1.72</v>
      </c>
      <c r="E182" s="248">
        <f>ROUND(D182*(1+'Adaos RESELLER'!$C$110),2)</f>
        <v>1.72</v>
      </c>
      <c r="F182" s="248">
        <f>IF(Select!$E$23=1,C182,IF(Select!$E$23=2,D182,IF(Select!$E$23=3,E182)))</f>
        <v>1.72</v>
      </c>
    </row>
    <row r="183" spans="1:6" s="77" customFormat="1">
      <c r="B183" s="249"/>
      <c r="C183" s="248"/>
      <c r="D183" s="248"/>
      <c r="E183" s="248"/>
      <c r="F183" s="248"/>
    </row>
    <row r="184" spans="1:6">
      <c r="A184" s="77" t="s">
        <v>1797</v>
      </c>
      <c r="B184" s="249">
        <f>B158</f>
        <v>3.51</v>
      </c>
      <c r="C184" s="248">
        <f>ROUND(B184*(1-'Disc Dep'!$C$112),2)</f>
        <v>2.6</v>
      </c>
      <c r="D184" s="248">
        <f>ROUND(C184*(1+'Adaos Distr'!$C$110),2)</f>
        <v>2.6</v>
      </c>
      <c r="E184" s="248">
        <f>ROUND(D184*(1+'Adaos RESELLER'!$C$110),2)</f>
        <v>2.6</v>
      </c>
      <c r="F184" s="248">
        <f>IF(Select!$E$23=1,C184,IF(Select!$E$23=2,D184,IF(Select!$E$23=3,E184)))</f>
        <v>2.6</v>
      </c>
    </row>
    <row r="185" spans="1:6">
      <c r="A185" s="77" t="s">
        <v>1798</v>
      </c>
      <c r="B185" s="249">
        <f t="shared" ref="B185:B204" si="11">B159</f>
        <v>3.93</v>
      </c>
      <c r="C185" s="248">
        <f>ROUND(B185*(1-'Disc Dep'!$C$112),2)</f>
        <v>2.91</v>
      </c>
      <c r="D185" s="248">
        <f>ROUND(C185*(1+'Adaos Distr'!$C$110),2)</f>
        <v>2.91</v>
      </c>
      <c r="E185" s="248">
        <f>ROUND(D185*(1+'Adaos RESELLER'!$C$110),2)</f>
        <v>2.91</v>
      </c>
      <c r="F185" s="248">
        <f>IF(Select!$E$23=1,C185,IF(Select!$E$23=2,D185,IF(Select!$E$23=3,E185)))</f>
        <v>2.91</v>
      </c>
    </row>
    <row r="186" spans="1:6">
      <c r="A186" s="77" t="s">
        <v>1799</v>
      </c>
      <c r="B186" s="249">
        <f t="shared" si="11"/>
        <v>2.0499999999999998</v>
      </c>
      <c r="C186" s="248">
        <f>ROUND(B186*(1-'Disc Dep'!$C$112),2)</f>
        <v>1.52</v>
      </c>
      <c r="D186" s="248">
        <f>ROUND(C186*(1+'Adaos Distr'!$C$110),2)</f>
        <v>1.52</v>
      </c>
      <c r="E186" s="248">
        <f>ROUND(D186*(1+'Adaos RESELLER'!$C$110),2)</f>
        <v>1.52</v>
      </c>
      <c r="F186" s="248">
        <f>IF(Select!$E$23=1,C186,IF(Select!$E$23=2,D186,IF(Select!$E$23=3,E186)))</f>
        <v>1.52</v>
      </c>
    </row>
    <row r="187" spans="1:6">
      <c r="A187" s="77" t="s">
        <v>1800</v>
      </c>
      <c r="B187" s="249">
        <f t="shared" si="11"/>
        <v>18.07</v>
      </c>
      <c r="C187" s="248">
        <f>ROUND(B187*(1-'Disc Dep'!$C$112),2)</f>
        <v>13.37</v>
      </c>
      <c r="D187" s="248">
        <f>ROUND(C187*(1+'Adaos Distr'!$C$110),2)</f>
        <v>13.37</v>
      </c>
      <c r="E187" s="248">
        <f>ROUND(D187*(1+'Adaos RESELLER'!$C$110),2)</f>
        <v>13.37</v>
      </c>
      <c r="F187" s="248">
        <f>IF(Select!$E$23=1,C187,IF(Select!$E$23=2,D187,IF(Select!$E$23=3,E187)))</f>
        <v>13.37</v>
      </c>
    </row>
    <row r="188" spans="1:6">
      <c r="A188" s="77" t="s">
        <v>1801</v>
      </c>
      <c r="B188" s="249">
        <f t="shared" si="11"/>
        <v>3.62</v>
      </c>
      <c r="C188" s="248">
        <f>ROUND(B188*(1-'Disc Dep'!$C$112),2)</f>
        <v>2.68</v>
      </c>
      <c r="D188" s="248">
        <f>ROUND(C188*(1+'Adaos Distr'!$C$110),2)</f>
        <v>2.68</v>
      </c>
      <c r="E188" s="248">
        <f>ROUND(D188*(1+'Adaos RESELLER'!$C$110),2)</f>
        <v>2.68</v>
      </c>
      <c r="F188" s="248">
        <f>IF(Select!$E$23=1,C188,IF(Select!$E$23=2,D188,IF(Select!$E$23=3,E188)))</f>
        <v>2.68</v>
      </c>
    </row>
    <row r="189" spans="1:6">
      <c r="A189" s="77" t="s">
        <v>1802</v>
      </c>
      <c r="B189" s="249">
        <f t="shared" si="11"/>
        <v>4.05</v>
      </c>
      <c r="C189" s="248">
        <f>ROUND(B189*(1-'Disc Dep'!$C$112),2)</f>
        <v>3</v>
      </c>
      <c r="D189" s="248">
        <f>ROUND(C189*(1+'Adaos Distr'!$C$110),2)</f>
        <v>3</v>
      </c>
      <c r="E189" s="248">
        <f>ROUND(D189*(1+'Adaos RESELLER'!$C$110),2)</f>
        <v>3</v>
      </c>
      <c r="F189" s="248">
        <f>IF(Select!$E$23=1,C189,IF(Select!$E$23=2,D189,IF(Select!$E$23=3,E189)))</f>
        <v>3</v>
      </c>
    </row>
    <row r="190" spans="1:6">
      <c r="A190" s="77" t="s">
        <v>1803</v>
      </c>
      <c r="B190" s="249">
        <f t="shared" si="11"/>
        <v>2.12</v>
      </c>
      <c r="C190" s="248">
        <f>ROUND(B190*(1-'Disc Dep'!$C$112),2)</f>
        <v>1.57</v>
      </c>
      <c r="D190" s="248">
        <f>ROUND(C190*(1+'Adaos Distr'!$C$110),2)</f>
        <v>1.57</v>
      </c>
      <c r="E190" s="248">
        <f>ROUND(D190*(1+'Adaos RESELLER'!$C$110),2)</f>
        <v>1.57</v>
      </c>
      <c r="F190" s="248">
        <f>IF(Select!$E$23=1,C190,IF(Select!$E$23=2,D190,IF(Select!$E$23=3,E190)))</f>
        <v>1.57</v>
      </c>
    </row>
    <row r="191" spans="1:6">
      <c r="A191" s="77" t="s">
        <v>1804</v>
      </c>
      <c r="B191" s="249">
        <f t="shared" si="11"/>
        <v>4.09</v>
      </c>
      <c r="C191" s="248">
        <f>ROUND(B191*(1-'Disc Dep'!$C$112),2)</f>
        <v>3.03</v>
      </c>
      <c r="D191" s="248">
        <f>ROUND(C191*(1+'Adaos Distr'!$C$110),2)</f>
        <v>3.03</v>
      </c>
      <c r="E191" s="248">
        <f>ROUND(D191*(1+'Adaos RESELLER'!$C$110),2)</f>
        <v>3.03</v>
      </c>
      <c r="F191" s="248">
        <f>IF(Select!$E$23=1,C191,IF(Select!$E$23=2,D191,IF(Select!$E$23=3,E191)))</f>
        <v>3.03</v>
      </c>
    </row>
    <row r="192" spans="1:6">
      <c r="A192" s="77" t="s">
        <v>1805</v>
      </c>
      <c r="B192" s="249">
        <f t="shared" si="11"/>
        <v>4.58</v>
      </c>
      <c r="C192" s="248">
        <f>ROUND(B192*(1-'Disc Dep'!$C$112),2)</f>
        <v>3.39</v>
      </c>
      <c r="D192" s="248">
        <f>ROUND(C192*(1+'Adaos Distr'!$C$110),2)</f>
        <v>3.39</v>
      </c>
      <c r="E192" s="248">
        <f>ROUND(D192*(1+'Adaos RESELLER'!$C$110),2)</f>
        <v>3.39</v>
      </c>
      <c r="F192" s="248">
        <f>IF(Select!$E$23=1,C192,IF(Select!$E$23=2,D192,IF(Select!$E$23=3,E192)))</f>
        <v>3.39</v>
      </c>
    </row>
    <row r="193" spans="1:6">
      <c r="A193" s="77" t="s">
        <v>1806</v>
      </c>
      <c r="B193" s="249">
        <f t="shared" si="11"/>
        <v>2.39</v>
      </c>
      <c r="C193" s="248">
        <f>ROUND(B193*(1-'Disc Dep'!$C$112),2)</f>
        <v>1.77</v>
      </c>
      <c r="D193" s="248">
        <f>ROUND(C193*(1+'Adaos Distr'!$C$110),2)</f>
        <v>1.77</v>
      </c>
      <c r="E193" s="248">
        <f>ROUND(D193*(1+'Adaos RESELLER'!$C$110),2)</f>
        <v>1.77</v>
      </c>
      <c r="F193" s="248">
        <f>IF(Select!$E$23=1,C193,IF(Select!$E$23=2,D193,IF(Select!$E$23=3,E193)))</f>
        <v>1.77</v>
      </c>
    </row>
    <row r="194" spans="1:6">
      <c r="A194" s="77" t="s">
        <v>1807</v>
      </c>
      <c r="B194" s="249">
        <f t="shared" si="11"/>
        <v>6.12</v>
      </c>
      <c r="C194" s="248">
        <f>ROUND(B194*(1-'Disc Dep'!$C$112),2)</f>
        <v>4.53</v>
      </c>
      <c r="D194" s="248">
        <f>ROUND(C194*(1+'Adaos Distr'!$C$110),2)</f>
        <v>4.53</v>
      </c>
      <c r="E194" s="248">
        <f>ROUND(D194*(1+'Adaos RESELLER'!$C$110),2)</f>
        <v>4.53</v>
      </c>
      <c r="F194" s="248">
        <f>IF(Select!$E$23=1,C194,IF(Select!$E$23=2,D194,IF(Select!$E$23=3,E194)))</f>
        <v>4.53</v>
      </c>
    </row>
    <row r="195" spans="1:6">
      <c r="A195" s="77" t="s">
        <v>1808</v>
      </c>
      <c r="B195" s="249">
        <f t="shared" si="11"/>
        <v>6.85</v>
      </c>
      <c r="C195" s="248">
        <f>ROUND(B195*(1-'Disc Dep'!$C$112),2)</f>
        <v>5.07</v>
      </c>
      <c r="D195" s="248">
        <f>ROUND(C195*(1+'Adaos Distr'!$C$110),2)</f>
        <v>5.07</v>
      </c>
      <c r="E195" s="248">
        <f>ROUND(D195*(1+'Adaos RESELLER'!$C$110),2)</f>
        <v>5.07</v>
      </c>
      <c r="F195" s="248">
        <f>IF(Select!$E$23=1,C195,IF(Select!$E$23=2,D195,IF(Select!$E$23=3,E195)))</f>
        <v>5.07</v>
      </c>
    </row>
    <row r="196" spans="1:6">
      <c r="A196" s="77" t="s">
        <v>1809</v>
      </c>
      <c r="B196" s="249">
        <f t="shared" si="11"/>
        <v>3.57</v>
      </c>
      <c r="C196" s="248">
        <f>ROUND(B196*(1-'Disc Dep'!$C$112),2)</f>
        <v>2.64</v>
      </c>
      <c r="D196" s="248">
        <f>ROUND(C196*(1+'Adaos Distr'!$C$110),2)</f>
        <v>2.64</v>
      </c>
      <c r="E196" s="248">
        <f>ROUND(D196*(1+'Adaos RESELLER'!$C$110),2)</f>
        <v>2.64</v>
      </c>
      <c r="F196" s="248">
        <f>IF(Select!$E$23=1,C196,IF(Select!$E$23=2,D196,IF(Select!$E$23=3,E196)))</f>
        <v>2.64</v>
      </c>
    </row>
    <row r="197" spans="1:6">
      <c r="A197" s="77" t="s">
        <v>1810</v>
      </c>
      <c r="B197" s="249">
        <f t="shared" si="11"/>
        <v>3.99</v>
      </c>
      <c r="C197" s="248">
        <f>ROUND(B197*(1-'Disc Dep'!$C$112),2)</f>
        <v>2.95</v>
      </c>
      <c r="D197" s="248">
        <f>ROUND(C197*(1+'Adaos Distr'!$C$110),2)</f>
        <v>2.95</v>
      </c>
      <c r="E197" s="248">
        <f>ROUND(D197*(1+'Adaos RESELLER'!$C$110),2)</f>
        <v>2.95</v>
      </c>
      <c r="F197" s="248">
        <f>IF(Select!$E$23=1,C197,IF(Select!$E$23=2,D197,IF(Select!$E$23=3,E197)))</f>
        <v>2.95</v>
      </c>
    </row>
    <row r="198" spans="1:6">
      <c r="A198" s="77" t="s">
        <v>1811</v>
      </c>
      <c r="B198" s="249">
        <f t="shared" si="11"/>
        <v>4.46</v>
      </c>
      <c r="C198" s="248">
        <f>ROUND(B198*(1-'Disc Dep'!$C$112),2)</f>
        <v>3.3</v>
      </c>
      <c r="D198" s="248">
        <f>ROUND(C198*(1+'Adaos Distr'!$C$110),2)</f>
        <v>3.3</v>
      </c>
      <c r="E198" s="248">
        <f>ROUND(D198*(1+'Adaos RESELLER'!$C$110),2)</f>
        <v>3.3</v>
      </c>
      <c r="F198" s="248">
        <f>IF(Select!$E$23=1,C198,IF(Select!$E$23=2,D198,IF(Select!$E$23=3,E198)))</f>
        <v>3.3</v>
      </c>
    </row>
    <row r="199" spans="1:6">
      <c r="A199" s="77" t="s">
        <v>1812</v>
      </c>
      <c r="B199" s="249">
        <f t="shared" si="11"/>
        <v>2.33</v>
      </c>
      <c r="C199" s="248">
        <f>ROUND(B199*(1-'Disc Dep'!$C$112),2)</f>
        <v>1.72</v>
      </c>
      <c r="D199" s="248">
        <f>ROUND(C199*(1+'Adaos Distr'!$C$110),2)</f>
        <v>1.72</v>
      </c>
      <c r="E199" s="248">
        <f>ROUND(D199*(1+'Adaos RESELLER'!$C$110),2)</f>
        <v>1.72</v>
      </c>
      <c r="F199" s="248">
        <f>IF(Select!$E$23=1,C199,IF(Select!$E$23=2,D199,IF(Select!$E$23=3,E199)))</f>
        <v>1.72</v>
      </c>
    </row>
    <row r="200" spans="1:6">
      <c r="A200" s="77" t="s">
        <v>1813</v>
      </c>
      <c r="B200" s="249">
        <f t="shared" si="11"/>
        <v>4.9400000000000004</v>
      </c>
      <c r="C200" s="248">
        <f>ROUND(B200*(1-'Disc Dep'!$C$112),2)</f>
        <v>3.66</v>
      </c>
      <c r="D200" s="248">
        <f>ROUND(C200*(1+'Adaos Distr'!$C$110),2)</f>
        <v>3.66</v>
      </c>
      <c r="E200" s="248">
        <f>ROUND(D200*(1+'Adaos RESELLER'!$C$110),2)</f>
        <v>3.66</v>
      </c>
      <c r="F200" s="248">
        <f>IF(Select!$E$23=1,C200,IF(Select!$E$23=2,D200,IF(Select!$E$23=3,E200)))</f>
        <v>3.66</v>
      </c>
    </row>
    <row r="201" spans="1:6">
      <c r="A201" s="77" t="s">
        <v>1814</v>
      </c>
      <c r="B201" s="249">
        <f t="shared" si="11"/>
        <v>5.54</v>
      </c>
      <c r="C201" s="248">
        <f>ROUND(B201*(1-'Disc Dep'!$C$112),2)</f>
        <v>4.0999999999999996</v>
      </c>
      <c r="D201" s="248">
        <f>ROUND(C201*(1+'Adaos Distr'!$C$110),2)</f>
        <v>4.0999999999999996</v>
      </c>
      <c r="E201" s="248">
        <f>ROUND(D201*(1+'Adaos RESELLER'!$C$110),2)</f>
        <v>4.0999999999999996</v>
      </c>
      <c r="F201" s="248">
        <f>IF(Select!$E$23=1,C201,IF(Select!$E$23=2,D201,IF(Select!$E$23=3,E201)))</f>
        <v>4.0999999999999996</v>
      </c>
    </row>
    <row r="202" spans="1:6">
      <c r="A202" s="77" t="s">
        <v>1815</v>
      </c>
      <c r="B202" s="249">
        <f t="shared" si="11"/>
        <v>2.89</v>
      </c>
      <c r="C202" s="248">
        <f>ROUND(B202*(1-'Disc Dep'!$C$112),2)</f>
        <v>2.14</v>
      </c>
      <c r="D202" s="248">
        <f>ROUND(C202*(1+'Adaos Distr'!$C$110),2)</f>
        <v>2.14</v>
      </c>
      <c r="E202" s="248">
        <f>ROUND(D202*(1+'Adaos RESELLER'!$C$110),2)</f>
        <v>2.14</v>
      </c>
      <c r="F202" s="248">
        <f>IF(Select!$E$23=1,C202,IF(Select!$E$23=2,D202,IF(Select!$E$23=3,E202)))</f>
        <v>2.14</v>
      </c>
    </row>
    <row r="203" spans="1:6">
      <c r="A203" s="77" t="s">
        <v>1816</v>
      </c>
      <c r="B203" s="249">
        <f t="shared" si="11"/>
        <v>5.26</v>
      </c>
      <c r="C203" s="248">
        <f>ROUND(B203*(1-'Disc Dep'!$C$112),2)</f>
        <v>3.89</v>
      </c>
      <c r="D203" s="248">
        <f>ROUND(C203*(1+'Adaos Distr'!$C$110),2)</f>
        <v>3.89</v>
      </c>
      <c r="E203" s="248">
        <f>ROUND(D203*(1+'Adaos RESELLER'!$C$110),2)</f>
        <v>3.89</v>
      </c>
      <c r="F203" s="248">
        <f>IF(Select!$E$23=1,C203,IF(Select!$E$23=2,D203,IF(Select!$E$23=3,E203)))</f>
        <v>3.89</v>
      </c>
    </row>
    <row r="204" spans="1:6">
      <c r="A204" s="77" t="s">
        <v>1817</v>
      </c>
      <c r="B204" s="249">
        <f t="shared" si="11"/>
        <v>5.89</v>
      </c>
      <c r="C204" s="248">
        <f>ROUND(B204*(1-'Disc Dep'!$C$112),2)</f>
        <v>4.3600000000000003</v>
      </c>
      <c r="D204" s="248">
        <f>ROUND(C204*(1+'Adaos Distr'!$C$110),2)</f>
        <v>4.3600000000000003</v>
      </c>
      <c r="E204" s="248">
        <f>ROUND(D204*(1+'Adaos RESELLER'!$C$110),2)</f>
        <v>4.3600000000000003</v>
      </c>
      <c r="F204" s="248">
        <f>IF(Select!$E$23=1,C204,IF(Select!$E$23=2,D204,IF(Select!$E$23=3,E204)))</f>
        <v>4.3600000000000003</v>
      </c>
    </row>
    <row r="205" spans="1:6" s="77" customFormat="1">
      <c r="B205" s="249"/>
      <c r="C205" s="248"/>
      <c r="D205" s="248"/>
      <c r="E205" s="248"/>
      <c r="F205" s="248"/>
    </row>
    <row r="206" spans="1:6">
      <c r="A206" s="77" t="s">
        <v>1818</v>
      </c>
      <c r="B206" s="249">
        <f>B184</f>
        <v>3.51</v>
      </c>
      <c r="C206" s="248">
        <f>ROUND(B206*(1-'Disc Dep'!$C$112),2)</f>
        <v>2.6</v>
      </c>
      <c r="D206" s="248">
        <f>ROUND(C206*(1+'Adaos Distr'!$C$110),2)</f>
        <v>2.6</v>
      </c>
      <c r="E206" s="248">
        <f>ROUND(D206*(1+'Adaos RESELLER'!$C$110),2)</f>
        <v>2.6</v>
      </c>
      <c r="F206" s="248">
        <f>IF(Select!$E$23=1,C206,IF(Select!$E$23=2,D206,IF(Select!$E$23=3,E206)))</f>
        <v>2.6</v>
      </c>
    </row>
    <row r="207" spans="1:6">
      <c r="A207" s="77" t="s">
        <v>1819</v>
      </c>
      <c r="B207" s="249">
        <f t="shared" ref="B207:B226" si="12">B185</f>
        <v>3.93</v>
      </c>
      <c r="C207" s="248">
        <f>ROUND(B207*(1-'Disc Dep'!$C$112),2)</f>
        <v>2.91</v>
      </c>
      <c r="D207" s="248">
        <f>ROUND(C207*(1+'Adaos Distr'!$C$110),2)</f>
        <v>2.91</v>
      </c>
      <c r="E207" s="248">
        <f>ROUND(D207*(1+'Adaos RESELLER'!$C$110),2)</f>
        <v>2.91</v>
      </c>
      <c r="F207" s="248">
        <f>IF(Select!$E$23=1,C207,IF(Select!$E$23=2,D207,IF(Select!$E$23=3,E207)))</f>
        <v>2.91</v>
      </c>
    </row>
    <row r="208" spans="1:6">
      <c r="A208" s="77" t="s">
        <v>1820</v>
      </c>
      <c r="B208" s="249">
        <f t="shared" si="12"/>
        <v>2.0499999999999998</v>
      </c>
      <c r="C208" s="248">
        <f>ROUND(B208*(1-'Disc Dep'!$C$112),2)</f>
        <v>1.52</v>
      </c>
      <c r="D208" s="248">
        <f>ROUND(C208*(1+'Adaos Distr'!$C$110),2)</f>
        <v>1.52</v>
      </c>
      <c r="E208" s="248">
        <f>ROUND(D208*(1+'Adaos RESELLER'!$C$110),2)</f>
        <v>1.52</v>
      </c>
      <c r="F208" s="248">
        <f>IF(Select!$E$23=1,C208,IF(Select!$E$23=2,D208,IF(Select!$E$23=3,E208)))</f>
        <v>1.52</v>
      </c>
    </row>
    <row r="209" spans="1:6">
      <c r="A209" s="77" t="s">
        <v>1821</v>
      </c>
      <c r="B209" s="249">
        <f t="shared" si="12"/>
        <v>18.07</v>
      </c>
      <c r="C209" s="248">
        <f>ROUND(B209*(1-'Disc Dep'!$C$112),2)</f>
        <v>13.37</v>
      </c>
      <c r="D209" s="248">
        <f>ROUND(C209*(1+'Adaos Distr'!$C$110),2)</f>
        <v>13.37</v>
      </c>
      <c r="E209" s="248">
        <f>ROUND(D209*(1+'Adaos RESELLER'!$C$110),2)</f>
        <v>13.37</v>
      </c>
      <c r="F209" s="248">
        <f>IF(Select!$E$23=1,C209,IF(Select!$E$23=2,D209,IF(Select!$E$23=3,E209)))</f>
        <v>13.37</v>
      </c>
    </row>
    <row r="210" spans="1:6">
      <c r="A210" s="77" t="s">
        <v>1822</v>
      </c>
      <c r="B210" s="249">
        <f t="shared" si="12"/>
        <v>3.62</v>
      </c>
      <c r="C210" s="248">
        <f>ROUND(B210*(1-'Disc Dep'!$C$112),2)</f>
        <v>2.68</v>
      </c>
      <c r="D210" s="248">
        <f>ROUND(C210*(1+'Adaos Distr'!$C$110),2)</f>
        <v>2.68</v>
      </c>
      <c r="E210" s="248">
        <f>ROUND(D210*(1+'Adaos RESELLER'!$C$110),2)</f>
        <v>2.68</v>
      </c>
      <c r="F210" s="248">
        <f>IF(Select!$E$23=1,C210,IF(Select!$E$23=2,D210,IF(Select!$E$23=3,E210)))</f>
        <v>2.68</v>
      </c>
    </row>
    <row r="211" spans="1:6">
      <c r="A211" s="77" t="s">
        <v>1823</v>
      </c>
      <c r="B211" s="249">
        <f t="shared" si="12"/>
        <v>4.05</v>
      </c>
      <c r="C211" s="248">
        <f>ROUND(B211*(1-'Disc Dep'!$C$112),2)</f>
        <v>3</v>
      </c>
      <c r="D211" s="248">
        <f>ROUND(C211*(1+'Adaos Distr'!$C$110),2)</f>
        <v>3</v>
      </c>
      <c r="E211" s="248">
        <f>ROUND(D211*(1+'Adaos RESELLER'!$C$110),2)</f>
        <v>3</v>
      </c>
      <c r="F211" s="248">
        <f>IF(Select!$E$23=1,C211,IF(Select!$E$23=2,D211,IF(Select!$E$23=3,E211)))</f>
        <v>3</v>
      </c>
    </row>
    <row r="212" spans="1:6">
      <c r="A212" s="77" t="s">
        <v>1824</v>
      </c>
      <c r="B212" s="249">
        <f t="shared" si="12"/>
        <v>2.12</v>
      </c>
      <c r="C212" s="248">
        <f>ROUND(B212*(1-'Disc Dep'!$C$112),2)</f>
        <v>1.57</v>
      </c>
      <c r="D212" s="248">
        <f>ROUND(C212*(1+'Adaos Distr'!$C$110),2)</f>
        <v>1.57</v>
      </c>
      <c r="E212" s="248">
        <f>ROUND(D212*(1+'Adaos RESELLER'!$C$110),2)</f>
        <v>1.57</v>
      </c>
      <c r="F212" s="248">
        <f>IF(Select!$E$23=1,C212,IF(Select!$E$23=2,D212,IF(Select!$E$23=3,E212)))</f>
        <v>1.57</v>
      </c>
    </row>
    <row r="213" spans="1:6">
      <c r="A213" s="77" t="s">
        <v>1825</v>
      </c>
      <c r="B213" s="249">
        <f t="shared" si="12"/>
        <v>4.09</v>
      </c>
      <c r="C213" s="248">
        <f>ROUND(B213*(1-'Disc Dep'!$C$112),2)</f>
        <v>3.03</v>
      </c>
      <c r="D213" s="248">
        <f>ROUND(C213*(1+'Adaos Distr'!$C$110),2)</f>
        <v>3.03</v>
      </c>
      <c r="E213" s="248">
        <f>ROUND(D213*(1+'Adaos RESELLER'!$C$110),2)</f>
        <v>3.03</v>
      </c>
      <c r="F213" s="248">
        <f>IF(Select!$E$23=1,C213,IF(Select!$E$23=2,D213,IF(Select!$E$23=3,E213)))</f>
        <v>3.03</v>
      </c>
    </row>
    <row r="214" spans="1:6">
      <c r="A214" s="77" t="s">
        <v>1826</v>
      </c>
      <c r="B214" s="249">
        <f t="shared" si="12"/>
        <v>4.58</v>
      </c>
      <c r="C214" s="248">
        <f>ROUND(B214*(1-'Disc Dep'!$C$112),2)</f>
        <v>3.39</v>
      </c>
      <c r="D214" s="248">
        <f>ROUND(C214*(1+'Adaos Distr'!$C$110),2)</f>
        <v>3.39</v>
      </c>
      <c r="E214" s="248">
        <f>ROUND(D214*(1+'Adaos RESELLER'!$C$110),2)</f>
        <v>3.39</v>
      </c>
      <c r="F214" s="248">
        <f>IF(Select!$E$23=1,C214,IF(Select!$E$23=2,D214,IF(Select!$E$23=3,E214)))</f>
        <v>3.39</v>
      </c>
    </row>
    <row r="215" spans="1:6">
      <c r="A215" s="77" t="s">
        <v>1827</v>
      </c>
      <c r="B215" s="249">
        <f t="shared" si="12"/>
        <v>2.39</v>
      </c>
      <c r="C215" s="248">
        <f>ROUND(B215*(1-'Disc Dep'!$C$112),2)</f>
        <v>1.77</v>
      </c>
      <c r="D215" s="248">
        <f>ROUND(C215*(1+'Adaos Distr'!$C$110),2)</f>
        <v>1.77</v>
      </c>
      <c r="E215" s="248">
        <f>ROUND(D215*(1+'Adaos RESELLER'!$C$110),2)</f>
        <v>1.77</v>
      </c>
      <c r="F215" s="248">
        <f>IF(Select!$E$23=1,C215,IF(Select!$E$23=2,D215,IF(Select!$E$23=3,E215)))</f>
        <v>1.77</v>
      </c>
    </row>
    <row r="216" spans="1:6">
      <c r="A216" s="77" t="s">
        <v>1828</v>
      </c>
      <c r="B216" s="249">
        <f t="shared" si="12"/>
        <v>6.12</v>
      </c>
      <c r="C216" s="248">
        <f>ROUND(B216*(1-'Disc Dep'!$C$112),2)</f>
        <v>4.53</v>
      </c>
      <c r="D216" s="248">
        <f>ROUND(C216*(1+'Adaos Distr'!$C$110),2)</f>
        <v>4.53</v>
      </c>
      <c r="E216" s="248">
        <f>ROUND(D216*(1+'Adaos RESELLER'!$C$110),2)</f>
        <v>4.53</v>
      </c>
      <c r="F216" s="248">
        <f>IF(Select!$E$23=1,C216,IF(Select!$E$23=2,D216,IF(Select!$E$23=3,E216)))</f>
        <v>4.53</v>
      </c>
    </row>
    <row r="217" spans="1:6">
      <c r="A217" s="77" t="s">
        <v>1829</v>
      </c>
      <c r="B217" s="249">
        <f t="shared" si="12"/>
        <v>6.85</v>
      </c>
      <c r="C217" s="248">
        <f>ROUND(B217*(1-'Disc Dep'!$C$112),2)</f>
        <v>5.07</v>
      </c>
      <c r="D217" s="248">
        <f>ROUND(C217*(1+'Adaos Distr'!$C$110),2)</f>
        <v>5.07</v>
      </c>
      <c r="E217" s="248">
        <f>ROUND(D217*(1+'Adaos RESELLER'!$C$110),2)</f>
        <v>5.07</v>
      </c>
      <c r="F217" s="248">
        <f>IF(Select!$E$23=1,C217,IF(Select!$E$23=2,D217,IF(Select!$E$23=3,E217)))</f>
        <v>5.07</v>
      </c>
    </row>
    <row r="218" spans="1:6">
      <c r="A218" s="77" t="s">
        <v>1830</v>
      </c>
      <c r="B218" s="249">
        <f t="shared" si="12"/>
        <v>3.57</v>
      </c>
      <c r="C218" s="248">
        <f>ROUND(B218*(1-'Disc Dep'!$C$112),2)</f>
        <v>2.64</v>
      </c>
      <c r="D218" s="248">
        <f>ROUND(C218*(1+'Adaos Distr'!$C$110),2)</f>
        <v>2.64</v>
      </c>
      <c r="E218" s="248">
        <f>ROUND(D218*(1+'Adaos RESELLER'!$C$110),2)</f>
        <v>2.64</v>
      </c>
      <c r="F218" s="248">
        <f>IF(Select!$E$23=1,C218,IF(Select!$E$23=2,D218,IF(Select!$E$23=3,E218)))</f>
        <v>2.64</v>
      </c>
    </row>
    <row r="219" spans="1:6">
      <c r="A219" s="77" t="s">
        <v>1831</v>
      </c>
      <c r="B219" s="249">
        <f t="shared" si="12"/>
        <v>3.99</v>
      </c>
      <c r="C219" s="248">
        <f>ROUND(B219*(1-'Disc Dep'!$C$112),2)</f>
        <v>2.95</v>
      </c>
      <c r="D219" s="248">
        <f>ROUND(C219*(1+'Adaos Distr'!$C$110),2)</f>
        <v>2.95</v>
      </c>
      <c r="E219" s="248">
        <f>ROUND(D219*(1+'Adaos RESELLER'!$C$110),2)</f>
        <v>2.95</v>
      </c>
      <c r="F219" s="248">
        <f>IF(Select!$E$23=1,C219,IF(Select!$E$23=2,D219,IF(Select!$E$23=3,E219)))</f>
        <v>2.95</v>
      </c>
    </row>
    <row r="220" spans="1:6">
      <c r="A220" s="77" t="s">
        <v>1832</v>
      </c>
      <c r="B220" s="249">
        <f t="shared" si="12"/>
        <v>4.46</v>
      </c>
      <c r="C220" s="248">
        <f>ROUND(B220*(1-'Disc Dep'!$C$112),2)</f>
        <v>3.3</v>
      </c>
      <c r="D220" s="248">
        <f>ROUND(C220*(1+'Adaos Distr'!$C$110),2)</f>
        <v>3.3</v>
      </c>
      <c r="E220" s="248">
        <f>ROUND(D220*(1+'Adaos RESELLER'!$C$110),2)</f>
        <v>3.3</v>
      </c>
      <c r="F220" s="248">
        <f>IF(Select!$E$23=1,C220,IF(Select!$E$23=2,D220,IF(Select!$E$23=3,E220)))</f>
        <v>3.3</v>
      </c>
    </row>
    <row r="221" spans="1:6">
      <c r="A221" s="77" t="s">
        <v>1833</v>
      </c>
      <c r="B221" s="249">
        <f t="shared" si="12"/>
        <v>2.33</v>
      </c>
      <c r="C221" s="248">
        <f>ROUND(B221*(1-'Disc Dep'!$C$112),2)</f>
        <v>1.72</v>
      </c>
      <c r="D221" s="248">
        <f>ROUND(C221*(1+'Adaos Distr'!$C$110),2)</f>
        <v>1.72</v>
      </c>
      <c r="E221" s="248">
        <f>ROUND(D221*(1+'Adaos RESELLER'!$C$110),2)</f>
        <v>1.72</v>
      </c>
      <c r="F221" s="248">
        <f>IF(Select!$E$23=1,C221,IF(Select!$E$23=2,D221,IF(Select!$E$23=3,E221)))</f>
        <v>1.72</v>
      </c>
    </row>
    <row r="222" spans="1:6">
      <c r="A222" s="77" t="s">
        <v>1834</v>
      </c>
      <c r="B222" s="249">
        <f t="shared" si="12"/>
        <v>4.9400000000000004</v>
      </c>
      <c r="C222" s="248">
        <f>ROUND(B222*(1-'Disc Dep'!$C$112),2)</f>
        <v>3.66</v>
      </c>
      <c r="D222" s="248">
        <f>ROUND(C222*(1+'Adaos Distr'!$C$110),2)</f>
        <v>3.66</v>
      </c>
      <c r="E222" s="248">
        <f>ROUND(D222*(1+'Adaos RESELLER'!$C$110),2)</f>
        <v>3.66</v>
      </c>
      <c r="F222" s="248">
        <f>IF(Select!$E$23=1,C222,IF(Select!$E$23=2,D222,IF(Select!$E$23=3,E222)))</f>
        <v>3.66</v>
      </c>
    </row>
    <row r="223" spans="1:6">
      <c r="A223" s="77" t="s">
        <v>1835</v>
      </c>
      <c r="B223" s="249">
        <f t="shared" si="12"/>
        <v>5.54</v>
      </c>
      <c r="C223" s="248">
        <f>ROUND(B223*(1-'Disc Dep'!$C$112),2)</f>
        <v>4.0999999999999996</v>
      </c>
      <c r="D223" s="248">
        <f>ROUND(C223*(1+'Adaos Distr'!$C$110),2)</f>
        <v>4.0999999999999996</v>
      </c>
      <c r="E223" s="248">
        <f>ROUND(D223*(1+'Adaos RESELLER'!$C$110),2)</f>
        <v>4.0999999999999996</v>
      </c>
      <c r="F223" s="248">
        <f>IF(Select!$E$23=1,C223,IF(Select!$E$23=2,D223,IF(Select!$E$23=3,E223)))</f>
        <v>4.0999999999999996</v>
      </c>
    </row>
    <row r="224" spans="1:6">
      <c r="A224" s="77" t="s">
        <v>1836</v>
      </c>
      <c r="B224" s="249">
        <f t="shared" si="12"/>
        <v>2.89</v>
      </c>
      <c r="C224" s="248">
        <f>ROUND(B224*(1-'Disc Dep'!$C$112),2)</f>
        <v>2.14</v>
      </c>
      <c r="D224" s="248">
        <f>ROUND(C224*(1+'Adaos Distr'!$C$110),2)</f>
        <v>2.14</v>
      </c>
      <c r="E224" s="248">
        <f>ROUND(D224*(1+'Adaos RESELLER'!$C$110),2)</f>
        <v>2.14</v>
      </c>
      <c r="F224" s="248">
        <f>IF(Select!$E$23=1,C224,IF(Select!$E$23=2,D224,IF(Select!$E$23=3,E224)))</f>
        <v>2.14</v>
      </c>
    </row>
    <row r="225" spans="1:8">
      <c r="A225" s="77" t="s">
        <v>1837</v>
      </c>
      <c r="B225" s="249">
        <f t="shared" si="12"/>
        <v>5.26</v>
      </c>
      <c r="C225" s="248">
        <f>ROUND(B225*(1-'Disc Dep'!$C$112),2)</f>
        <v>3.89</v>
      </c>
      <c r="D225" s="248">
        <f>ROUND(C225*(1+'Adaos Distr'!$C$110),2)</f>
        <v>3.89</v>
      </c>
      <c r="E225" s="248">
        <f>ROUND(D225*(1+'Adaos RESELLER'!$C$110),2)</f>
        <v>3.89</v>
      </c>
      <c r="F225" s="248">
        <f>IF(Select!$E$23=1,C225,IF(Select!$E$23=2,D225,IF(Select!$E$23=3,E225)))</f>
        <v>3.89</v>
      </c>
    </row>
    <row r="226" spans="1:8">
      <c r="A226" s="77" t="s">
        <v>1838</v>
      </c>
      <c r="B226" s="249">
        <f t="shared" si="12"/>
        <v>5.89</v>
      </c>
      <c r="C226" s="248">
        <f>ROUND(B226*(1-'Disc Dep'!$C$112),2)</f>
        <v>4.3600000000000003</v>
      </c>
      <c r="D226" s="248">
        <f>ROUND(C226*(1+'Adaos Distr'!$C$110),2)</f>
        <v>4.3600000000000003</v>
      </c>
      <c r="E226" s="248">
        <f>ROUND(D226*(1+'Adaos RESELLER'!$C$110),2)</f>
        <v>4.3600000000000003</v>
      </c>
      <c r="F226" s="248">
        <f>IF(Select!$E$23=1,C226,IF(Select!$E$23=2,D226,IF(Select!$E$23=3,E226)))</f>
        <v>4.3600000000000003</v>
      </c>
    </row>
    <row r="227" spans="1:8">
      <c r="C227" s="248">
        <f>ROUND(B227*(1-'Disc Dep'!$C$112),2)</f>
        <v>0</v>
      </c>
      <c r="D227" s="248">
        <f>ROUND(C227*(1+'Adaos Distr'!$C$110),2)</f>
        <v>0</v>
      </c>
      <c r="E227" s="248">
        <f>ROUND(D227*(1+'Adaos RESELLER'!$C$110),2)</f>
        <v>0</v>
      </c>
      <c r="F227" s="248">
        <f>IF(Select!$E$23=1,C227,IF(Select!$E$23=2,D227,IF(Select!$E$23=3,E227)))</f>
        <v>0</v>
      </c>
    </row>
    <row r="228" spans="1:8">
      <c r="A228" t="s">
        <v>1878</v>
      </c>
      <c r="B228" s="249">
        <v>5.93</v>
      </c>
      <c r="C228" s="248">
        <f>ROUND(B228*(1-'Disc Dep'!$C$122),2)</f>
        <v>4.3899999999999997</v>
      </c>
      <c r="D228" s="248">
        <f>ROUND(C228*(1+'Adaos Distr'!$C$122),2)</f>
        <v>4.3899999999999997</v>
      </c>
      <c r="E228" s="248">
        <f>ROUND(D228*(1+'Adaos RESELLER'!$C$122),2)</f>
        <v>4.3899999999999997</v>
      </c>
      <c r="F228" s="248">
        <f>IF(Select!$E$23=1,C228,IF(Select!$E$23=2,D228,IF(Select!$E$23=3,E228)))</f>
        <v>4.3899999999999997</v>
      </c>
      <c r="G228" s="77">
        <f t="shared" ref="G228" si="13">B228*1.03</f>
        <v>6.1078999999999999</v>
      </c>
      <c r="H228" s="77">
        <f t="shared" ref="H228:H292" si="14">ROUND(G228,2)</f>
        <v>6.11</v>
      </c>
    </row>
    <row r="229" spans="1:8">
      <c r="A229" t="s">
        <v>1879</v>
      </c>
      <c r="B229" s="249">
        <v>6.55</v>
      </c>
      <c r="C229" s="248">
        <f>ROUND(B229*(1-'Disc Dep'!$C$122),2)</f>
        <v>4.8499999999999996</v>
      </c>
      <c r="D229" s="248">
        <f>ROUND(C229*(1+'Adaos Distr'!$C$122),2)</f>
        <v>4.8499999999999996</v>
      </c>
      <c r="E229" s="248">
        <f>ROUND(D229*(1+'Adaos RESELLER'!$C$122),2)</f>
        <v>4.8499999999999996</v>
      </c>
      <c r="F229" s="248">
        <f>IF(Select!$E$23=1,C229,IF(Select!$E$23=2,D229,IF(Select!$E$23=3,E229)))</f>
        <v>4.8499999999999996</v>
      </c>
      <c r="G229" s="77">
        <f t="shared" ref="G229:G240" si="15">B229*1.03</f>
        <v>6.7465000000000002</v>
      </c>
      <c r="H229" s="77">
        <f t="shared" si="14"/>
        <v>6.75</v>
      </c>
    </row>
    <row r="230" spans="1:8">
      <c r="A230" t="s">
        <v>1880</v>
      </c>
      <c r="B230" s="249">
        <v>7.57</v>
      </c>
      <c r="C230" s="248">
        <f>ROUND(B230*(1-'Disc Dep'!$C$122),2)</f>
        <v>5.6</v>
      </c>
      <c r="D230" s="248">
        <f>ROUND(C230*(1+'Adaos Distr'!$C$122),2)</f>
        <v>5.6</v>
      </c>
      <c r="E230" s="248">
        <f>ROUND(D230*(1+'Adaos RESELLER'!$C$122),2)</f>
        <v>5.6</v>
      </c>
      <c r="F230" s="248">
        <f>IF(Select!$E$23=1,C230,IF(Select!$E$23=2,D230,IF(Select!$E$23=3,E230)))</f>
        <v>5.6</v>
      </c>
      <c r="G230" s="77">
        <f t="shared" si="15"/>
        <v>7.7971000000000004</v>
      </c>
      <c r="H230" s="77">
        <f t="shared" si="14"/>
        <v>7.8</v>
      </c>
    </row>
    <row r="231" spans="1:8">
      <c r="A231" t="s">
        <v>1881</v>
      </c>
      <c r="B231" s="249">
        <v>8.1999999999999993</v>
      </c>
      <c r="C231" s="248">
        <f>ROUND(B231*(1-'Disc Dep'!$C$122),2)</f>
        <v>6.07</v>
      </c>
      <c r="D231" s="248">
        <f>ROUND(C231*(1+'Adaos Distr'!$C$122),2)</f>
        <v>6.07</v>
      </c>
      <c r="E231" s="248">
        <f>ROUND(D231*(1+'Adaos RESELLER'!$C$122),2)</f>
        <v>6.07</v>
      </c>
      <c r="F231" s="248">
        <f>IF(Select!$E$23=1,C231,IF(Select!$E$23=2,D231,IF(Select!$E$23=3,E231)))</f>
        <v>6.07</v>
      </c>
      <c r="G231" s="77">
        <f t="shared" si="15"/>
        <v>8.4459999999999997</v>
      </c>
      <c r="H231" s="77">
        <f t="shared" si="14"/>
        <v>8.4499999999999993</v>
      </c>
    </row>
    <row r="232" spans="1:8">
      <c r="A232" t="s">
        <v>1882</v>
      </c>
      <c r="B232" s="249">
        <v>7.14</v>
      </c>
      <c r="C232" s="248">
        <f>ROUND(B232*(1-'Disc Dep'!$C$122),2)</f>
        <v>5.28</v>
      </c>
      <c r="D232" s="248">
        <f>ROUND(C232*(1+'Adaos Distr'!$C$122),2)</f>
        <v>5.28</v>
      </c>
      <c r="E232" s="248">
        <f>ROUND(D232*(1+'Adaos RESELLER'!$C$122),2)</f>
        <v>5.28</v>
      </c>
      <c r="F232" s="248">
        <f>IF(Select!$E$23=1,C232,IF(Select!$E$23=2,D232,IF(Select!$E$23=3,E232)))</f>
        <v>5.28</v>
      </c>
      <c r="G232" s="77">
        <f t="shared" si="15"/>
        <v>7.3541999999999996</v>
      </c>
      <c r="H232" s="77">
        <f t="shared" si="14"/>
        <v>7.35</v>
      </c>
    </row>
    <row r="233" spans="1:8">
      <c r="A233" t="s">
        <v>1883</v>
      </c>
      <c r="B233" s="249">
        <v>8.1999999999999993</v>
      </c>
      <c r="C233" s="248">
        <f>ROUND(B233*(1-'Disc Dep'!$C$122),2)</f>
        <v>6.07</v>
      </c>
      <c r="D233" s="248">
        <f>ROUND(C233*(1+'Adaos Distr'!$C$122),2)</f>
        <v>6.07</v>
      </c>
      <c r="E233" s="248">
        <f>ROUND(D233*(1+'Adaos RESELLER'!$C$122),2)</f>
        <v>6.07</v>
      </c>
      <c r="F233" s="248">
        <f>IF(Select!$E$23=1,C233,IF(Select!$E$23=2,D233,IF(Select!$E$23=3,E233)))</f>
        <v>6.07</v>
      </c>
      <c r="G233" s="77">
        <f t="shared" si="15"/>
        <v>8.4459999999999997</v>
      </c>
      <c r="H233" s="77">
        <f t="shared" si="14"/>
        <v>8.4499999999999993</v>
      </c>
    </row>
    <row r="234" spans="1:8">
      <c r="A234" t="s">
        <v>1884</v>
      </c>
      <c r="B234" s="249">
        <v>8.4499999999999993</v>
      </c>
      <c r="C234" s="248">
        <f>ROUND(B234*(1-'Disc Dep'!$C$122),2)</f>
        <v>6.25</v>
      </c>
      <c r="D234" s="248">
        <f>ROUND(C234*(1+'Adaos Distr'!$C$122),2)</f>
        <v>6.25</v>
      </c>
      <c r="E234" s="248">
        <f>ROUND(D234*(1+'Adaos RESELLER'!$C$122),2)</f>
        <v>6.25</v>
      </c>
      <c r="F234" s="248">
        <f>IF(Select!$E$23=1,C234,IF(Select!$E$23=2,D234,IF(Select!$E$23=3,E234)))</f>
        <v>6.25</v>
      </c>
      <c r="G234" s="77">
        <f t="shared" si="15"/>
        <v>8.7035</v>
      </c>
      <c r="H234" s="77">
        <f t="shared" si="14"/>
        <v>8.6999999999999993</v>
      </c>
    </row>
    <row r="235" spans="1:8">
      <c r="A235" t="s">
        <v>1885</v>
      </c>
      <c r="B235" s="249">
        <v>12.02</v>
      </c>
      <c r="C235" s="248">
        <f>ROUND(B235*(1-'Disc Dep'!$C$122),2)</f>
        <v>8.89</v>
      </c>
      <c r="D235" s="248">
        <f>ROUND(C235*(1+'Adaos Distr'!$C$122),2)</f>
        <v>8.89</v>
      </c>
      <c r="E235" s="248">
        <f>ROUND(D235*(1+'Adaos RESELLER'!$C$122),2)</f>
        <v>8.89</v>
      </c>
      <c r="F235" s="248">
        <f>IF(Select!$E$23=1,C235,IF(Select!$E$23=2,D235,IF(Select!$E$23=3,E235)))</f>
        <v>8.89</v>
      </c>
      <c r="G235" s="77">
        <f t="shared" si="15"/>
        <v>12.380599999999999</v>
      </c>
      <c r="H235" s="77">
        <f t="shared" si="14"/>
        <v>12.38</v>
      </c>
    </row>
    <row r="236" spans="1:8">
      <c r="A236" t="s">
        <v>1886</v>
      </c>
      <c r="B236" s="249">
        <v>10.56</v>
      </c>
      <c r="C236" s="248">
        <f>ROUND(B236*(1-'Disc Dep'!$C$122),2)</f>
        <v>7.81</v>
      </c>
      <c r="D236" s="248">
        <f>ROUND(C236*(1+'Adaos Distr'!$C$122),2)</f>
        <v>7.81</v>
      </c>
      <c r="E236" s="248">
        <f>ROUND(D236*(1+'Adaos RESELLER'!$C$122),2)</f>
        <v>7.81</v>
      </c>
      <c r="F236" s="248">
        <f>IF(Select!$E$23=1,C236,IF(Select!$E$23=2,D236,IF(Select!$E$23=3,E236)))</f>
        <v>7.81</v>
      </c>
      <c r="G236" s="77">
        <f t="shared" si="15"/>
        <v>10.876800000000001</v>
      </c>
      <c r="H236" s="77">
        <f>B236</f>
        <v>10.56</v>
      </c>
    </row>
    <row r="237" spans="1:8">
      <c r="A237" t="s">
        <v>1887</v>
      </c>
      <c r="B237" s="249">
        <v>13.47</v>
      </c>
      <c r="C237" s="248">
        <f>ROUND(B237*(1-'Disc Dep'!$C$122),2)</f>
        <v>9.9700000000000006</v>
      </c>
      <c r="D237" s="248">
        <f>ROUND(C237*(1+'Adaos Distr'!$C$122),2)</f>
        <v>9.9700000000000006</v>
      </c>
      <c r="E237" s="248">
        <f>ROUND(D237*(1+'Adaos RESELLER'!$C$122),2)</f>
        <v>9.9700000000000006</v>
      </c>
      <c r="F237" s="248">
        <f>IF(Select!$E$23=1,C237,IF(Select!$E$23=2,D237,IF(Select!$E$23=3,E237)))</f>
        <v>9.9700000000000006</v>
      </c>
      <c r="G237" s="77">
        <f t="shared" si="15"/>
        <v>13.8741</v>
      </c>
      <c r="H237" s="77">
        <f t="shared" si="14"/>
        <v>13.87</v>
      </c>
    </row>
    <row r="238" spans="1:8">
      <c r="A238" t="s">
        <v>1888</v>
      </c>
      <c r="B238" s="249">
        <v>12.26</v>
      </c>
      <c r="C238" s="248">
        <f>ROUND(B238*(1-'Disc Dep'!$C$122),2)</f>
        <v>9.07</v>
      </c>
      <c r="D238" s="248">
        <f>ROUND(C238*(1+'Adaos Distr'!$C$122),2)</f>
        <v>9.07</v>
      </c>
      <c r="E238" s="248">
        <f>ROUND(D238*(1+'Adaos RESELLER'!$C$122),2)</f>
        <v>9.07</v>
      </c>
      <c r="F238" s="248">
        <f>IF(Select!$E$23=1,C238,IF(Select!$E$23=2,D238,IF(Select!$E$23=3,E238)))</f>
        <v>9.07</v>
      </c>
      <c r="G238" s="77">
        <f t="shared" si="15"/>
        <v>12.627800000000001</v>
      </c>
      <c r="H238" s="77">
        <f t="shared" si="14"/>
        <v>12.63</v>
      </c>
    </row>
    <row r="239" spans="1:8">
      <c r="A239" t="s">
        <v>1889</v>
      </c>
      <c r="B239" s="249">
        <v>5.51</v>
      </c>
      <c r="C239" s="248">
        <f>ROUND(B239*(1-'Disc Dep'!$C$122),2)</f>
        <v>4.08</v>
      </c>
      <c r="D239" s="248">
        <f>ROUND(C239*(1+'Adaos Distr'!$C$122),2)</f>
        <v>4.08</v>
      </c>
      <c r="E239" s="248">
        <f>ROUND(D239*(1+'Adaos RESELLER'!$C$122),2)</f>
        <v>4.08</v>
      </c>
      <c r="F239" s="248">
        <f>IF(Select!$E$23=1,C239,IF(Select!$E$23=2,D239,IF(Select!$E$23=3,E239)))</f>
        <v>4.08</v>
      </c>
      <c r="G239" s="77">
        <f t="shared" si="15"/>
        <v>5.6753</v>
      </c>
      <c r="H239" s="77">
        <f t="shared" si="14"/>
        <v>5.68</v>
      </c>
    </row>
    <row r="240" spans="1:8">
      <c r="A240" t="s">
        <v>1890</v>
      </c>
      <c r="B240" s="249">
        <v>6.81</v>
      </c>
      <c r="C240" s="248">
        <f>ROUND(B240*(1-'Disc Dep'!$C$122),2)</f>
        <v>5.04</v>
      </c>
      <c r="D240" s="248">
        <f>ROUND(C240*(1+'Adaos Distr'!$C$122),2)</f>
        <v>5.04</v>
      </c>
      <c r="E240" s="248">
        <f>ROUND(D240*(1+'Adaos RESELLER'!$C$122),2)</f>
        <v>5.04</v>
      </c>
      <c r="F240" s="248">
        <f>IF(Select!$E$23=1,C240,IF(Select!$E$23=2,D240,IF(Select!$E$23=3,E240)))</f>
        <v>5.04</v>
      </c>
      <c r="G240" s="77">
        <f t="shared" si="15"/>
        <v>7.0142999999999995</v>
      </c>
      <c r="H240" s="77">
        <f t="shared" si="14"/>
        <v>7.01</v>
      </c>
    </row>
    <row r="241" spans="1:8">
      <c r="B241" s="249">
        <v>0</v>
      </c>
      <c r="C241" s="248">
        <f>ROUND(B241*(1-'Disc Dep'!$C$122),2)</f>
        <v>0</v>
      </c>
      <c r="D241" s="248">
        <f>ROUND(C241*(1+'Adaos Distr'!$C$122),2)</f>
        <v>0</v>
      </c>
      <c r="E241" s="248">
        <f>ROUND(D241*(1+'Adaos RESELLER'!$C$122),2)</f>
        <v>0</v>
      </c>
      <c r="F241" s="248">
        <f>IF(Select!$E$23=1,C241,IF(Select!$E$23=2,D241,IF(Select!$E$23=3,E241)))</f>
        <v>0</v>
      </c>
      <c r="G241" s="77">
        <f t="shared" ref="G241:G306" si="16">B241*1.03</f>
        <v>0</v>
      </c>
      <c r="H241" s="77">
        <f t="shared" si="14"/>
        <v>0</v>
      </c>
    </row>
    <row r="242" spans="1:8">
      <c r="A242" s="77" t="s">
        <v>2075</v>
      </c>
      <c r="B242" s="249">
        <v>6.16</v>
      </c>
      <c r="C242" s="248">
        <f>ROUND(B242*(1-'Disc Dep'!$C$122),2)</f>
        <v>4.5599999999999996</v>
      </c>
      <c r="D242" s="248">
        <f>ROUND(C242*(1+'Adaos Distr'!$C$122),2)</f>
        <v>4.5599999999999996</v>
      </c>
      <c r="E242" s="248">
        <f>ROUND(D242*(1+'Adaos RESELLER'!$C$122),2)</f>
        <v>4.5599999999999996</v>
      </c>
      <c r="F242" s="248">
        <f>IF(Select!$E$23=1,C242,IF(Select!$E$23=2,D242,IF(Select!$E$23=3,E242)))</f>
        <v>4.5599999999999996</v>
      </c>
      <c r="G242" s="77">
        <f t="shared" si="16"/>
        <v>6.3448000000000002</v>
      </c>
      <c r="H242" s="77">
        <f t="shared" si="14"/>
        <v>6.34</v>
      </c>
    </row>
    <row r="243" spans="1:8">
      <c r="A243" s="77" t="s">
        <v>2076</v>
      </c>
      <c r="B243" s="249">
        <v>6.66</v>
      </c>
      <c r="C243" s="248">
        <f>ROUND(B243*(1-'Disc Dep'!$C$122),2)</f>
        <v>4.93</v>
      </c>
      <c r="D243" s="248">
        <f>ROUND(C243*(1+'Adaos Distr'!$C$122),2)</f>
        <v>4.93</v>
      </c>
      <c r="E243" s="248">
        <f>ROUND(D243*(1+'Adaos RESELLER'!$C$122),2)</f>
        <v>4.93</v>
      </c>
      <c r="F243" s="248">
        <f>IF(Select!$E$23=1,C243,IF(Select!$E$23=2,D243,IF(Select!$E$23=3,E243)))</f>
        <v>4.93</v>
      </c>
      <c r="G243" s="77">
        <f t="shared" si="16"/>
        <v>6.8597999999999999</v>
      </c>
      <c r="H243" s="77">
        <f t="shared" si="14"/>
        <v>6.86</v>
      </c>
    </row>
    <row r="244" spans="1:8">
      <c r="A244" s="77" t="s">
        <v>2077</v>
      </c>
      <c r="B244" s="249">
        <v>7.73</v>
      </c>
      <c r="C244" s="248">
        <f>ROUND(B244*(1-'Disc Dep'!$C$122),2)</f>
        <v>5.72</v>
      </c>
      <c r="D244" s="248">
        <f>ROUND(C244*(1+'Adaos Distr'!$C$122),2)</f>
        <v>5.72</v>
      </c>
      <c r="E244" s="248">
        <f>ROUND(D244*(1+'Adaos RESELLER'!$C$122),2)</f>
        <v>5.72</v>
      </c>
      <c r="F244" s="248">
        <f>IF(Select!$E$23=1,C244,IF(Select!$E$23=2,D244,IF(Select!$E$23=3,E244)))</f>
        <v>5.72</v>
      </c>
      <c r="G244" s="77">
        <f t="shared" si="16"/>
        <v>7.9619000000000009</v>
      </c>
      <c r="H244" s="77">
        <f t="shared" si="14"/>
        <v>7.96</v>
      </c>
    </row>
    <row r="245" spans="1:8">
      <c r="A245" s="77" t="s">
        <v>2078</v>
      </c>
      <c r="B245" s="249">
        <v>8.3000000000000007</v>
      </c>
      <c r="C245" s="248">
        <f>ROUND(B245*(1-'Disc Dep'!$C$122),2)</f>
        <v>6.14</v>
      </c>
      <c r="D245" s="248">
        <f>ROUND(C245*(1+'Adaos Distr'!$C$122),2)</f>
        <v>6.14</v>
      </c>
      <c r="E245" s="248">
        <f>ROUND(D245*(1+'Adaos RESELLER'!$C$122),2)</f>
        <v>6.14</v>
      </c>
      <c r="F245" s="248">
        <f>IF(Select!$E$23=1,C245,IF(Select!$E$23=2,D245,IF(Select!$E$23=3,E245)))</f>
        <v>6.14</v>
      </c>
      <c r="G245" s="77">
        <f t="shared" si="16"/>
        <v>8.5490000000000013</v>
      </c>
      <c r="H245" s="77">
        <f t="shared" si="14"/>
        <v>8.5500000000000007</v>
      </c>
    </row>
    <row r="246" spans="1:8" s="77" customFormat="1">
      <c r="A246" s="77" t="s">
        <v>2079</v>
      </c>
      <c r="B246" s="249">
        <v>10.57</v>
      </c>
      <c r="C246" s="248">
        <f>ROUND(B246*(1-'Disc Dep'!$C$122),2)</f>
        <v>7.82</v>
      </c>
      <c r="D246" s="248">
        <f>ROUND(C246*(1+'Adaos Distr'!$C$122),2)</f>
        <v>7.82</v>
      </c>
      <c r="E246" s="248">
        <f>ROUND(D246*(1+'Adaos RESELLER'!$C$122),2)</f>
        <v>7.82</v>
      </c>
      <c r="F246" s="248">
        <f>IF(Select!$E$23=1,C246,IF(Select!$E$23=2,D246,IF(Select!$E$23=3,E246)))</f>
        <v>7.82</v>
      </c>
      <c r="G246" s="77">
        <f t="shared" si="16"/>
        <v>10.8871</v>
      </c>
      <c r="H246" s="77">
        <f t="shared" si="14"/>
        <v>10.89</v>
      </c>
    </row>
    <row r="247" spans="1:8">
      <c r="A247" s="77" t="s">
        <v>2080</v>
      </c>
      <c r="B247" s="249">
        <v>7.35</v>
      </c>
      <c r="C247" s="248">
        <f>ROUND(B247*(1-'Disc Dep'!$C$122),2)</f>
        <v>5.44</v>
      </c>
      <c r="D247" s="248">
        <f>ROUND(C247*(1+'Adaos Distr'!$C$122),2)</f>
        <v>5.44</v>
      </c>
      <c r="E247" s="248">
        <f>ROUND(D247*(1+'Adaos RESELLER'!$C$122),2)</f>
        <v>5.44</v>
      </c>
      <c r="F247" s="248">
        <f>IF(Select!$E$23=1,C247,IF(Select!$E$23=2,D247,IF(Select!$E$23=3,E247)))</f>
        <v>5.44</v>
      </c>
      <c r="G247" s="77">
        <f t="shared" si="16"/>
        <v>7.5705</v>
      </c>
      <c r="H247" s="77">
        <f t="shared" si="14"/>
        <v>7.57</v>
      </c>
    </row>
    <row r="248" spans="1:8">
      <c r="A248" s="77" t="s">
        <v>2081</v>
      </c>
      <c r="B248" s="249">
        <v>8.2100000000000009</v>
      </c>
      <c r="C248" s="248">
        <f>ROUND(B248*(1-'Disc Dep'!$C$122),2)</f>
        <v>6.08</v>
      </c>
      <c r="D248" s="248">
        <f>ROUND(C248*(1+'Adaos Distr'!$C$122),2)</f>
        <v>6.08</v>
      </c>
      <c r="E248" s="248">
        <f>ROUND(D248*(1+'Adaos RESELLER'!$C$122),2)</f>
        <v>6.08</v>
      </c>
      <c r="F248" s="248">
        <f>IF(Select!$E$23=1,C248,IF(Select!$E$23=2,D248,IF(Select!$E$23=3,E248)))</f>
        <v>6.08</v>
      </c>
      <c r="G248" s="77">
        <f t="shared" si="16"/>
        <v>8.4563000000000006</v>
      </c>
      <c r="H248" s="77">
        <f t="shared" si="14"/>
        <v>8.4600000000000009</v>
      </c>
    </row>
    <row r="249" spans="1:8">
      <c r="A249" s="77" t="s">
        <v>2082</v>
      </c>
      <c r="B249" s="249">
        <v>8.7799999999999994</v>
      </c>
      <c r="C249" s="248">
        <f>ROUND(B249*(1-'Disc Dep'!$C$122),2)</f>
        <v>6.5</v>
      </c>
      <c r="D249" s="248">
        <f>ROUND(C249*(1+'Adaos Distr'!$C$122),2)</f>
        <v>6.5</v>
      </c>
      <c r="E249" s="248">
        <f>ROUND(D249*(1+'Adaos RESELLER'!$C$122),2)</f>
        <v>6.5</v>
      </c>
      <c r="F249" s="248">
        <f>IF(Select!$E$23=1,C249,IF(Select!$E$23=2,D249,IF(Select!$E$23=3,E249)))</f>
        <v>6.5</v>
      </c>
      <c r="G249" s="77">
        <f t="shared" si="16"/>
        <v>9.0434000000000001</v>
      </c>
      <c r="H249" s="77">
        <f t="shared" si="14"/>
        <v>9.0399999999999991</v>
      </c>
    </row>
    <row r="250" spans="1:8">
      <c r="A250" s="77" t="s">
        <v>2083</v>
      </c>
      <c r="B250" s="249">
        <v>12.49</v>
      </c>
      <c r="C250" s="248">
        <f>ROUND(B250*(1-'Disc Dep'!$C$122),2)</f>
        <v>9.24</v>
      </c>
      <c r="D250" s="248">
        <f>ROUND(C250*(1+'Adaos Distr'!$C$122),2)</f>
        <v>9.24</v>
      </c>
      <c r="E250" s="248">
        <f>ROUND(D250*(1+'Adaos RESELLER'!$C$122),2)</f>
        <v>9.24</v>
      </c>
      <c r="F250" s="248">
        <f>IF(Select!$E$23=1,C250,IF(Select!$E$23=2,D250,IF(Select!$E$23=3,E250)))</f>
        <v>9.24</v>
      </c>
      <c r="G250" s="77">
        <f t="shared" si="16"/>
        <v>12.864700000000001</v>
      </c>
      <c r="H250" s="77">
        <f t="shared" si="14"/>
        <v>12.86</v>
      </c>
    </row>
    <row r="251" spans="1:8">
      <c r="A251" s="77" t="s">
        <v>2084</v>
      </c>
      <c r="B251" s="249">
        <v>10.97</v>
      </c>
      <c r="C251" s="248">
        <f>ROUND(B251*(1-'Disc Dep'!$C$122),2)</f>
        <v>8.1199999999999992</v>
      </c>
      <c r="D251" s="248">
        <f>ROUND(C251*(1+'Adaos Distr'!$C$122),2)</f>
        <v>8.1199999999999992</v>
      </c>
      <c r="E251" s="248">
        <f>ROUND(D251*(1+'Adaos RESELLER'!$C$122),2)</f>
        <v>8.1199999999999992</v>
      </c>
      <c r="F251" s="248">
        <f>IF(Select!$E$23=1,C251,IF(Select!$E$23=2,D251,IF(Select!$E$23=3,E251)))</f>
        <v>8.1199999999999992</v>
      </c>
      <c r="G251" s="77">
        <f t="shared" si="16"/>
        <v>11.299100000000001</v>
      </c>
      <c r="H251" s="77">
        <f>B251</f>
        <v>10.97</v>
      </c>
    </row>
    <row r="252" spans="1:8">
      <c r="A252" s="77" t="s">
        <v>2085</v>
      </c>
      <c r="B252" s="249">
        <v>14</v>
      </c>
      <c r="C252" s="248">
        <f>ROUND(B252*(1-'Disc Dep'!$C$122),2)</f>
        <v>10.36</v>
      </c>
      <c r="D252" s="248">
        <f>ROUND(C252*(1+'Adaos Distr'!$C$122),2)</f>
        <v>10.36</v>
      </c>
      <c r="E252" s="248">
        <f>ROUND(D252*(1+'Adaos RESELLER'!$C$122),2)</f>
        <v>10.36</v>
      </c>
      <c r="F252" s="248">
        <f>IF(Select!$E$23=1,C252,IF(Select!$E$23=2,D252,IF(Select!$E$23=3,E252)))</f>
        <v>10.36</v>
      </c>
      <c r="G252" s="77">
        <f t="shared" si="16"/>
        <v>14.42</v>
      </c>
      <c r="H252" s="77">
        <f t="shared" si="14"/>
        <v>14.42</v>
      </c>
    </row>
    <row r="253" spans="1:8">
      <c r="A253" s="77" t="s">
        <v>2086</v>
      </c>
      <c r="B253" s="249">
        <v>12.72</v>
      </c>
      <c r="C253" s="248">
        <f>ROUND(B253*(1-'Disc Dep'!$C$122),2)</f>
        <v>9.41</v>
      </c>
      <c r="D253" s="248">
        <f>ROUND(C253*(1+'Adaos Distr'!$C$122),2)</f>
        <v>9.41</v>
      </c>
      <c r="E253" s="248">
        <f>ROUND(D253*(1+'Adaos RESELLER'!$C$122),2)</f>
        <v>9.41</v>
      </c>
      <c r="F253" s="248">
        <f>IF(Select!$E$23=1,C253,IF(Select!$E$23=2,D253,IF(Select!$E$23=3,E253)))</f>
        <v>9.41</v>
      </c>
      <c r="G253" s="77">
        <f t="shared" si="16"/>
        <v>13.101600000000001</v>
      </c>
      <c r="H253" s="77">
        <f t="shared" si="14"/>
        <v>13.1</v>
      </c>
    </row>
    <row r="254" spans="1:8">
      <c r="A254" s="77" t="s">
        <v>2087</v>
      </c>
      <c r="B254" s="249">
        <v>5.7</v>
      </c>
      <c r="C254" s="248">
        <f>ROUND(B254*(1-'Disc Dep'!$C$122),2)</f>
        <v>4.22</v>
      </c>
      <c r="D254" s="248">
        <f>ROUND(C254*(1+'Adaos Distr'!$C$122),2)</f>
        <v>4.22</v>
      </c>
      <c r="E254" s="248">
        <f>ROUND(D254*(1+'Adaos RESELLER'!$C$122),2)</f>
        <v>4.22</v>
      </c>
      <c r="F254" s="248">
        <f>IF(Select!$E$23=1,C254,IF(Select!$E$23=2,D254,IF(Select!$E$23=3,E254)))</f>
        <v>4.22</v>
      </c>
      <c r="G254" s="77">
        <f t="shared" si="16"/>
        <v>5.8710000000000004</v>
      </c>
      <c r="H254" s="77">
        <f t="shared" si="14"/>
        <v>5.87</v>
      </c>
    </row>
    <row r="255" spans="1:8">
      <c r="A255" s="77" t="s">
        <v>2088</v>
      </c>
      <c r="B255" s="249">
        <v>6.97</v>
      </c>
      <c r="C255" s="248">
        <f>ROUND(B255*(1-'Disc Dep'!$C$122),2)</f>
        <v>5.16</v>
      </c>
      <c r="D255" s="248">
        <f>ROUND(C255*(1+'Adaos Distr'!$C$122),2)</f>
        <v>5.16</v>
      </c>
      <c r="E255" s="248">
        <f>ROUND(D255*(1+'Adaos RESELLER'!$C$122),2)</f>
        <v>5.16</v>
      </c>
      <c r="F255" s="248">
        <f>IF(Select!$E$23=1,C255,IF(Select!$E$23=2,D255,IF(Select!$E$23=3,E255)))</f>
        <v>5.16</v>
      </c>
      <c r="G255" s="77">
        <f t="shared" si="16"/>
        <v>7.1791</v>
      </c>
      <c r="H255" s="77">
        <f t="shared" si="14"/>
        <v>7.18</v>
      </c>
    </row>
    <row r="256" spans="1:8" s="77" customFormat="1">
      <c r="B256" s="249">
        <v>0</v>
      </c>
      <c r="C256" s="248"/>
      <c r="D256" s="248"/>
      <c r="E256" s="248"/>
      <c r="F256" s="248"/>
      <c r="G256" s="77">
        <f t="shared" si="16"/>
        <v>0</v>
      </c>
      <c r="H256" s="77">
        <f t="shared" si="14"/>
        <v>0</v>
      </c>
    </row>
    <row r="257" spans="1:8" s="77" customFormat="1">
      <c r="A257" s="77" t="s">
        <v>2089</v>
      </c>
      <c r="B257" s="249">
        <v>6.16</v>
      </c>
      <c r="C257" s="248">
        <f>ROUND(B257*(1-'Disc Dep'!$C$122),2)</f>
        <v>4.5599999999999996</v>
      </c>
      <c r="D257" s="248">
        <f>ROUND(C257*(1+'Adaos Distr'!$C$122),2)</f>
        <v>4.5599999999999996</v>
      </c>
      <c r="E257" s="248">
        <f>ROUND(D257*(1+'Adaos RESELLER'!$C$122),2)</f>
        <v>4.5599999999999996</v>
      </c>
      <c r="F257" s="248">
        <f>IF(Select!$E$23=1,C257,IF(Select!$E$23=2,D257,IF(Select!$E$23=3,E257)))</f>
        <v>4.5599999999999996</v>
      </c>
      <c r="G257" s="77">
        <f t="shared" si="16"/>
        <v>6.3448000000000002</v>
      </c>
      <c r="H257" s="77">
        <f t="shared" si="14"/>
        <v>6.34</v>
      </c>
    </row>
    <row r="258" spans="1:8" s="77" customFormat="1">
      <c r="A258" s="77" t="s">
        <v>2090</v>
      </c>
      <c r="B258" s="249">
        <v>6.66</v>
      </c>
      <c r="C258" s="248">
        <f>ROUND(B258*(1-'Disc Dep'!$C$122),2)</f>
        <v>4.93</v>
      </c>
      <c r="D258" s="248">
        <f>ROUND(C258*(1+'Adaos Distr'!$C$122),2)</f>
        <v>4.93</v>
      </c>
      <c r="E258" s="248">
        <f>ROUND(D258*(1+'Adaos RESELLER'!$C$122),2)</f>
        <v>4.93</v>
      </c>
      <c r="F258" s="248">
        <f>IF(Select!$E$23=1,C258,IF(Select!$E$23=2,D258,IF(Select!$E$23=3,E258)))</f>
        <v>4.93</v>
      </c>
      <c r="G258" s="77">
        <f t="shared" si="16"/>
        <v>6.8597999999999999</v>
      </c>
      <c r="H258" s="77">
        <f t="shared" si="14"/>
        <v>6.86</v>
      </c>
    </row>
    <row r="259" spans="1:8" s="77" customFormat="1">
      <c r="A259" s="77" t="s">
        <v>2091</v>
      </c>
      <c r="B259" s="249">
        <v>7.73</v>
      </c>
      <c r="C259" s="248">
        <f>ROUND(B259*(1-'Disc Dep'!$C$122),2)</f>
        <v>5.72</v>
      </c>
      <c r="D259" s="248">
        <f>ROUND(C259*(1+'Adaos Distr'!$C$122),2)</f>
        <v>5.72</v>
      </c>
      <c r="E259" s="248">
        <f>ROUND(D259*(1+'Adaos RESELLER'!$C$122),2)</f>
        <v>5.72</v>
      </c>
      <c r="F259" s="248">
        <f>IF(Select!$E$23=1,C259,IF(Select!$E$23=2,D259,IF(Select!$E$23=3,E259)))</f>
        <v>5.72</v>
      </c>
      <c r="G259" s="77">
        <f t="shared" si="16"/>
        <v>7.9619000000000009</v>
      </c>
      <c r="H259" s="77">
        <f t="shared" si="14"/>
        <v>7.96</v>
      </c>
    </row>
    <row r="260" spans="1:8" s="77" customFormat="1">
      <c r="A260" s="77" t="s">
        <v>2092</v>
      </c>
      <c r="B260" s="249">
        <v>8.3000000000000007</v>
      </c>
      <c r="C260" s="248">
        <f>ROUND(B260*(1-'Disc Dep'!$C$122),2)</f>
        <v>6.14</v>
      </c>
      <c r="D260" s="248">
        <f>ROUND(C260*(1+'Adaos Distr'!$C$122),2)</f>
        <v>6.14</v>
      </c>
      <c r="E260" s="248">
        <f>ROUND(D260*(1+'Adaos RESELLER'!$C$122),2)</f>
        <v>6.14</v>
      </c>
      <c r="F260" s="248">
        <f>IF(Select!$E$23=1,C260,IF(Select!$E$23=2,D260,IF(Select!$E$23=3,E260)))</f>
        <v>6.14</v>
      </c>
      <c r="G260" s="77">
        <f t="shared" si="16"/>
        <v>8.5490000000000013</v>
      </c>
      <c r="H260" s="77">
        <f t="shared" si="14"/>
        <v>8.5500000000000007</v>
      </c>
    </row>
    <row r="261" spans="1:8" s="77" customFormat="1">
      <c r="A261" s="77" t="s">
        <v>2093</v>
      </c>
      <c r="B261" s="249">
        <v>10.57</v>
      </c>
      <c r="C261" s="248">
        <f>ROUND(B261*(1-'Disc Dep'!$C$122),2)</f>
        <v>7.82</v>
      </c>
      <c r="D261" s="248">
        <f>ROUND(C261*(1+'Adaos Distr'!$C$122),2)</f>
        <v>7.82</v>
      </c>
      <c r="E261" s="248">
        <f>ROUND(D261*(1+'Adaos RESELLER'!$C$122),2)</f>
        <v>7.82</v>
      </c>
      <c r="F261" s="248">
        <f>IF(Select!$E$23=1,C261,IF(Select!$E$23=2,D261,IF(Select!$E$23=3,E261)))</f>
        <v>7.82</v>
      </c>
      <c r="G261" s="77">
        <f t="shared" si="16"/>
        <v>10.8871</v>
      </c>
      <c r="H261" s="77">
        <f t="shared" si="14"/>
        <v>10.89</v>
      </c>
    </row>
    <row r="262" spans="1:8" s="77" customFormat="1">
      <c r="A262" s="77" t="s">
        <v>2094</v>
      </c>
      <c r="B262" s="249">
        <v>7.35</v>
      </c>
      <c r="C262" s="248">
        <f>ROUND(B262*(1-'Disc Dep'!$C$122),2)</f>
        <v>5.44</v>
      </c>
      <c r="D262" s="248">
        <f>ROUND(C262*(1+'Adaos Distr'!$C$122),2)</f>
        <v>5.44</v>
      </c>
      <c r="E262" s="248">
        <f>ROUND(D262*(1+'Adaos RESELLER'!$C$122),2)</f>
        <v>5.44</v>
      </c>
      <c r="F262" s="248">
        <f>IF(Select!$E$23=1,C262,IF(Select!$E$23=2,D262,IF(Select!$E$23=3,E262)))</f>
        <v>5.44</v>
      </c>
      <c r="G262" s="77">
        <f t="shared" si="16"/>
        <v>7.5705</v>
      </c>
      <c r="H262" s="77">
        <f t="shared" si="14"/>
        <v>7.57</v>
      </c>
    </row>
    <row r="263" spans="1:8" s="77" customFormat="1">
      <c r="A263" s="77" t="s">
        <v>2095</v>
      </c>
      <c r="B263" s="249">
        <v>8.2100000000000009</v>
      </c>
      <c r="C263" s="248">
        <f>ROUND(B263*(1-'Disc Dep'!$C$122),2)</f>
        <v>6.08</v>
      </c>
      <c r="D263" s="248">
        <f>ROUND(C263*(1+'Adaos Distr'!$C$122),2)</f>
        <v>6.08</v>
      </c>
      <c r="E263" s="248">
        <f>ROUND(D263*(1+'Adaos RESELLER'!$C$122),2)</f>
        <v>6.08</v>
      </c>
      <c r="F263" s="248">
        <f>IF(Select!$E$23=1,C263,IF(Select!$E$23=2,D263,IF(Select!$E$23=3,E263)))</f>
        <v>6.08</v>
      </c>
      <c r="G263" s="77">
        <f t="shared" si="16"/>
        <v>8.4563000000000006</v>
      </c>
      <c r="H263" s="77">
        <f t="shared" si="14"/>
        <v>8.4600000000000009</v>
      </c>
    </row>
    <row r="264" spans="1:8" s="77" customFormat="1">
      <c r="A264" s="77" t="s">
        <v>2096</v>
      </c>
      <c r="B264" s="249">
        <v>8.7799999999999994</v>
      </c>
      <c r="C264" s="248">
        <f>ROUND(B264*(1-'Disc Dep'!$C$122),2)</f>
        <v>6.5</v>
      </c>
      <c r="D264" s="248">
        <f>ROUND(C264*(1+'Adaos Distr'!$C$122),2)</f>
        <v>6.5</v>
      </c>
      <c r="E264" s="248">
        <f>ROUND(D264*(1+'Adaos RESELLER'!$C$122),2)</f>
        <v>6.5</v>
      </c>
      <c r="F264" s="248">
        <f>IF(Select!$E$23=1,C264,IF(Select!$E$23=2,D264,IF(Select!$E$23=3,E264)))</f>
        <v>6.5</v>
      </c>
      <c r="G264" s="77">
        <f t="shared" si="16"/>
        <v>9.0434000000000001</v>
      </c>
      <c r="H264" s="77">
        <f t="shared" si="14"/>
        <v>9.0399999999999991</v>
      </c>
    </row>
    <row r="265" spans="1:8" s="77" customFormat="1">
      <c r="A265" s="77" t="s">
        <v>2097</v>
      </c>
      <c r="B265" s="249">
        <v>12.49</v>
      </c>
      <c r="C265" s="248">
        <f>ROUND(B265*(1-'Disc Dep'!$C$122),2)</f>
        <v>9.24</v>
      </c>
      <c r="D265" s="248">
        <f>ROUND(C265*(1+'Adaos Distr'!$C$122),2)</f>
        <v>9.24</v>
      </c>
      <c r="E265" s="248">
        <f>ROUND(D265*(1+'Adaos RESELLER'!$C$122),2)</f>
        <v>9.24</v>
      </c>
      <c r="F265" s="248">
        <f>IF(Select!$E$23=1,C265,IF(Select!$E$23=2,D265,IF(Select!$E$23=3,E265)))</f>
        <v>9.24</v>
      </c>
      <c r="G265" s="77">
        <f t="shared" si="16"/>
        <v>12.864700000000001</v>
      </c>
      <c r="H265" s="77">
        <f t="shared" si="14"/>
        <v>12.86</v>
      </c>
    </row>
    <row r="266" spans="1:8" s="77" customFormat="1">
      <c r="A266" s="77" t="s">
        <v>2098</v>
      </c>
      <c r="B266" s="249">
        <v>10.97</v>
      </c>
      <c r="C266" s="248">
        <f>ROUND(B266*(1-'Disc Dep'!$C$122),2)</f>
        <v>8.1199999999999992</v>
      </c>
      <c r="D266" s="248">
        <f>ROUND(C266*(1+'Adaos Distr'!$C$122),2)</f>
        <v>8.1199999999999992</v>
      </c>
      <c r="E266" s="248">
        <f>ROUND(D266*(1+'Adaos RESELLER'!$C$122),2)</f>
        <v>8.1199999999999992</v>
      </c>
      <c r="F266" s="248">
        <f>IF(Select!$E$23=1,C266,IF(Select!$E$23=2,D266,IF(Select!$E$23=3,E266)))</f>
        <v>8.1199999999999992</v>
      </c>
      <c r="G266" s="77">
        <f t="shared" si="16"/>
        <v>11.299100000000001</v>
      </c>
      <c r="H266" s="77">
        <f>B266</f>
        <v>10.97</v>
      </c>
    </row>
    <row r="267" spans="1:8" s="77" customFormat="1">
      <c r="A267" s="77" t="s">
        <v>2099</v>
      </c>
      <c r="B267" s="249">
        <v>14</v>
      </c>
      <c r="C267" s="248">
        <f>ROUND(B267*(1-'Disc Dep'!$C$122),2)</f>
        <v>10.36</v>
      </c>
      <c r="D267" s="248">
        <f>ROUND(C267*(1+'Adaos Distr'!$C$122),2)</f>
        <v>10.36</v>
      </c>
      <c r="E267" s="248">
        <f>ROUND(D267*(1+'Adaos RESELLER'!$C$122),2)</f>
        <v>10.36</v>
      </c>
      <c r="F267" s="248">
        <f>IF(Select!$E$23=1,C267,IF(Select!$E$23=2,D267,IF(Select!$E$23=3,E267)))</f>
        <v>10.36</v>
      </c>
      <c r="G267" s="77">
        <f t="shared" si="16"/>
        <v>14.42</v>
      </c>
      <c r="H267" s="77">
        <f t="shared" si="14"/>
        <v>14.42</v>
      </c>
    </row>
    <row r="268" spans="1:8" s="77" customFormat="1">
      <c r="A268" s="77" t="s">
        <v>2100</v>
      </c>
      <c r="B268" s="249">
        <v>12.72</v>
      </c>
      <c r="C268" s="248">
        <f>ROUND(B268*(1-'Disc Dep'!$C$122),2)</f>
        <v>9.41</v>
      </c>
      <c r="D268" s="248">
        <f>ROUND(C268*(1+'Adaos Distr'!$C$122),2)</f>
        <v>9.41</v>
      </c>
      <c r="E268" s="248">
        <f>ROUND(D268*(1+'Adaos RESELLER'!$C$122),2)</f>
        <v>9.41</v>
      </c>
      <c r="F268" s="248">
        <f>IF(Select!$E$23=1,C268,IF(Select!$E$23=2,D268,IF(Select!$E$23=3,E268)))</f>
        <v>9.41</v>
      </c>
      <c r="G268" s="77">
        <f t="shared" si="16"/>
        <v>13.101600000000001</v>
      </c>
      <c r="H268" s="77">
        <f t="shared" si="14"/>
        <v>13.1</v>
      </c>
    </row>
    <row r="269" spans="1:8" s="77" customFormat="1">
      <c r="A269" s="77" t="s">
        <v>2101</v>
      </c>
      <c r="B269" s="249">
        <v>5.7</v>
      </c>
      <c r="C269" s="248">
        <f>ROUND(B269*(1-'Disc Dep'!$C$122),2)</f>
        <v>4.22</v>
      </c>
      <c r="D269" s="248">
        <f>ROUND(C269*(1+'Adaos Distr'!$C$122),2)</f>
        <v>4.22</v>
      </c>
      <c r="E269" s="248">
        <f>ROUND(D269*(1+'Adaos RESELLER'!$C$122),2)</f>
        <v>4.22</v>
      </c>
      <c r="F269" s="248">
        <f>IF(Select!$E$23=1,C269,IF(Select!$E$23=2,D269,IF(Select!$E$23=3,E269)))</f>
        <v>4.22</v>
      </c>
      <c r="G269" s="77">
        <f t="shared" si="16"/>
        <v>5.8710000000000004</v>
      </c>
      <c r="H269" s="77">
        <f t="shared" si="14"/>
        <v>5.87</v>
      </c>
    </row>
    <row r="270" spans="1:8" s="77" customFormat="1">
      <c r="A270" s="77" t="s">
        <v>2102</v>
      </c>
      <c r="B270" s="249">
        <v>6.97</v>
      </c>
      <c r="C270" s="248">
        <f>ROUND(B270*(1-'Disc Dep'!$C$122),2)</f>
        <v>5.16</v>
      </c>
      <c r="D270" s="248">
        <f>ROUND(C270*(1+'Adaos Distr'!$C$122),2)</f>
        <v>5.16</v>
      </c>
      <c r="E270" s="248">
        <f>ROUND(D270*(1+'Adaos RESELLER'!$C$122),2)</f>
        <v>5.16</v>
      </c>
      <c r="F270" s="248">
        <f>IF(Select!$E$23=1,C270,IF(Select!$E$23=2,D270,IF(Select!$E$23=3,E270)))</f>
        <v>5.16</v>
      </c>
      <c r="G270" s="77">
        <f t="shared" si="16"/>
        <v>7.1791</v>
      </c>
      <c r="H270" s="77">
        <f t="shared" si="14"/>
        <v>7.18</v>
      </c>
    </row>
    <row r="271" spans="1:8">
      <c r="B271" s="249">
        <v>0</v>
      </c>
      <c r="C271" s="248">
        <f>ROUND(B271*(1-'Disc Dep'!$C$122),2)</f>
        <v>0</v>
      </c>
      <c r="D271" s="248">
        <f>ROUND(C271*(1+'Adaos Distr'!$C$122),2)</f>
        <v>0</v>
      </c>
      <c r="E271" s="248">
        <f>ROUND(D271*(1+'Adaos RESELLER'!$C$122),2)</f>
        <v>0</v>
      </c>
      <c r="F271" s="248">
        <f>IF(Select!$E$23=1,C271,IF(Select!$E$23=2,D271,IF(Select!$E$23=3,E271)))</f>
        <v>0</v>
      </c>
      <c r="G271" s="77">
        <f t="shared" si="16"/>
        <v>0</v>
      </c>
      <c r="H271" s="77">
        <f t="shared" si="14"/>
        <v>0</v>
      </c>
    </row>
    <row r="272" spans="1:8">
      <c r="A272" s="77" t="s">
        <v>1891</v>
      </c>
      <c r="B272" s="249">
        <v>6.16</v>
      </c>
      <c r="C272" s="248">
        <f>ROUND(B272*(1-'Disc Dep'!$C$122),2)</f>
        <v>4.5599999999999996</v>
      </c>
      <c r="D272" s="248">
        <f>ROUND(C272*(1+'Adaos Distr'!$C$122),2)</f>
        <v>4.5599999999999996</v>
      </c>
      <c r="E272" s="248">
        <f>ROUND(D272*(1+'Adaos RESELLER'!$C$122),2)</f>
        <v>4.5599999999999996</v>
      </c>
      <c r="F272" s="248">
        <f>IF(Select!$E$23=1,C272,IF(Select!$E$23=2,D272,IF(Select!$E$23=3,E272)))</f>
        <v>4.5599999999999996</v>
      </c>
      <c r="G272" s="77">
        <f t="shared" si="16"/>
        <v>6.3448000000000002</v>
      </c>
      <c r="H272" s="77">
        <f t="shared" si="14"/>
        <v>6.34</v>
      </c>
    </row>
    <row r="273" spans="1:8">
      <c r="A273" t="s">
        <v>1892</v>
      </c>
      <c r="B273" s="249">
        <v>6.66</v>
      </c>
      <c r="C273" s="248">
        <f>ROUND(B273*(1-'Disc Dep'!$C$122),2)</f>
        <v>4.93</v>
      </c>
      <c r="D273" s="248">
        <f>ROUND(C273*(1+'Adaos Distr'!$C$122),2)</f>
        <v>4.93</v>
      </c>
      <c r="E273" s="248">
        <f>ROUND(D273*(1+'Adaos RESELLER'!$C$122),2)</f>
        <v>4.93</v>
      </c>
      <c r="F273" s="248">
        <f>IF(Select!$E$23=1,C273,IF(Select!$E$23=2,D273,IF(Select!$E$23=3,E273)))</f>
        <v>4.93</v>
      </c>
      <c r="G273" s="77">
        <f t="shared" si="16"/>
        <v>6.8597999999999999</v>
      </c>
      <c r="H273" s="77">
        <f t="shared" si="14"/>
        <v>6.86</v>
      </c>
    </row>
    <row r="274" spans="1:8">
      <c r="A274" t="s">
        <v>1893</v>
      </c>
      <c r="B274" s="249">
        <v>7.73</v>
      </c>
      <c r="C274" s="248">
        <f>ROUND(B274*(1-'Disc Dep'!$C$122),2)</f>
        <v>5.72</v>
      </c>
      <c r="D274" s="248">
        <f>ROUND(C274*(1+'Adaos Distr'!$C$122),2)</f>
        <v>5.72</v>
      </c>
      <c r="E274" s="248">
        <f>ROUND(D274*(1+'Adaos RESELLER'!$C$122),2)</f>
        <v>5.72</v>
      </c>
      <c r="F274" s="248">
        <f>IF(Select!$E$23=1,C274,IF(Select!$E$23=2,D274,IF(Select!$E$23=3,E274)))</f>
        <v>5.72</v>
      </c>
      <c r="G274" s="77">
        <f t="shared" si="16"/>
        <v>7.9619000000000009</v>
      </c>
      <c r="H274" s="77">
        <f t="shared" si="14"/>
        <v>7.96</v>
      </c>
    </row>
    <row r="275" spans="1:8">
      <c r="A275" t="s">
        <v>1894</v>
      </c>
      <c r="B275" s="249">
        <v>8.3000000000000007</v>
      </c>
      <c r="C275" s="248">
        <f>ROUND(B275*(1-'Disc Dep'!$C$122),2)</f>
        <v>6.14</v>
      </c>
      <c r="D275" s="248">
        <f>ROUND(C275*(1+'Adaos Distr'!$C$122),2)</f>
        <v>6.14</v>
      </c>
      <c r="E275" s="248">
        <f>ROUND(D275*(1+'Adaos RESELLER'!$C$122),2)</f>
        <v>6.14</v>
      </c>
      <c r="F275" s="248">
        <f>IF(Select!$E$23=1,C275,IF(Select!$E$23=2,D275,IF(Select!$E$23=3,E275)))</f>
        <v>6.14</v>
      </c>
      <c r="G275" s="77">
        <f t="shared" si="16"/>
        <v>8.5490000000000013</v>
      </c>
      <c r="H275" s="77">
        <f t="shared" si="14"/>
        <v>8.5500000000000007</v>
      </c>
    </row>
    <row r="276" spans="1:8" s="77" customFormat="1">
      <c r="A276" s="77" t="s">
        <v>2060</v>
      </c>
      <c r="B276" s="249">
        <v>10.57</v>
      </c>
      <c r="C276" s="248">
        <f>ROUND(B276*(1-'Disc Dep'!$C$122),2)</f>
        <v>7.82</v>
      </c>
      <c r="D276" s="248">
        <f>ROUND(C276*(1+'Adaos Distr'!$C$122),2)</f>
        <v>7.82</v>
      </c>
      <c r="E276" s="248">
        <f>ROUND(D276*(1+'Adaos RESELLER'!$C$122),2)</f>
        <v>7.82</v>
      </c>
      <c r="F276" s="248">
        <f>IF(Select!$E$23=1,C276,IF(Select!$E$23=2,D276,IF(Select!$E$23=3,E276)))</f>
        <v>7.82</v>
      </c>
      <c r="G276" s="77">
        <f t="shared" si="16"/>
        <v>10.8871</v>
      </c>
      <c r="H276" s="77">
        <f t="shared" si="14"/>
        <v>10.89</v>
      </c>
    </row>
    <row r="277" spans="1:8">
      <c r="A277" t="s">
        <v>1895</v>
      </c>
      <c r="B277" s="249">
        <v>7.35</v>
      </c>
      <c r="C277" s="248">
        <f>ROUND(B277*(1-'Disc Dep'!$C$122),2)</f>
        <v>5.44</v>
      </c>
      <c r="D277" s="248">
        <f>ROUND(C277*(1+'Adaos Distr'!$C$122),2)</f>
        <v>5.44</v>
      </c>
      <c r="E277" s="248">
        <f>ROUND(D277*(1+'Adaos RESELLER'!$C$122),2)</f>
        <v>5.44</v>
      </c>
      <c r="F277" s="248">
        <f>IF(Select!$E$23=1,C277,IF(Select!$E$23=2,D277,IF(Select!$E$23=3,E277)))</f>
        <v>5.44</v>
      </c>
      <c r="G277" s="77">
        <f t="shared" si="16"/>
        <v>7.5705</v>
      </c>
      <c r="H277" s="77">
        <f t="shared" si="14"/>
        <v>7.57</v>
      </c>
    </row>
    <row r="278" spans="1:8">
      <c r="A278" t="s">
        <v>1896</v>
      </c>
      <c r="B278" s="249">
        <v>8.2100000000000009</v>
      </c>
      <c r="C278" s="248">
        <f>ROUND(B278*(1-'Disc Dep'!$C$122),2)</f>
        <v>6.08</v>
      </c>
      <c r="D278" s="248">
        <f>ROUND(C278*(1+'Adaos Distr'!$C$122),2)</f>
        <v>6.08</v>
      </c>
      <c r="E278" s="248">
        <f>ROUND(D278*(1+'Adaos RESELLER'!$C$122),2)</f>
        <v>6.08</v>
      </c>
      <c r="F278" s="248">
        <f>IF(Select!$E$23=1,C278,IF(Select!$E$23=2,D278,IF(Select!$E$23=3,E278)))</f>
        <v>6.08</v>
      </c>
      <c r="G278" s="77">
        <f t="shared" si="16"/>
        <v>8.4563000000000006</v>
      </c>
      <c r="H278" s="77">
        <f t="shared" si="14"/>
        <v>8.4600000000000009</v>
      </c>
    </row>
    <row r="279" spans="1:8">
      <c r="A279" t="s">
        <v>1897</v>
      </c>
      <c r="B279" s="249">
        <v>8.7799999999999994</v>
      </c>
      <c r="C279" s="248">
        <f>ROUND(B279*(1-'Disc Dep'!$C$122),2)</f>
        <v>6.5</v>
      </c>
      <c r="D279" s="248">
        <f>ROUND(C279*(1+'Adaos Distr'!$C$122),2)</f>
        <v>6.5</v>
      </c>
      <c r="E279" s="248">
        <f>ROUND(D279*(1+'Adaos RESELLER'!$C$122),2)</f>
        <v>6.5</v>
      </c>
      <c r="F279" s="248">
        <f>IF(Select!$E$23=1,C279,IF(Select!$E$23=2,D279,IF(Select!$E$23=3,E279)))</f>
        <v>6.5</v>
      </c>
      <c r="G279" s="77">
        <f t="shared" si="16"/>
        <v>9.0434000000000001</v>
      </c>
      <c r="H279" s="77">
        <f t="shared" si="14"/>
        <v>9.0399999999999991</v>
      </c>
    </row>
    <row r="280" spans="1:8" s="77" customFormat="1">
      <c r="A280" s="77" t="s">
        <v>3214</v>
      </c>
      <c r="B280" s="249">
        <v>9.58</v>
      </c>
      <c r="C280" s="248">
        <f>ROUND(B280*(1-'Disc Dep'!$C$122),2)</f>
        <v>7.09</v>
      </c>
      <c r="D280" s="248">
        <f>ROUND(C280*(1+'Adaos Distr'!$C$122),2)</f>
        <v>7.09</v>
      </c>
      <c r="E280" s="248">
        <f>ROUND(D280*(1+'Adaos RESELLER'!$C$122),2)</f>
        <v>7.09</v>
      </c>
      <c r="F280" s="248">
        <f>IF(Select!$E$23=1,C280,IF(Select!$E$23=2,D280,IF(Select!$E$23=3,E280)))</f>
        <v>7.09</v>
      </c>
      <c r="G280" s="77">
        <f t="shared" si="16"/>
        <v>9.8673999999999999</v>
      </c>
      <c r="H280" s="77">
        <f t="shared" si="14"/>
        <v>9.8699999999999992</v>
      </c>
    </row>
    <row r="281" spans="1:8">
      <c r="A281" t="s">
        <v>1898</v>
      </c>
      <c r="B281" s="249">
        <v>12.49</v>
      </c>
      <c r="C281" s="248">
        <f>ROUND(B281*(1-'Disc Dep'!$C$122),2)</f>
        <v>9.24</v>
      </c>
      <c r="D281" s="248">
        <f>ROUND(C281*(1+'Adaos Distr'!$C$122),2)</f>
        <v>9.24</v>
      </c>
      <c r="E281" s="248">
        <f>ROUND(D281*(1+'Adaos RESELLER'!$C$122),2)</f>
        <v>9.24</v>
      </c>
      <c r="F281" s="248">
        <f>IF(Select!$E$23=1,C281,IF(Select!$E$23=2,D281,IF(Select!$E$23=3,E281)))</f>
        <v>9.24</v>
      </c>
      <c r="G281" s="77">
        <f t="shared" si="16"/>
        <v>12.864700000000001</v>
      </c>
      <c r="H281" s="77">
        <f t="shared" si="14"/>
        <v>12.86</v>
      </c>
    </row>
    <row r="282" spans="1:8">
      <c r="A282" t="s">
        <v>1899</v>
      </c>
      <c r="B282" s="249">
        <v>10.97</v>
      </c>
      <c r="C282" s="248">
        <f>ROUND(B282*(1-'Disc Dep'!$C$122),2)</f>
        <v>8.1199999999999992</v>
      </c>
      <c r="D282" s="248">
        <f>ROUND(C282*(1+'Adaos Distr'!$C$122),2)</f>
        <v>8.1199999999999992</v>
      </c>
      <c r="E282" s="248">
        <f>ROUND(D282*(1+'Adaos RESELLER'!$C$122),2)</f>
        <v>8.1199999999999992</v>
      </c>
      <c r="F282" s="248">
        <f>IF(Select!$E$23=1,C282,IF(Select!$E$23=2,D282,IF(Select!$E$23=3,E282)))</f>
        <v>8.1199999999999992</v>
      </c>
      <c r="G282" s="77">
        <f t="shared" si="16"/>
        <v>11.299100000000001</v>
      </c>
      <c r="H282" s="77">
        <f>B282</f>
        <v>10.97</v>
      </c>
    </row>
    <row r="283" spans="1:8">
      <c r="A283" t="s">
        <v>1900</v>
      </c>
      <c r="B283" s="249">
        <v>14</v>
      </c>
      <c r="C283" s="248">
        <f>ROUND(B283*(1-'Disc Dep'!$C$122),2)</f>
        <v>10.36</v>
      </c>
      <c r="D283" s="248">
        <f>ROUND(C283*(1+'Adaos Distr'!$C$122),2)</f>
        <v>10.36</v>
      </c>
      <c r="E283" s="248">
        <f>ROUND(D283*(1+'Adaos RESELLER'!$C$122),2)</f>
        <v>10.36</v>
      </c>
      <c r="F283" s="248">
        <f>IF(Select!$E$23=1,C283,IF(Select!$E$23=2,D283,IF(Select!$E$23=3,E283)))</f>
        <v>10.36</v>
      </c>
      <c r="G283" s="77">
        <f t="shared" si="16"/>
        <v>14.42</v>
      </c>
      <c r="H283" s="77">
        <f t="shared" si="14"/>
        <v>14.42</v>
      </c>
    </row>
    <row r="284" spans="1:8">
      <c r="A284" t="s">
        <v>1901</v>
      </c>
      <c r="B284" s="249">
        <v>12.72</v>
      </c>
      <c r="C284" s="248">
        <f>ROUND(B284*(1-'Disc Dep'!$C$122),2)</f>
        <v>9.41</v>
      </c>
      <c r="D284" s="248">
        <f>ROUND(C284*(1+'Adaos Distr'!$C$122),2)</f>
        <v>9.41</v>
      </c>
      <c r="E284" s="248">
        <f>ROUND(D284*(1+'Adaos RESELLER'!$C$122),2)</f>
        <v>9.41</v>
      </c>
      <c r="F284" s="248">
        <f>IF(Select!$E$23=1,C284,IF(Select!$E$23=2,D284,IF(Select!$E$23=3,E284)))</f>
        <v>9.41</v>
      </c>
      <c r="G284" s="77">
        <f t="shared" si="16"/>
        <v>13.101600000000001</v>
      </c>
      <c r="H284" s="77">
        <f t="shared" si="14"/>
        <v>13.1</v>
      </c>
    </row>
    <row r="285" spans="1:8">
      <c r="A285" t="s">
        <v>1902</v>
      </c>
      <c r="B285" s="249">
        <v>5.7</v>
      </c>
      <c r="C285" s="248">
        <f>ROUND(B285*(1-'Disc Dep'!$C$122),2)</f>
        <v>4.22</v>
      </c>
      <c r="D285" s="248">
        <f>ROUND(C285*(1+'Adaos Distr'!$C$122),2)</f>
        <v>4.22</v>
      </c>
      <c r="E285" s="248">
        <f>ROUND(D285*(1+'Adaos RESELLER'!$C$122),2)</f>
        <v>4.22</v>
      </c>
      <c r="F285" s="248">
        <f>IF(Select!$E$23=1,C285,IF(Select!$E$23=2,D285,IF(Select!$E$23=3,E285)))</f>
        <v>4.22</v>
      </c>
      <c r="G285" s="77">
        <f t="shared" si="16"/>
        <v>5.8710000000000004</v>
      </c>
      <c r="H285" s="77">
        <f t="shared" si="14"/>
        <v>5.87</v>
      </c>
    </row>
    <row r="286" spans="1:8">
      <c r="A286" t="s">
        <v>1903</v>
      </c>
      <c r="B286" s="249">
        <v>6.97</v>
      </c>
      <c r="C286" s="248">
        <f>ROUND(B286*(1-'Disc Dep'!$C$122),2)</f>
        <v>5.16</v>
      </c>
      <c r="D286" s="248">
        <f>ROUND(C286*(1+'Adaos Distr'!$C$122),2)</f>
        <v>5.16</v>
      </c>
      <c r="E286" s="248">
        <f>ROUND(D286*(1+'Adaos RESELLER'!$C$122),2)</f>
        <v>5.16</v>
      </c>
      <c r="F286" s="248">
        <f>IF(Select!$E$23=1,C286,IF(Select!$E$23=2,D286,IF(Select!$E$23=3,E286)))</f>
        <v>5.16</v>
      </c>
      <c r="G286" s="77">
        <f t="shared" si="16"/>
        <v>7.1791</v>
      </c>
      <c r="H286" s="77">
        <f t="shared" si="14"/>
        <v>7.18</v>
      </c>
    </row>
    <row r="287" spans="1:8">
      <c r="B287" s="249">
        <v>0</v>
      </c>
      <c r="C287" s="248">
        <f>ROUND(B287*(1-'Disc Dep'!$C$122),2)</f>
        <v>0</v>
      </c>
      <c r="D287" s="248">
        <f>ROUND(C287*(1+'Adaos Distr'!$C$122),2)</f>
        <v>0</v>
      </c>
      <c r="E287" s="248">
        <f>ROUND(D287*(1+'Adaos RESELLER'!$C$122),2)</f>
        <v>0</v>
      </c>
      <c r="F287" s="248">
        <f>IF(Select!$E$23=1,C287,IF(Select!$E$23=2,D287,IF(Select!$E$23=3,E287)))</f>
        <v>0</v>
      </c>
      <c r="G287" s="77">
        <f t="shared" si="16"/>
        <v>0</v>
      </c>
      <c r="H287" s="77">
        <f t="shared" si="14"/>
        <v>0</v>
      </c>
    </row>
    <row r="288" spans="1:8">
      <c r="A288" s="77" t="s">
        <v>1904</v>
      </c>
      <c r="B288" s="249">
        <v>6.16</v>
      </c>
      <c r="C288" s="248">
        <f>ROUND(B288*(1-'Disc Dep'!$C$122),2)</f>
        <v>4.5599999999999996</v>
      </c>
      <c r="D288" s="248">
        <f>ROUND(C288*(1+'Adaos Distr'!$C$122),2)</f>
        <v>4.5599999999999996</v>
      </c>
      <c r="E288" s="248">
        <f>ROUND(D288*(1+'Adaos RESELLER'!$C$122),2)</f>
        <v>4.5599999999999996</v>
      </c>
      <c r="F288" s="248">
        <f>IF(Select!$E$23=1,C288,IF(Select!$E$23=2,D288,IF(Select!$E$23=3,E288)))</f>
        <v>4.5599999999999996</v>
      </c>
      <c r="G288" s="77">
        <f t="shared" si="16"/>
        <v>6.3448000000000002</v>
      </c>
      <c r="H288" s="77">
        <f t="shared" si="14"/>
        <v>6.34</v>
      </c>
    </row>
    <row r="289" spans="1:8">
      <c r="A289" s="77" t="s">
        <v>1905</v>
      </c>
      <c r="B289" s="249">
        <v>6.66</v>
      </c>
      <c r="C289" s="248">
        <f>ROUND(B289*(1-'Disc Dep'!$C$122),2)</f>
        <v>4.93</v>
      </c>
      <c r="D289" s="248">
        <f>ROUND(C289*(1+'Adaos Distr'!$C$122),2)</f>
        <v>4.93</v>
      </c>
      <c r="E289" s="248">
        <f>ROUND(D289*(1+'Adaos RESELLER'!$C$122),2)</f>
        <v>4.93</v>
      </c>
      <c r="F289" s="248">
        <f>IF(Select!$E$23=1,C289,IF(Select!$E$23=2,D289,IF(Select!$E$23=3,E289)))</f>
        <v>4.93</v>
      </c>
      <c r="G289" s="77">
        <f t="shared" si="16"/>
        <v>6.8597999999999999</v>
      </c>
      <c r="H289" s="77">
        <f t="shared" si="14"/>
        <v>6.86</v>
      </c>
    </row>
    <row r="290" spans="1:8">
      <c r="A290" s="77" t="s">
        <v>1906</v>
      </c>
      <c r="B290" s="249">
        <v>7.73</v>
      </c>
      <c r="C290" s="248">
        <f>ROUND(B290*(1-'Disc Dep'!$C$122),2)</f>
        <v>5.72</v>
      </c>
      <c r="D290" s="248">
        <f>ROUND(C290*(1+'Adaos Distr'!$C$122),2)</f>
        <v>5.72</v>
      </c>
      <c r="E290" s="248">
        <f>ROUND(D290*(1+'Adaos RESELLER'!$C$122),2)</f>
        <v>5.72</v>
      </c>
      <c r="F290" s="248">
        <f>IF(Select!$E$23=1,C290,IF(Select!$E$23=2,D290,IF(Select!$E$23=3,E290)))</f>
        <v>5.72</v>
      </c>
      <c r="G290" s="77">
        <f t="shared" si="16"/>
        <v>7.9619000000000009</v>
      </c>
      <c r="H290" s="77">
        <f t="shared" si="14"/>
        <v>7.96</v>
      </c>
    </row>
    <row r="291" spans="1:8">
      <c r="A291" s="77" t="s">
        <v>1907</v>
      </c>
      <c r="B291" s="249">
        <v>8.3000000000000007</v>
      </c>
      <c r="C291" s="248">
        <f>ROUND(B291*(1-'Disc Dep'!$C$122),2)</f>
        <v>6.14</v>
      </c>
      <c r="D291" s="248">
        <f>ROUND(C291*(1+'Adaos Distr'!$C$122),2)</f>
        <v>6.14</v>
      </c>
      <c r="E291" s="248">
        <f>ROUND(D291*(1+'Adaos RESELLER'!$C$122),2)</f>
        <v>6.14</v>
      </c>
      <c r="F291" s="248">
        <f>IF(Select!$E$23=1,C291,IF(Select!$E$23=2,D291,IF(Select!$E$23=3,E291)))</f>
        <v>6.14</v>
      </c>
      <c r="G291" s="77">
        <f t="shared" si="16"/>
        <v>8.5490000000000013</v>
      </c>
      <c r="H291" s="77">
        <f t="shared" si="14"/>
        <v>8.5500000000000007</v>
      </c>
    </row>
    <row r="292" spans="1:8" s="77" customFormat="1">
      <c r="A292" s="77" t="s">
        <v>2061</v>
      </c>
      <c r="B292" s="249">
        <v>10.57</v>
      </c>
      <c r="C292" s="248">
        <f>ROUND(B292*(1-'Disc Dep'!$C$122),2)</f>
        <v>7.82</v>
      </c>
      <c r="D292" s="248">
        <f>ROUND(C292*(1+'Adaos Distr'!$C$122),2)</f>
        <v>7.82</v>
      </c>
      <c r="E292" s="248">
        <f>ROUND(D292*(1+'Adaos RESELLER'!$C$122),2)</f>
        <v>7.82</v>
      </c>
      <c r="F292" s="248">
        <f>IF(Select!$E$23=1,C292,IF(Select!$E$23=2,D292,IF(Select!$E$23=3,E292)))</f>
        <v>7.82</v>
      </c>
      <c r="G292" s="77">
        <f t="shared" si="16"/>
        <v>10.8871</v>
      </c>
      <c r="H292" s="77">
        <f t="shared" si="14"/>
        <v>10.89</v>
      </c>
    </row>
    <row r="293" spans="1:8">
      <c r="A293" s="77" t="s">
        <v>1908</v>
      </c>
      <c r="B293" s="249">
        <v>7.35</v>
      </c>
      <c r="C293" s="248">
        <f>ROUND(B293*(1-'Disc Dep'!$C$122),2)</f>
        <v>5.44</v>
      </c>
      <c r="D293" s="248">
        <f>ROUND(C293*(1+'Adaos Distr'!$C$122),2)</f>
        <v>5.44</v>
      </c>
      <c r="E293" s="248">
        <f>ROUND(D293*(1+'Adaos RESELLER'!$C$122),2)</f>
        <v>5.44</v>
      </c>
      <c r="F293" s="248">
        <f>IF(Select!$E$23=1,C293,IF(Select!$E$23=2,D293,IF(Select!$E$23=3,E293)))</f>
        <v>5.44</v>
      </c>
      <c r="G293" s="77">
        <f t="shared" si="16"/>
        <v>7.5705</v>
      </c>
      <c r="H293" s="77">
        <f t="shared" ref="H293:H359" si="17">ROUND(G293,2)</f>
        <v>7.57</v>
      </c>
    </row>
    <row r="294" spans="1:8">
      <c r="A294" s="77" t="s">
        <v>1909</v>
      </c>
      <c r="B294" s="249">
        <v>8.2100000000000009</v>
      </c>
      <c r="C294" s="248">
        <f>ROUND(B294*(1-'Disc Dep'!$C$122),2)</f>
        <v>6.08</v>
      </c>
      <c r="D294" s="248">
        <f>ROUND(C294*(1+'Adaos Distr'!$C$122),2)</f>
        <v>6.08</v>
      </c>
      <c r="E294" s="248">
        <f>ROUND(D294*(1+'Adaos RESELLER'!$C$122),2)</f>
        <v>6.08</v>
      </c>
      <c r="F294" s="248">
        <f>IF(Select!$E$23=1,C294,IF(Select!$E$23=2,D294,IF(Select!$E$23=3,E294)))</f>
        <v>6.08</v>
      </c>
      <c r="G294" s="77">
        <f t="shared" si="16"/>
        <v>8.4563000000000006</v>
      </c>
      <c r="H294" s="77">
        <f t="shared" si="17"/>
        <v>8.4600000000000009</v>
      </c>
    </row>
    <row r="295" spans="1:8">
      <c r="A295" s="77" t="s">
        <v>1910</v>
      </c>
      <c r="B295" s="249">
        <v>8.7799999999999994</v>
      </c>
      <c r="C295" s="248">
        <f>ROUND(B295*(1-'Disc Dep'!$C$122),2)</f>
        <v>6.5</v>
      </c>
      <c r="D295" s="248">
        <f>ROUND(C295*(1+'Adaos Distr'!$C$122),2)</f>
        <v>6.5</v>
      </c>
      <c r="E295" s="248">
        <f>ROUND(D295*(1+'Adaos RESELLER'!$C$122),2)</f>
        <v>6.5</v>
      </c>
      <c r="F295" s="248">
        <f>IF(Select!$E$23=1,C295,IF(Select!$E$23=2,D295,IF(Select!$E$23=3,E295)))</f>
        <v>6.5</v>
      </c>
      <c r="G295" s="77">
        <f t="shared" si="16"/>
        <v>9.0434000000000001</v>
      </c>
      <c r="H295" s="77">
        <f t="shared" si="17"/>
        <v>9.0399999999999991</v>
      </c>
    </row>
    <row r="296" spans="1:8" s="77" customFormat="1">
      <c r="A296" s="77" t="s">
        <v>3215</v>
      </c>
      <c r="B296" s="249">
        <f>B280</f>
        <v>9.58</v>
      </c>
      <c r="C296" s="248">
        <f>ROUND(B296*(1-'Disc Dep'!$C$122),2)</f>
        <v>7.09</v>
      </c>
      <c r="D296" s="248">
        <f>ROUND(C296*(1+'Adaos Distr'!$C$122),2)</f>
        <v>7.09</v>
      </c>
      <c r="E296" s="248">
        <f>ROUND(D296*(1+'Adaos RESELLER'!$C$122),2)</f>
        <v>7.09</v>
      </c>
      <c r="F296" s="248">
        <f>IF(Select!$E$23=1,C296,IF(Select!$E$23=2,D296,IF(Select!$E$23=3,E296)))</f>
        <v>7.09</v>
      </c>
      <c r="G296" s="77">
        <f t="shared" ref="G296" si="18">B296*1.03</f>
        <v>9.8673999999999999</v>
      </c>
      <c r="H296" s="77">
        <f t="shared" ref="H296" si="19">ROUND(G296,2)</f>
        <v>9.8699999999999992</v>
      </c>
    </row>
    <row r="297" spans="1:8">
      <c r="A297" s="77" t="s">
        <v>1911</v>
      </c>
      <c r="B297" s="249">
        <v>12.49</v>
      </c>
      <c r="C297" s="248">
        <f>ROUND(B297*(1-'Disc Dep'!$C$122),2)</f>
        <v>9.24</v>
      </c>
      <c r="D297" s="248">
        <f>ROUND(C297*(1+'Adaos Distr'!$C$122),2)</f>
        <v>9.24</v>
      </c>
      <c r="E297" s="248">
        <f>ROUND(D297*(1+'Adaos RESELLER'!$C$122),2)</f>
        <v>9.24</v>
      </c>
      <c r="F297" s="248">
        <f>IF(Select!$E$23=1,C297,IF(Select!$E$23=2,D297,IF(Select!$E$23=3,E297)))</f>
        <v>9.24</v>
      </c>
      <c r="G297" s="77">
        <f t="shared" si="16"/>
        <v>12.864700000000001</v>
      </c>
      <c r="H297" s="77">
        <f t="shared" si="17"/>
        <v>12.86</v>
      </c>
    </row>
    <row r="298" spans="1:8">
      <c r="A298" s="77" t="s">
        <v>1912</v>
      </c>
      <c r="B298" s="249">
        <v>10.97</v>
      </c>
      <c r="C298" s="248">
        <f>ROUND(B298*(1-'Disc Dep'!$C$122),2)</f>
        <v>8.1199999999999992</v>
      </c>
      <c r="D298" s="248">
        <f>ROUND(C298*(1+'Adaos Distr'!$C$122),2)</f>
        <v>8.1199999999999992</v>
      </c>
      <c r="E298" s="248">
        <f>ROUND(D298*(1+'Adaos RESELLER'!$C$122),2)</f>
        <v>8.1199999999999992</v>
      </c>
      <c r="F298" s="248">
        <f>IF(Select!$E$23=1,C298,IF(Select!$E$23=2,D298,IF(Select!$E$23=3,E298)))</f>
        <v>8.1199999999999992</v>
      </c>
      <c r="G298" s="77">
        <f t="shared" si="16"/>
        <v>11.299100000000001</v>
      </c>
      <c r="H298" s="77">
        <f>B298</f>
        <v>10.97</v>
      </c>
    </row>
    <row r="299" spans="1:8">
      <c r="A299" s="77" t="s">
        <v>1913</v>
      </c>
      <c r="B299" s="249">
        <v>14</v>
      </c>
      <c r="C299" s="248">
        <f>ROUND(B299*(1-'Disc Dep'!$C$122),2)</f>
        <v>10.36</v>
      </c>
      <c r="D299" s="248">
        <f>ROUND(C299*(1+'Adaos Distr'!$C$122),2)</f>
        <v>10.36</v>
      </c>
      <c r="E299" s="248">
        <f>ROUND(D299*(1+'Adaos RESELLER'!$C$122),2)</f>
        <v>10.36</v>
      </c>
      <c r="F299" s="248">
        <f>IF(Select!$E$23=1,C299,IF(Select!$E$23=2,D299,IF(Select!$E$23=3,E299)))</f>
        <v>10.36</v>
      </c>
      <c r="G299" s="77">
        <f t="shared" si="16"/>
        <v>14.42</v>
      </c>
      <c r="H299" s="77">
        <f t="shared" si="17"/>
        <v>14.42</v>
      </c>
    </row>
    <row r="300" spans="1:8">
      <c r="A300" s="77" t="s">
        <v>1914</v>
      </c>
      <c r="B300" s="249">
        <v>12.72</v>
      </c>
      <c r="C300" s="248">
        <f>ROUND(B300*(1-'Disc Dep'!$C$122),2)</f>
        <v>9.41</v>
      </c>
      <c r="D300" s="248">
        <f>ROUND(C300*(1+'Adaos Distr'!$C$122),2)</f>
        <v>9.41</v>
      </c>
      <c r="E300" s="248">
        <f>ROUND(D300*(1+'Adaos RESELLER'!$C$122),2)</f>
        <v>9.41</v>
      </c>
      <c r="F300" s="248">
        <f>IF(Select!$E$23=1,C300,IF(Select!$E$23=2,D300,IF(Select!$E$23=3,E300)))</f>
        <v>9.41</v>
      </c>
      <c r="G300" s="77">
        <f t="shared" si="16"/>
        <v>13.101600000000001</v>
      </c>
      <c r="H300" s="77">
        <f t="shared" si="17"/>
        <v>13.1</v>
      </c>
    </row>
    <row r="301" spans="1:8">
      <c r="A301" s="77" t="s">
        <v>1915</v>
      </c>
      <c r="B301" s="249">
        <v>5.7</v>
      </c>
      <c r="C301" s="248">
        <f>ROUND(B301*(1-'Disc Dep'!$C$122),2)</f>
        <v>4.22</v>
      </c>
      <c r="D301" s="248">
        <f>ROUND(C301*(1+'Adaos Distr'!$C$122),2)</f>
        <v>4.22</v>
      </c>
      <c r="E301" s="248">
        <f>ROUND(D301*(1+'Adaos RESELLER'!$C$122),2)</f>
        <v>4.22</v>
      </c>
      <c r="F301" s="248">
        <f>IF(Select!$E$23=1,C301,IF(Select!$E$23=2,D301,IF(Select!$E$23=3,E301)))</f>
        <v>4.22</v>
      </c>
      <c r="G301" s="77">
        <f t="shared" si="16"/>
        <v>5.8710000000000004</v>
      </c>
      <c r="H301" s="77">
        <f t="shared" si="17"/>
        <v>5.87</v>
      </c>
    </row>
    <row r="302" spans="1:8">
      <c r="A302" s="77" t="s">
        <v>1916</v>
      </c>
      <c r="B302" s="249">
        <v>6.97</v>
      </c>
      <c r="C302" s="248">
        <f>ROUND(B302*(1-'Disc Dep'!$C$122),2)</f>
        <v>5.16</v>
      </c>
      <c r="D302" s="248">
        <f>ROUND(C302*(1+'Adaos Distr'!$C$122),2)</f>
        <v>5.16</v>
      </c>
      <c r="E302" s="248">
        <f>ROUND(D302*(1+'Adaos RESELLER'!$C$122),2)</f>
        <v>5.16</v>
      </c>
      <c r="F302" s="248">
        <f>IF(Select!$E$23=1,C302,IF(Select!$E$23=2,D302,IF(Select!$E$23=3,E302)))</f>
        <v>5.16</v>
      </c>
      <c r="G302" s="77">
        <f t="shared" si="16"/>
        <v>7.1791</v>
      </c>
      <c r="H302" s="77">
        <f t="shared" si="17"/>
        <v>7.18</v>
      </c>
    </row>
    <row r="303" spans="1:8">
      <c r="B303" s="249">
        <v>0</v>
      </c>
      <c r="C303" s="248">
        <f>ROUND(B303*(1-'Disc Dep'!$C$122),2)</f>
        <v>0</v>
      </c>
      <c r="D303" s="248">
        <f>ROUND(C303*(1+'Adaos Distr'!$C$122),2)</f>
        <v>0</v>
      </c>
      <c r="E303" s="248">
        <f>ROUND(D303*(1+'Adaos RESELLER'!$C$122),2)</f>
        <v>0</v>
      </c>
      <c r="F303" s="248">
        <f>IF(Select!$E$23=1,C303,IF(Select!$E$23=2,D303,IF(Select!$E$23=3,E303)))</f>
        <v>0</v>
      </c>
      <c r="G303" s="77">
        <f t="shared" si="16"/>
        <v>0</v>
      </c>
      <c r="H303" s="77">
        <f t="shared" si="17"/>
        <v>0</v>
      </c>
    </row>
    <row r="304" spans="1:8">
      <c r="A304" t="s">
        <v>1917</v>
      </c>
      <c r="B304" s="249">
        <v>8.0399999999999991</v>
      </c>
      <c r="C304" s="248">
        <f>ROUND(B304*(1-'Disc Dep'!$C$122),2)</f>
        <v>5.95</v>
      </c>
      <c r="D304" s="248">
        <f>ROUND(C304*(1+'Adaos Distr'!$C$122),2)</f>
        <v>5.95</v>
      </c>
      <c r="E304" s="248">
        <f>ROUND(D304*(1+'Adaos RESELLER'!$C$122),2)</f>
        <v>5.95</v>
      </c>
      <c r="F304" s="248">
        <f>IF(Select!$E$23=1,C304,IF(Select!$E$23=2,D304,IF(Select!$E$23=3,E304)))</f>
        <v>5.95</v>
      </c>
      <c r="G304" s="77">
        <f t="shared" si="16"/>
        <v>8.2812000000000001</v>
      </c>
      <c r="H304" s="77">
        <f t="shared" si="17"/>
        <v>8.2799999999999994</v>
      </c>
    </row>
    <row r="305" spans="1:8">
      <c r="A305" t="s">
        <v>1918</v>
      </c>
      <c r="B305" s="249">
        <v>8.69</v>
      </c>
      <c r="C305" s="248">
        <f>ROUND(B305*(1-'Disc Dep'!$C$122),2)</f>
        <v>6.43</v>
      </c>
      <c r="D305" s="248">
        <f>ROUND(C305*(1+'Adaos Distr'!$C$122),2)</f>
        <v>6.43</v>
      </c>
      <c r="E305" s="248">
        <f>ROUND(D305*(1+'Adaos RESELLER'!$C$122),2)</f>
        <v>6.43</v>
      </c>
      <c r="F305" s="248">
        <f>IF(Select!$E$23=1,C305,IF(Select!$E$23=2,D305,IF(Select!$E$23=3,E305)))</f>
        <v>6.43</v>
      </c>
      <c r="G305" s="77">
        <f t="shared" si="16"/>
        <v>8.9506999999999994</v>
      </c>
      <c r="H305" s="77">
        <f t="shared" si="17"/>
        <v>8.9499999999999993</v>
      </c>
    </row>
    <row r="306" spans="1:8" s="77" customFormat="1">
      <c r="A306" s="77" t="s">
        <v>2062</v>
      </c>
      <c r="B306" s="249">
        <v>10.8</v>
      </c>
      <c r="C306" s="248">
        <f>ROUND(B306*(1-'Disc Dep'!$C$122),2)</f>
        <v>7.99</v>
      </c>
      <c r="D306" s="248">
        <f>ROUND(C306*(1+'Adaos Distr'!$C$122),2)</f>
        <v>7.99</v>
      </c>
      <c r="E306" s="248">
        <f>ROUND(D306*(1+'Adaos RESELLER'!$C$122),2)</f>
        <v>7.99</v>
      </c>
      <c r="F306" s="248">
        <f>IF(Select!$E$23=1,C306,IF(Select!$E$23=2,D306,IF(Select!$E$23=3,E306)))</f>
        <v>7.99</v>
      </c>
      <c r="G306" s="77">
        <f t="shared" si="16"/>
        <v>11.124000000000001</v>
      </c>
      <c r="H306" s="77">
        <f t="shared" si="17"/>
        <v>11.12</v>
      </c>
    </row>
    <row r="307" spans="1:8">
      <c r="A307" t="s">
        <v>1919</v>
      </c>
      <c r="B307" s="249">
        <v>12.6</v>
      </c>
      <c r="C307" s="248">
        <f>ROUND(B307*(1-'Disc Dep'!$C$122),2)</f>
        <v>9.32</v>
      </c>
      <c r="D307" s="248">
        <f>ROUND(C307*(1+'Adaos Distr'!$C$122),2)</f>
        <v>9.32</v>
      </c>
      <c r="E307" s="248">
        <f>ROUND(D307*(1+'Adaos RESELLER'!$C$122),2)</f>
        <v>9.32</v>
      </c>
      <c r="F307" s="248">
        <f>IF(Select!$E$23=1,C307,IF(Select!$E$23=2,D307,IF(Select!$E$23=3,E307)))</f>
        <v>9.32</v>
      </c>
      <c r="G307" s="77">
        <f t="shared" ref="G307:G372" si="20">B307*1.03</f>
        <v>12.978</v>
      </c>
      <c r="H307" s="77">
        <f t="shared" si="17"/>
        <v>12.98</v>
      </c>
    </row>
    <row r="308" spans="1:8">
      <c r="A308" t="s">
        <v>1920</v>
      </c>
      <c r="B308" s="249">
        <v>13.5</v>
      </c>
      <c r="C308" s="248">
        <f>ROUND(B308*(1-'Disc Dep'!$C$122),2)</f>
        <v>9.99</v>
      </c>
      <c r="D308" s="248">
        <f>ROUND(C308*(1+'Adaos Distr'!$C$122),2)</f>
        <v>9.99</v>
      </c>
      <c r="E308" s="248">
        <f>ROUND(D308*(1+'Adaos RESELLER'!$C$122),2)</f>
        <v>9.99</v>
      </c>
      <c r="F308" s="248">
        <f>IF(Select!$E$23=1,C308,IF(Select!$E$23=2,D308,IF(Select!$E$23=3,E308)))</f>
        <v>9.99</v>
      </c>
      <c r="G308" s="77">
        <f t="shared" si="20"/>
        <v>13.905000000000001</v>
      </c>
      <c r="H308" s="77">
        <f t="shared" si="17"/>
        <v>13.91</v>
      </c>
    </row>
    <row r="309" spans="1:8" s="77" customFormat="1">
      <c r="A309" s="77" t="s">
        <v>2038</v>
      </c>
      <c r="B309" s="249">
        <v>7.8</v>
      </c>
      <c r="C309" s="248">
        <f>ROUND(B309*(1-'Disc Dep'!$C$122),2)</f>
        <v>5.77</v>
      </c>
      <c r="D309" s="248">
        <f>ROUND(C309*(1+'Adaos Distr'!$C$122),2)</f>
        <v>5.77</v>
      </c>
      <c r="E309" s="248">
        <f>ROUND(D309*(1+'Adaos RESELLER'!$C$122),2)</f>
        <v>5.77</v>
      </c>
      <c r="F309" s="248">
        <f>IF(Select!$E$23=1,C309,IF(Select!$E$23=2,D309,IF(Select!$E$23=3,E309)))</f>
        <v>5.77</v>
      </c>
      <c r="G309" s="77">
        <f t="shared" si="20"/>
        <v>8.0340000000000007</v>
      </c>
      <c r="H309" s="77">
        <f t="shared" si="17"/>
        <v>8.0299999999999994</v>
      </c>
    </row>
    <row r="310" spans="1:8">
      <c r="A310" t="s">
        <v>1921</v>
      </c>
      <c r="B310" s="249">
        <v>8.69</v>
      </c>
      <c r="C310" s="248">
        <f>ROUND(B310*(1-'Disc Dep'!$C$122),2)</f>
        <v>6.43</v>
      </c>
      <c r="D310" s="248">
        <f>ROUND(C310*(1+'Adaos Distr'!$C$122),2)</f>
        <v>6.43</v>
      </c>
      <c r="E310" s="248">
        <f>ROUND(D310*(1+'Adaos RESELLER'!$C$122),2)</f>
        <v>6.43</v>
      </c>
      <c r="F310" s="248">
        <f>IF(Select!$E$23=1,C310,IF(Select!$E$23=2,D310,IF(Select!$E$23=3,E310)))</f>
        <v>6.43</v>
      </c>
      <c r="G310" s="77">
        <f t="shared" si="20"/>
        <v>8.9506999999999994</v>
      </c>
      <c r="H310" s="77">
        <f t="shared" si="17"/>
        <v>8.9499999999999993</v>
      </c>
    </row>
    <row r="311" spans="1:8">
      <c r="A311" t="s">
        <v>1922</v>
      </c>
      <c r="B311" s="249">
        <v>8.9600000000000009</v>
      </c>
      <c r="C311" s="248">
        <f>ROUND(B311*(1-'Disc Dep'!$C$122),2)</f>
        <v>6.63</v>
      </c>
      <c r="D311" s="248">
        <f>ROUND(C311*(1+'Adaos Distr'!$C$122),2)</f>
        <v>6.63</v>
      </c>
      <c r="E311" s="248">
        <f>ROUND(D311*(1+'Adaos RESELLER'!$C$122),2)</f>
        <v>6.63</v>
      </c>
      <c r="F311" s="248">
        <f>IF(Select!$E$23=1,C311,IF(Select!$E$23=2,D311,IF(Select!$E$23=3,E311)))</f>
        <v>6.63</v>
      </c>
      <c r="G311" s="77">
        <f t="shared" si="20"/>
        <v>9.2288000000000014</v>
      </c>
      <c r="H311" s="77">
        <f t="shared" si="17"/>
        <v>9.23</v>
      </c>
    </row>
    <row r="312" spans="1:8" s="77" customFormat="1">
      <c r="A312" s="77" t="s">
        <v>3216</v>
      </c>
      <c r="B312" s="249">
        <v>9.8699999999999992</v>
      </c>
      <c r="C312" s="248">
        <f>ROUND(B312*(1-'Disc Dep'!$C$122),2)</f>
        <v>7.3</v>
      </c>
      <c r="D312" s="248">
        <f>ROUND(C312*(1+'Adaos Distr'!$C$122),2)</f>
        <v>7.3</v>
      </c>
      <c r="E312" s="248">
        <f>ROUND(D312*(1+'Adaos RESELLER'!$C$122),2)</f>
        <v>7.3</v>
      </c>
      <c r="F312" s="248">
        <f>IF(Select!$E$23=1,C312,IF(Select!$E$23=2,D312,IF(Select!$E$23=3,E312)))</f>
        <v>7.3</v>
      </c>
      <c r="G312" s="77">
        <f t="shared" si="20"/>
        <v>10.1661</v>
      </c>
      <c r="H312" s="77">
        <f t="shared" si="17"/>
        <v>10.17</v>
      </c>
    </row>
    <row r="313" spans="1:8">
      <c r="A313" t="s">
        <v>1923</v>
      </c>
      <c r="B313" s="249">
        <v>12.76</v>
      </c>
      <c r="C313" s="248">
        <f>ROUND(B313*(1-'Disc Dep'!$C$122),2)</f>
        <v>9.44</v>
      </c>
      <c r="D313" s="248">
        <f>ROUND(C313*(1+'Adaos Distr'!$C$122),2)</f>
        <v>9.44</v>
      </c>
      <c r="E313" s="248">
        <f>ROUND(D313*(1+'Adaos RESELLER'!$C$122),2)</f>
        <v>9.44</v>
      </c>
      <c r="F313" s="248">
        <f>IF(Select!$E$23=1,C313,IF(Select!$E$23=2,D313,IF(Select!$E$23=3,E313)))</f>
        <v>9.44</v>
      </c>
      <c r="G313" s="77">
        <f t="shared" si="20"/>
        <v>13.142799999999999</v>
      </c>
      <c r="H313" s="77">
        <f t="shared" si="17"/>
        <v>13.14</v>
      </c>
    </row>
    <row r="314" spans="1:8">
      <c r="A314" t="s">
        <v>1924</v>
      </c>
      <c r="B314" s="249">
        <v>11.22</v>
      </c>
      <c r="C314" s="248">
        <f>ROUND(B314*(1-'Disc Dep'!$C$122),2)</f>
        <v>8.3000000000000007</v>
      </c>
      <c r="D314" s="248">
        <f>ROUND(C314*(1+'Adaos Distr'!$C$122),2)</f>
        <v>8.3000000000000007</v>
      </c>
      <c r="E314" s="248">
        <f>ROUND(D314*(1+'Adaos RESELLER'!$C$122),2)</f>
        <v>8.3000000000000007</v>
      </c>
      <c r="F314" s="248">
        <f>IF(Select!$E$23=1,C314,IF(Select!$E$23=2,D314,IF(Select!$E$23=3,E314)))</f>
        <v>8.3000000000000007</v>
      </c>
      <c r="G314" s="77">
        <f t="shared" si="20"/>
        <v>11.556600000000001</v>
      </c>
      <c r="H314" s="77">
        <f>B314</f>
        <v>11.22</v>
      </c>
    </row>
    <row r="315" spans="1:8">
      <c r="A315" t="s">
        <v>1925</v>
      </c>
      <c r="B315" s="249">
        <v>7.1</v>
      </c>
      <c r="C315" s="248">
        <f>ROUND(B315*(1-'Disc Dep'!$C$122),2)</f>
        <v>5.25</v>
      </c>
      <c r="D315" s="248">
        <f>ROUND(C315*(1+'Adaos Distr'!$C$122),2)</f>
        <v>5.25</v>
      </c>
      <c r="E315" s="248">
        <f>ROUND(D315*(1+'Adaos RESELLER'!$C$122),2)</f>
        <v>5.25</v>
      </c>
      <c r="F315" s="248">
        <f>IF(Select!$E$23=1,C315,IF(Select!$E$23=2,D315,IF(Select!$E$23=3,E315)))</f>
        <v>5.25</v>
      </c>
      <c r="G315" s="77">
        <f t="shared" si="20"/>
        <v>7.3129999999999997</v>
      </c>
      <c r="H315" s="77">
        <f t="shared" si="17"/>
        <v>7.31</v>
      </c>
    </row>
    <row r="316" spans="1:8" s="77" customFormat="1">
      <c r="A316" s="77" t="s">
        <v>2572</v>
      </c>
      <c r="B316" s="249">
        <v>9.73</v>
      </c>
      <c r="C316" s="248">
        <f>ROUND(B316*(1-'Disc Dep'!$C$122),2)</f>
        <v>7.2</v>
      </c>
      <c r="D316" s="248">
        <f>ROUND(C316*(1+'Adaos Distr'!$C$122),2)</f>
        <v>7.2</v>
      </c>
      <c r="E316" s="248">
        <f>ROUND(D316*(1+'Adaos RESELLER'!$C$122),2)</f>
        <v>7.2</v>
      </c>
      <c r="F316" s="248">
        <f>IF(Select!$E$23=1,C316,IF(Select!$E$23=2,D316,IF(Select!$E$23=3,E316)))</f>
        <v>7.2</v>
      </c>
      <c r="G316" s="77">
        <f t="shared" si="20"/>
        <v>10.0219</v>
      </c>
      <c r="H316" s="77">
        <f t="shared" si="17"/>
        <v>10.02</v>
      </c>
    </row>
    <row r="317" spans="1:8">
      <c r="A317" t="s">
        <v>1926</v>
      </c>
      <c r="B317" s="249">
        <v>11.31</v>
      </c>
      <c r="C317" s="248">
        <f>ROUND(B317*(1-'Disc Dep'!$C$122),2)</f>
        <v>8.3699999999999992</v>
      </c>
      <c r="D317" s="248">
        <f>ROUND(C317*(1+'Adaos Distr'!$C$122),2)</f>
        <v>8.3699999999999992</v>
      </c>
      <c r="E317" s="248">
        <f>ROUND(D317*(1+'Adaos RESELLER'!$C$122),2)</f>
        <v>8.3699999999999992</v>
      </c>
      <c r="F317" s="248">
        <f>IF(Select!$E$23=1,C317,IF(Select!$E$23=2,D317,IF(Select!$E$23=3,E317)))</f>
        <v>8.3699999999999992</v>
      </c>
      <c r="G317" s="77">
        <f t="shared" si="20"/>
        <v>11.6493</v>
      </c>
      <c r="H317" s="77">
        <f t="shared" si="17"/>
        <v>11.65</v>
      </c>
    </row>
    <row r="318" spans="1:8">
      <c r="A318" t="s">
        <v>1927</v>
      </c>
      <c r="B318" s="249">
        <v>14.08</v>
      </c>
      <c r="C318" s="248">
        <f>ROUND(B318*(1-'Disc Dep'!$C$122),2)</f>
        <v>10.42</v>
      </c>
      <c r="D318" s="248">
        <f>ROUND(C318*(1+'Adaos Distr'!$C$122),2)</f>
        <v>10.42</v>
      </c>
      <c r="E318" s="248">
        <f>ROUND(D318*(1+'Adaos RESELLER'!$C$122),2)</f>
        <v>10.42</v>
      </c>
      <c r="F318" s="248">
        <f>IF(Select!$E$23=1,C318,IF(Select!$E$23=2,D318,IF(Select!$E$23=3,E318)))</f>
        <v>10.42</v>
      </c>
      <c r="G318" s="77">
        <f t="shared" si="20"/>
        <v>14.5024</v>
      </c>
      <c r="H318" s="77">
        <f t="shared" si="17"/>
        <v>14.5</v>
      </c>
    </row>
    <row r="319" spans="1:8">
      <c r="B319" s="249">
        <v>0</v>
      </c>
      <c r="C319" s="248">
        <f>ROUND(B319*(1-'Disc Dep'!$C$122),2)</f>
        <v>0</v>
      </c>
      <c r="D319" s="248">
        <f>ROUND(C319*(1+'Adaos Distr'!$C$122),2)</f>
        <v>0</v>
      </c>
      <c r="E319" s="248">
        <f>ROUND(D319*(1+'Adaos RESELLER'!$C$122),2)</f>
        <v>0</v>
      </c>
      <c r="F319" s="248">
        <f>IF(Select!$E$23=1,C319,IF(Select!$E$23=2,D319,IF(Select!$E$23=3,E319)))</f>
        <v>0</v>
      </c>
      <c r="G319" s="77">
        <f t="shared" si="20"/>
        <v>0</v>
      </c>
      <c r="H319" s="77">
        <f t="shared" si="17"/>
        <v>0</v>
      </c>
    </row>
    <row r="320" spans="1:8">
      <c r="A320" s="77" t="s">
        <v>1937</v>
      </c>
      <c r="B320" s="249">
        <v>8.0399999999999991</v>
      </c>
      <c r="C320" s="248">
        <f>ROUND(B320*(1-'Disc Dep'!$C$122),2)</f>
        <v>5.95</v>
      </c>
      <c r="D320" s="248">
        <f>ROUND(C320*(1+'Adaos Distr'!$C$122),2)</f>
        <v>5.95</v>
      </c>
      <c r="E320" s="248">
        <f>ROUND(D320*(1+'Adaos RESELLER'!$C$122),2)</f>
        <v>5.95</v>
      </c>
      <c r="F320" s="248">
        <f>IF(Select!$E$23=1,C320,IF(Select!$E$23=2,D320,IF(Select!$E$23=3,E320)))</f>
        <v>5.95</v>
      </c>
      <c r="G320" s="77">
        <f t="shared" si="20"/>
        <v>8.2812000000000001</v>
      </c>
      <c r="H320" s="77">
        <f t="shared" si="17"/>
        <v>8.2799999999999994</v>
      </c>
    </row>
    <row r="321" spans="1:8">
      <c r="A321" s="77" t="s">
        <v>1938</v>
      </c>
      <c r="B321" s="249">
        <v>8.69</v>
      </c>
      <c r="C321" s="248">
        <f>ROUND(B321*(1-'Disc Dep'!$C$122),2)</f>
        <v>6.43</v>
      </c>
      <c r="D321" s="248">
        <f>ROUND(C321*(1+'Adaos Distr'!$C$122),2)</f>
        <v>6.43</v>
      </c>
      <c r="E321" s="248">
        <f>ROUND(D321*(1+'Adaos RESELLER'!$C$122),2)</f>
        <v>6.43</v>
      </c>
      <c r="F321" s="248">
        <f>IF(Select!$E$23=1,C321,IF(Select!$E$23=2,D321,IF(Select!$E$23=3,E321)))</f>
        <v>6.43</v>
      </c>
      <c r="G321" s="77">
        <f t="shared" si="20"/>
        <v>8.9506999999999994</v>
      </c>
      <c r="H321" s="77">
        <f t="shared" si="17"/>
        <v>8.9499999999999993</v>
      </c>
    </row>
    <row r="322" spans="1:8" s="77" customFormat="1">
      <c r="A322" s="77" t="s">
        <v>2063</v>
      </c>
      <c r="B322" s="249">
        <v>10.8</v>
      </c>
      <c r="C322" s="248">
        <f>ROUND(B322*(1-'Disc Dep'!$C$122),2)</f>
        <v>7.99</v>
      </c>
      <c r="D322" s="248">
        <f>ROUND(C322*(1+'Adaos Distr'!$C$122),2)</f>
        <v>7.99</v>
      </c>
      <c r="E322" s="248">
        <f>ROUND(D322*(1+'Adaos RESELLER'!$C$122),2)</f>
        <v>7.99</v>
      </c>
      <c r="F322" s="248">
        <f>IF(Select!$E$23=1,C322,IF(Select!$E$23=2,D322,IF(Select!$E$23=3,E322)))</f>
        <v>7.99</v>
      </c>
      <c r="G322" s="77">
        <f t="shared" si="20"/>
        <v>11.124000000000001</v>
      </c>
      <c r="H322" s="77">
        <f t="shared" si="17"/>
        <v>11.12</v>
      </c>
    </row>
    <row r="323" spans="1:8">
      <c r="A323" s="77" t="s">
        <v>1939</v>
      </c>
      <c r="B323" s="249">
        <v>12.6</v>
      </c>
      <c r="C323" s="248">
        <f>ROUND(B323*(1-'Disc Dep'!$C$122),2)</f>
        <v>9.32</v>
      </c>
      <c r="D323" s="248">
        <f>ROUND(C323*(1+'Adaos Distr'!$C$122),2)</f>
        <v>9.32</v>
      </c>
      <c r="E323" s="248">
        <f>ROUND(D323*(1+'Adaos RESELLER'!$C$122),2)</f>
        <v>9.32</v>
      </c>
      <c r="F323" s="248">
        <f>IF(Select!$E$23=1,C323,IF(Select!$E$23=2,D323,IF(Select!$E$23=3,E323)))</f>
        <v>9.32</v>
      </c>
      <c r="G323" s="77">
        <f t="shared" si="20"/>
        <v>12.978</v>
      </c>
      <c r="H323" s="77">
        <f t="shared" si="17"/>
        <v>12.98</v>
      </c>
    </row>
    <row r="324" spans="1:8">
      <c r="A324" s="77" t="s">
        <v>1940</v>
      </c>
      <c r="B324" s="249">
        <v>13.5</v>
      </c>
      <c r="C324" s="248">
        <f>ROUND(B324*(1-'Disc Dep'!$C$122),2)</f>
        <v>9.99</v>
      </c>
      <c r="D324" s="248">
        <f>ROUND(C324*(1+'Adaos Distr'!$C$122),2)</f>
        <v>9.99</v>
      </c>
      <c r="E324" s="248">
        <f>ROUND(D324*(1+'Adaos RESELLER'!$C$122),2)</f>
        <v>9.99</v>
      </c>
      <c r="F324" s="248">
        <f>IF(Select!$E$23=1,C324,IF(Select!$E$23=2,D324,IF(Select!$E$23=3,E324)))</f>
        <v>9.99</v>
      </c>
      <c r="G324" s="77">
        <f t="shared" si="20"/>
        <v>13.905000000000001</v>
      </c>
      <c r="H324" s="77">
        <f t="shared" si="17"/>
        <v>13.91</v>
      </c>
    </row>
    <row r="325" spans="1:8" s="77" customFormat="1">
      <c r="A325" s="77" t="s">
        <v>2039</v>
      </c>
      <c r="B325" s="249">
        <v>7.8</v>
      </c>
      <c r="C325" s="248">
        <f>ROUND(B325*(1-'Disc Dep'!$C$122),2)</f>
        <v>5.77</v>
      </c>
      <c r="D325" s="248">
        <f>ROUND(C325*(1+'Adaos Distr'!$C$122),2)</f>
        <v>5.77</v>
      </c>
      <c r="E325" s="248">
        <f>ROUND(D325*(1+'Adaos RESELLER'!$C$122),2)</f>
        <v>5.77</v>
      </c>
      <c r="F325" s="248">
        <f>IF(Select!$E$23=1,C325,IF(Select!$E$23=2,D325,IF(Select!$E$23=3,E325)))</f>
        <v>5.77</v>
      </c>
      <c r="G325" s="77">
        <f t="shared" si="20"/>
        <v>8.0340000000000007</v>
      </c>
      <c r="H325" s="77">
        <f t="shared" si="17"/>
        <v>8.0299999999999994</v>
      </c>
    </row>
    <row r="326" spans="1:8">
      <c r="A326" s="77" t="s">
        <v>1941</v>
      </c>
      <c r="B326" s="249">
        <v>8.69</v>
      </c>
      <c r="C326" s="248">
        <f>ROUND(B326*(1-'Disc Dep'!$C$122),2)</f>
        <v>6.43</v>
      </c>
      <c r="D326" s="248">
        <f>ROUND(C326*(1+'Adaos Distr'!$C$122),2)</f>
        <v>6.43</v>
      </c>
      <c r="E326" s="248">
        <f>ROUND(D326*(1+'Adaos RESELLER'!$C$122),2)</f>
        <v>6.43</v>
      </c>
      <c r="F326" s="248">
        <f>IF(Select!$E$23=1,C326,IF(Select!$E$23=2,D326,IF(Select!$E$23=3,E326)))</f>
        <v>6.43</v>
      </c>
      <c r="G326" s="77">
        <f t="shared" si="20"/>
        <v>8.9506999999999994</v>
      </c>
      <c r="H326" s="77">
        <f t="shared" si="17"/>
        <v>8.9499999999999993</v>
      </c>
    </row>
    <row r="327" spans="1:8">
      <c r="A327" s="77" t="s">
        <v>1942</v>
      </c>
      <c r="B327" s="249">
        <v>8.9600000000000009</v>
      </c>
      <c r="C327" s="248">
        <f>ROUND(B327*(1-'Disc Dep'!$C$122),2)</f>
        <v>6.63</v>
      </c>
      <c r="D327" s="248">
        <f>ROUND(C327*(1+'Adaos Distr'!$C$122),2)</f>
        <v>6.63</v>
      </c>
      <c r="E327" s="248">
        <f>ROUND(D327*(1+'Adaos RESELLER'!$C$122),2)</f>
        <v>6.63</v>
      </c>
      <c r="F327" s="248">
        <f>IF(Select!$E$23=1,C327,IF(Select!$E$23=2,D327,IF(Select!$E$23=3,E327)))</f>
        <v>6.63</v>
      </c>
      <c r="G327" s="77">
        <f t="shared" si="20"/>
        <v>9.2288000000000014</v>
      </c>
      <c r="H327" s="77">
        <f t="shared" si="17"/>
        <v>9.23</v>
      </c>
    </row>
    <row r="328" spans="1:8" s="77" customFormat="1">
      <c r="A328" s="77" t="s">
        <v>3217</v>
      </c>
      <c r="B328" s="249">
        <f>B312</f>
        <v>9.8699999999999992</v>
      </c>
      <c r="C328" s="248">
        <f>ROUND(B328*(1-'Disc Dep'!$C$122),2)</f>
        <v>7.3</v>
      </c>
      <c r="D328" s="248">
        <f>ROUND(C328*(1+'Adaos Distr'!$C$122),2)</f>
        <v>7.3</v>
      </c>
      <c r="E328" s="248">
        <f>ROUND(D328*(1+'Adaos RESELLER'!$C$122),2)</f>
        <v>7.3</v>
      </c>
      <c r="F328" s="248">
        <f>IF(Select!$E$23=1,C328,IF(Select!$E$23=2,D328,IF(Select!$E$23=3,E328)))</f>
        <v>7.3</v>
      </c>
      <c r="G328" s="77">
        <f t="shared" ref="G328" si="21">B328*1.03</f>
        <v>10.1661</v>
      </c>
      <c r="H328" s="77">
        <f t="shared" ref="H328" si="22">ROUND(G328,2)</f>
        <v>10.17</v>
      </c>
    </row>
    <row r="329" spans="1:8">
      <c r="A329" s="77" t="s">
        <v>1943</v>
      </c>
      <c r="B329" s="249">
        <v>12.76</v>
      </c>
      <c r="C329" s="248">
        <f>ROUND(B329*(1-'Disc Dep'!$C$122),2)</f>
        <v>9.44</v>
      </c>
      <c r="D329" s="248">
        <f>ROUND(C329*(1+'Adaos Distr'!$C$122),2)</f>
        <v>9.44</v>
      </c>
      <c r="E329" s="248">
        <f>ROUND(D329*(1+'Adaos RESELLER'!$C$122),2)</f>
        <v>9.44</v>
      </c>
      <c r="F329" s="248">
        <f>IF(Select!$E$23=1,C329,IF(Select!$E$23=2,D329,IF(Select!$E$23=3,E329)))</f>
        <v>9.44</v>
      </c>
      <c r="G329" s="77">
        <f t="shared" si="20"/>
        <v>13.142799999999999</v>
      </c>
      <c r="H329" s="77">
        <f t="shared" si="17"/>
        <v>13.14</v>
      </c>
    </row>
    <row r="330" spans="1:8">
      <c r="A330" s="77" t="s">
        <v>1944</v>
      </c>
      <c r="B330" s="249">
        <v>11.22</v>
      </c>
      <c r="C330" s="248">
        <f>ROUND(B330*(1-'Disc Dep'!$C$122),2)</f>
        <v>8.3000000000000007</v>
      </c>
      <c r="D330" s="248">
        <f>ROUND(C330*(1+'Adaos Distr'!$C$122),2)</f>
        <v>8.3000000000000007</v>
      </c>
      <c r="E330" s="248">
        <f>ROUND(D330*(1+'Adaos RESELLER'!$C$122),2)</f>
        <v>8.3000000000000007</v>
      </c>
      <c r="F330" s="248">
        <f>IF(Select!$E$23=1,C330,IF(Select!$E$23=2,D330,IF(Select!$E$23=3,E330)))</f>
        <v>8.3000000000000007</v>
      </c>
      <c r="G330" s="77">
        <f t="shared" si="20"/>
        <v>11.556600000000001</v>
      </c>
      <c r="H330" s="77">
        <f>B330</f>
        <v>11.22</v>
      </c>
    </row>
    <row r="331" spans="1:8">
      <c r="A331" s="77" t="s">
        <v>1945</v>
      </c>
      <c r="B331" s="249">
        <v>7.1</v>
      </c>
      <c r="C331" s="248">
        <f>ROUND(B331*(1-'Disc Dep'!$C$122),2)</f>
        <v>5.25</v>
      </c>
      <c r="D331" s="248">
        <f>ROUND(C331*(1+'Adaos Distr'!$C$122),2)</f>
        <v>5.25</v>
      </c>
      <c r="E331" s="248">
        <f>ROUND(D331*(1+'Adaos RESELLER'!$C$122),2)</f>
        <v>5.25</v>
      </c>
      <c r="F331" s="248">
        <f>IF(Select!$E$23=1,C331,IF(Select!$E$23=2,D331,IF(Select!$E$23=3,E331)))</f>
        <v>5.25</v>
      </c>
      <c r="G331" s="77">
        <f t="shared" si="20"/>
        <v>7.3129999999999997</v>
      </c>
      <c r="H331" s="77">
        <f t="shared" si="17"/>
        <v>7.31</v>
      </c>
    </row>
    <row r="332" spans="1:8" s="77" customFormat="1">
      <c r="A332" s="77" t="s">
        <v>2573</v>
      </c>
      <c r="B332" s="249">
        <v>9.73</v>
      </c>
      <c r="C332" s="248">
        <f>ROUND(B332*(1-'Disc Dep'!$C$122),2)</f>
        <v>7.2</v>
      </c>
      <c r="D332" s="248">
        <f>ROUND(C332*(1+'Adaos Distr'!$C$122),2)</f>
        <v>7.2</v>
      </c>
      <c r="E332" s="248">
        <f>ROUND(D332*(1+'Adaos RESELLER'!$C$122),2)</f>
        <v>7.2</v>
      </c>
      <c r="F332" s="248">
        <f>IF(Select!$E$23=1,C332,IF(Select!$E$23=2,D332,IF(Select!$E$23=3,E332)))</f>
        <v>7.2</v>
      </c>
      <c r="G332" s="77">
        <f t="shared" si="20"/>
        <v>10.0219</v>
      </c>
      <c r="H332" s="77">
        <f t="shared" si="17"/>
        <v>10.02</v>
      </c>
    </row>
    <row r="333" spans="1:8">
      <c r="A333" s="77" t="s">
        <v>1946</v>
      </c>
      <c r="B333" s="249">
        <v>11.31</v>
      </c>
      <c r="C333" s="248">
        <f>ROUND(B333*(1-'Disc Dep'!$C$122),2)</f>
        <v>8.3699999999999992</v>
      </c>
      <c r="D333" s="248">
        <f>ROUND(C333*(1+'Adaos Distr'!$C$122),2)</f>
        <v>8.3699999999999992</v>
      </c>
      <c r="E333" s="248">
        <f>ROUND(D333*(1+'Adaos RESELLER'!$C$122),2)</f>
        <v>8.3699999999999992</v>
      </c>
      <c r="F333" s="248">
        <f>IF(Select!$E$23=1,C333,IF(Select!$E$23=2,D333,IF(Select!$E$23=3,E333)))</f>
        <v>8.3699999999999992</v>
      </c>
      <c r="G333" s="77">
        <f t="shared" si="20"/>
        <v>11.6493</v>
      </c>
      <c r="H333" s="77">
        <f t="shared" si="17"/>
        <v>11.65</v>
      </c>
    </row>
    <row r="334" spans="1:8">
      <c r="A334" s="77" t="s">
        <v>1947</v>
      </c>
      <c r="B334" s="249">
        <v>14.08</v>
      </c>
      <c r="C334" s="248">
        <f>ROUND(B334*(1-'Disc Dep'!$C$122),2)</f>
        <v>10.42</v>
      </c>
      <c r="D334" s="248">
        <f>ROUND(C334*(1+'Adaos Distr'!$C$122),2)</f>
        <v>10.42</v>
      </c>
      <c r="E334" s="248">
        <f>ROUND(D334*(1+'Adaos RESELLER'!$C$122),2)</f>
        <v>10.42</v>
      </c>
      <c r="F334" s="248">
        <f>IF(Select!$E$23=1,C334,IF(Select!$E$23=2,D334,IF(Select!$E$23=3,E334)))</f>
        <v>10.42</v>
      </c>
      <c r="G334" s="77">
        <f t="shared" si="20"/>
        <v>14.5024</v>
      </c>
      <c r="H334" s="77">
        <f t="shared" si="17"/>
        <v>14.5</v>
      </c>
    </row>
    <row r="335" spans="1:8">
      <c r="B335" s="249">
        <v>0</v>
      </c>
      <c r="C335" s="248">
        <f>ROUND(B335*(1-'Disc Dep'!$C$122),2)</f>
        <v>0</v>
      </c>
      <c r="D335" s="248">
        <f>ROUND(C335*(1+'Adaos Distr'!$C$122),2)</f>
        <v>0</v>
      </c>
      <c r="E335" s="248">
        <f>ROUND(D335*(1+'Adaos RESELLER'!$C$122),2)</f>
        <v>0</v>
      </c>
      <c r="F335" s="248">
        <f>IF(Select!$E$23=1,C335,IF(Select!$E$23=2,D335,IF(Select!$E$23=3,E335)))</f>
        <v>0</v>
      </c>
      <c r="G335" s="77">
        <f t="shared" si="20"/>
        <v>0</v>
      </c>
      <c r="H335" s="77">
        <f t="shared" si="17"/>
        <v>0</v>
      </c>
    </row>
    <row r="336" spans="1:8">
      <c r="A336" s="77" t="s">
        <v>1948</v>
      </c>
      <c r="B336" s="249">
        <v>10.8</v>
      </c>
      <c r="C336" s="248">
        <f>ROUND(B336*(1-'Disc Dep'!$C$122),2)</f>
        <v>7.99</v>
      </c>
      <c r="D336" s="248">
        <f>ROUND(C336*(1+'Adaos Distr'!$C$122),2)</f>
        <v>7.99</v>
      </c>
      <c r="E336" s="248">
        <f>ROUND(D336*(1+'Adaos RESELLER'!$C$122),2)</f>
        <v>7.99</v>
      </c>
      <c r="F336" s="248">
        <f>IF(Select!$E$23=1,C336,IF(Select!$E$23=2,D336,IF(Select!$E$23=3,E336)))</f>
        <v>7.99</v>
      </c>
      <c r="G336" s="77">
        <f t="shared" si="20"/>
        <v>11.124000000000001</v>
      </c>
      <c r="H336" s="77">
        <f t="shared" si="17"/>
        <v>11.12</v>
      </c>
    </row>
    <row r="337" spans="1:8" s="77" customFormat="1">
      <c r="A337" s="77" t="s">
        <v>2064</v>
      </c>
      <c r="B337" s="249">
        <v>13.42</v>
      </c>
      <c r="C337" s="248">
        <f>ROUND(B337*(1-'Disc Dep'!$C$122),2)</f>
        <v>9.93</v>
      </c>
      <c r="D337" s="248">
        <f>ROUND(C337*(1+'Adaos Distr'!$C$122),2)</f>
        <v>9.93</v>
      </c>
      <c r="E337" s="248">
        <f>ROUND(D337*(1+'Adaos RESELLER'!$C$122),2)</f>
        <v>9.93</v>
      </c>
      <c r="F337" s="248">
        <f>IF(Select!$E$23=1,C337,IF(Select!$E$23=2,D337,IF(Select!$E$23=3,E337)))</f>
        <v>9.93</v>
      </c>
      <c r="G337" s="77">
        <f t="shared" si="20"/>
        <v>13.8226</v>
      </c>
      <c r="H337" s="77">
        <f t="shared" si="17"/>
        <v>13.82</v>
      </c>
    </row>
    <row r="338" spans="1:8">
      <c r="A338" s="77" t="s">
        <v>1949</v>
      </c>
      <c r="B338" s="249">
        <v>15.67</v>
      </c>
      <c r="C338" s="248">
        <f>ROUND(B338*(1-'Disc Dep'!$C$122),2)</f>
        <v>11.6</v>
      </c>
      <c r="D338" s="248">
        <f>ROUND(C338*(1+'Adaos Distr'!$C$122),2)</f>
        <v>11.6</v>
      </c>
      <c r="E338" s="248">
        <f>ROUND(D338*(1+'Adaos RESELLER'!$C$122),2)</f>
        <v>11.6</v>
      </c>
      <c r="F338" s="248">
        <f>IF(Select!$E$23=1,C338,IF(Select!$E$23=2,D338,IF(Select!$E$23=3,E338)))</f>
        <v>11.6</v>
      </c>
      <c r="G338" s="77">
        <f t="shared" si="20"/>
        <v>16.1401</v>
      </c>
      <c r="H338" s="77">
        <f t="shared" si="17"/>
        <v>16.14</v>
      </c>
    </row>
    <row r="339" spans="1:8">
      <c r="A339" s="77" t="s">
        <v>1950</v>
      </c>
      <c r="B339" s="249">
        <v>16.79</v>
      </c>
      <c r="C339" s="248">
        <f>ROUND(B339*(1-'Disc Dep'!$C$122),2)</f>
        <v>12.42</v>
      </c>
      <c r="D339" s="248">
        <f>ROUND(C339*(1+'Adaos Distr'!$C$122),2)</f>
        <v>12.42</v>
      </c>
      <c r="E339" s="248">
        <f>ROUND(D339*(1+'Adaos RESELLER'!$C$122),2)</f>
        <v>12.42</v>
      </c>
      <c r="F339" s="248">
        <f>IF(Select!$E$23=1,C339,IF(Select!$E$23=2,D339,IF(Select!$E$23=3,E339)))</f>
        <v>12.42</v>
      </c>
      <c r="G339" s="77">
        <f t="shared" si="20"/>
        <v>17.293700000000001</v>
      </c>
      <c r="H339" s="77">
        <f t="shared" si="17"/>
        <v>17.29</v>
      </c>
    </row>
    <row r="340" spans="1:8">
      <c r="A340" s="77" t="s">
        <v>1951</v>
      </c>
      <c r="B340" s="249">
        <v>11.12</v>
      </c>
      <c r="C340" s="248">
        <f>ROUND(B340*(1-'Disc Dep'!$C$122),2)</f>
        <v>8.23</v>
      </c>
      <c r="D340" s="248">
        <f>ROUND(C340*(1+'Adaos Distr'!$C$122),2)</f>
        <v>8.23</v>
      </c>
      <c r="E340" s="248">
        <f>ROUND(D340*(1+'Adaos RESELLER'!$C$122),2)</f>
        <v>8.23</v>
      </c>
      <c r="F340" s="248">
        <f>IF(Select!$E$23=1,C340,IF(Select!$E$23=2,D340,IF(Select!$E$23=3,E340)))</f>
        <v>8.23</v>
      </c>
      <c r="G340" s="77">
        <f t="shared" si="20"/>
        <v>11.4536</v>
      </c>
      <c r="H340" s="77">
        <f t="shared" si="17"/>
        <v>11.45</v>
      </c>
    </row>
    <row r="341" spans="1:8">
      <c r="A341" s="77" t="s">
        <v>1952</v>
      </c>
      <c r="B341" s="249">
        <v>15.85</v>
      </c>
      <c r="C341" s="248">
        <f>ROUND(B341*(1-'Disc Dep'!$C$122),2)</f>
        <v>11.73</v>
      </c>
      <c r="D341" s="248">
        <f>ROUND(C341*(1+'Adaos Distr'!$C$122),2)</f>
        <v>11.73</v>
      </c>
      <c r="E341" s="248">
        <f>ROUND(D341*(1+'Adaos RESELLER'!$C$122),2)</f>
        <v>11.73</v>
      </c>
      <c r="F341" s="248">
        <f>IF(Select!$E$23=1,C341,IF(Select!$E$23=2,D341,IF(Select!$E$23=3,E341)))</f>
        <v>11.73</v>
      </c>
      <c r="G341" s="77">
        <f t="shared" si="20"/>
        <v>16.325500000000002</v>
      </c>
      <c r="H341" s="77">
        <f t="shared" si="17"/>
        <v>16.329999999999998</v>
      </c>
    </row>
    <row r="342" spans="1:8">
      <c r="A342" s="77" t="s">
        <v>1953</v>
      </c>
      <c r="B342" s="249">
        <v>13.94</v>
      </c>
      <c r="C342" s="248">
        <f>ROUND(B342*(1-'Disc Dep'!$C$122),2)</f>
        <v>10.32</v>
      </c>
      <c r="D342" s="248">
        <f>ROUND(C342*(1+'Adaos Distr'!$C$122),2)</f>
        <v>10.32</v>
      </c>
      <c r="E342" s="248">
        <f>ROUND(D342*(1+'Adaos RESELLER'!$C$122),2)</f>
        <v>10.32</v>
      </c>
      <c r="F342" s="248">
        <f>IF(Select!$E$23=1,C342,IF(Select!$E$23=2,D342,IF(Select!$E$23=3,E342)))</f>
        <v>10.32</v>
      </c>
      <c r="G342" s="77">
        <f t="shared" si="20"/>
        <v>14.3582</v>
      </c>
      <c r="H342" s="77">
        <f>B342</f>
        <v>13.94</v>
      </c>
    </row>
    <row r="343" spans="1:8">
      <c r="A343" s="77" t="s">
        <v>1954</v>
      </c>
      <c r="B343" s="249">
        <v>8.59</v>
      </c>
      <c r="C343" s="248">
        <f>ROUND(B343*(1-'Disc Dep'!$C$122),2)</f>
        <v>6.36</v>
      </c>
      <c r="D343" s="248">
        <f>ROUND(C343*(1+'Adaos Distr'!$C$122),2)</f>
        <v>6.36</v>
      </c>
      <c r="E343" s="248">
        <f>ROUND(D343*(1+'Adaos RESELLER'!$C$122),2)</f>
        <v>6.36</v>
      </c>
      <c r="F343" s="248">
        <f>IF(Select!$E$23=1,C343,IF(Select!$E$23=2,D343,IF(Select!$E$23=3,E343)))</f>
        <v>6.36</v>
      </c>
      <c r="G343" s="77">
        <f t="shared" si="20"/>
        <v>8.8476999999999997</v>
      </c>
      <c r="H343" s="77">
        <f t="shared" si="17"/>
        <v>8.85</v>
      </c>
    </row>
    <row r="344" spans="1:8" s="77" customFormat="1">
      <c r="A344" s="77" t="s">
        <v>2574</v>
      </c>
      <c r="B344" s="249">
        <v>12.03</v>
      </c>
      <c r="C344" s="248">
        <f>ROUND(B344*(1-'Disc Dep'!$C$122),2)</f>
        <v>8.9</v>
      </c>
      <c r="D344" s="248">
        <f>ROUND(C344*(1+'Adaos Distr'!$C$122),2)</f>
        <v>8.9</v>
      </c>
      <c r="E344" s="248">
        <f>ROUND(D344*(1+'Adaos RESELLER'!$C$122),2)</f>
        <v>8.9</v>
      </c>
      <c r="F344" s="248">
        <f>IF(Select!$E$23=1,C344,IF(Select!$E$23=2,D344,IF(Select!$E$23=3,E344)))</f>
        <v>8.9</v>
      </c>
      <c r="G344" s="77">
        <f t="shared" si="20"/>
        <v>12.3909</v>
      </c>
      <c r="H344" s="77">
        <f t="shared" si="17"/>
        <v>12.39</v>
      </c>
    </row>
    <row r="345" spans="1:8">
      <c r="A345" s="77" t="s">
        <v>1955</v>
      </c>
      <c r="B345" s="249">
        <v>14.27</v>
      </c>
      <c r="C345" s="248">
        <f>ROUND(B345*(1-'Disc Dep'!$C$122),2)</f>
        <v>10.56</v>
      </c>
      <c r="D345" s="248">
        <f>ROUND(C345*(1+'Adaos Distr'!$C$122),2)</f>
        <v>10.56</v>
      </c>
      <c r="E345" s="248">
        <f>ROUND(D345*(1+'Adaos RESELLER'!$C$122),2)</f>
        <v>10.56</v>
      </c>
      <c r="F345" s="248">
        <f>IF(Select!$E$23=1,C345,IF(Select!$E$23=2,D345,IF(Select!$E$23=3,E345)))</f>
        <v>10.56</v>
      </c>
      <c r="G345" s="77">
        <f t="shared" si="20"/>
        <v>14.6981</v>
      </c>
      <c r="H345" s="77">
        <f t="shared" si="17"/>
        <v>14.7</v>
      </c>
    </row>
    <row r="346" spans="1:8">
      <c r="A346" s="77" t="s">
        <v>1956</v>
      </c>
      <c r="B346" s="249">
        <v>19.55</v>
      </c>
      <c r="C346" s="248">
        <f>ROUND(B346*(1-'Disc Dep'!$C$122),2)</f>
        <v>14.47</v>
      </c>
      <c r="D346" s="248">
        <f>ROUND(C346*(1+'Adaos Distr'!$C$122),2)</f>
        <v>14.47</v>
      </c>
      <c r="E346" s="248">
        <f>ROUND(D346*(1+'Adaos RESELLER'!$C$122),2)</f>
        <v>14.47</v>
      </c>
      <c r="F346" s="248">
        <f>IF(Select!$E$23=1,C346,IF(Select!$E$23=2,D346,IF(Select!$E$23=3,E346)))</f>
        <v>14.47</v>
      </c>
      <c r="G346" s="77">
        <f t="shared" si="20"/>
        <v>20.136500000000002</v>
      </c>
      <c r="H346" s="77">
        <f t="shared" si="17"/>
        <v>20.14</v>
      </c>
    </row>
    <row r="347" spans="1:8">
      <c r="A347" s="77"/>
      <c r="B347" s="249">
        <v>0</v>
      </c>
      <c r="C347" s="248">
        <f>ROUND(B347*(1-'Disc Dep'!$C$122),2)</f>
        <v>0</v>
      </c>
      <c r="D347" s="248">
        <f>ROUND(C347*(1+'Adaos Distr'!$C$122),2)</f>
        <v>0</v>
      </c>
      <c r="E347" s="248">
        <f>ROUND(D347*(1+'Adaos RESELLER'!$C$122),2)</f>
        <v>0</v>
      </c>
      <c r="F347" s="248">
        <f>IF(Select!$E$23=1,C347,IF(Select!$E$23=2,D347,IF(Select!$E$23=3,E347)))</f>
        <v>0</v>
      </c>
      <c r="G347" s="77">
        <f t="shared" si="20"/>
        <v>0</v>
      </c>
      <c r="H347" s="77">
        <f t="shared" si="17"/>
        <v>0</v>
      </c>
    </row>
    <row r="348" spans="1:8">
      <c r="A348" s="77" t="s">
        <v>1957</v>
      </c>
      <c r="B348" s="249">
        <v>10.8</v>
      </c>
      <c r="C348" s="248">
        <f>ROUND(B348*(1-'Disc Dep'!$C$122),2)</f>
        <v>7.99</v>
      </c>
      <c r="D348" s="248">
        <f>ROUND(C348*(1+'Adaos Distr'!$C$122),2)</f>
        <v>7.99</v>
      </c>
      <c r="E348" s="248">
        <f>ROUND(D348*(1+'Adaos RESELLER'!$C$122),2)</f>
        <v>7.99</v>
      </c>
      <c r="F348" s="248">
        <f>IF(Select!$E$23=1,C348,IF(Select!$E$23=2,D348,IF(Select!$E$23=3,E348)))</f>
        <v>7.99</v>
      </c>
      <c r="G348" s="77">
        <f t="shared" si="20"/>
        <v>11.124000000000001</v>
      </c>
      <c r="H348" s="77">
        <f t="shared" si="17"/>
        <v>11.12</v>
      </c>
    </row>
    <row r="349" spans="1:8" s="77" customFormat="1">
      <c r="A349" s="77" t="s">
        <v>2065</v>
      </c>
      <c r="B349" s="249">
        <v>13.42</v>
      </c>
      <c r="C349" s="248">
        <f>ROUND(B349*(1-'Disc Dep'!$C$122),2)</f>
        <v>9.93</v>
      </c>
      <c r="D349" s="248">
        <f>ROUND(C349*(1+'Adaos Distr'!$C$122),2)</f>
        <v>9.93</v>
      </c>
      <c r="E349" s="248">
        <f>ROUND(D349*(1+'Adaos RESELLER'!$C$122),2)</f>
        <v>9.93</v>
      </c>
      <c r="F349" s="248">
        <f>IF(Select!$E$23=1,C349,IF(Select!$E$23=2,D349,IF(Select!$E$23=3,E349)))</f>
        <v>9.93</v>
      </c>
      <c r="G349" s="77">
        <f t="shared" si="20"/>
        <v>13.8226</v>
      </c>
      <c r="H349" s="77">
        <f t="shared" si="17"/>
        <v>13.82</v>
      </c>
    </row>
    <row r="350" spans="1:8">
      <c r="A350" s="77" t="s">
        <v>1958</v>
      </c>
      <c r="B350" s="249">
        <v>15.67</v>
      </c>
      <c r="C350" s="248">
        <f>ROUND(B350*(1-'Disc Dep'!$C$122),2)</f>
        <v>11.6</v>
      </c>
      <c r="D350" s="248">
        <f>ROUND(C350*(1+'Adaos Distr'!$C$122),2)</f>
        <v>11.6</v>
      </c>
      <c r="E350" s="248">
        <f>ROUND(D350*(1+'Adaos RESELLER'!$C$122),2)</f>
        <v>11.6</v>
      </c>
      <c r="F350" s="248">
        <f>IF(Select!$E$23=1,C350,IF(Select!$E$23=2,D350,IF(Select!$E$23=3,E350)))</f>
        <v>11.6</v>
      </c>
      <c r="G350" s="77">
        <f t="shared" si="20"/>
        <v>16.1401</v>
      </c>
      <c r="H350" s="77">
        <f t="shared" si="17"/>
        <v>16.14</v>
      </c>
    </row>
    <row r="351" spans="1:8">
      <c r="A351" s="77" t="s">
        <v>1959</v>
      </c>
      <c r="B351" s="249">
        <v>16.79</v>
      </c>
      <c r="C351" s="248">
        <f>ROUND(B351*(1-'Disc Dep'!$C$122),2)</f>
        <v>12.42</v>
      </c>
      <c r="D351" s="248">
        <f>ROUND(C351*(1+'Adaos Distr'!$C$122),2)</f>
        <v>12.42</v>
      </c>
      <c r="E351" s="248">
        <f>ROUND(D351*(1+'Adaos RESELLER'!$C$122),2)</f>
        <v>12.42</v>
      </c>
      <c r="F351" s="248">
        <f>IF(Select!$E$23=1,C351,IF(Select!$E$23=2,D351,IF(Select!$E$23=3,E351)))</f>
        <v>12.42</v>
      </c>
      <c r="G351" s="77">
        <f t="shared" si="20"/>
        <v>17.293700000000001</v>
      </c>
      <c r="H351" s="77">
        <f t="shared" si="17"/>
        <v>17.29</v>
      </c>
    </row>
    <row r="352" spans="1:8">
      <c r="A352" s="77" t="s">
        <v>1960</v>
      </c>
      <c r="B352" s="249">
        <v>11.12</v>
      </c>
      <c r="C352" s="248">
        <f>ROUND(B352*(1-'Disc Dep'!$C$122),2)</f>
        <v>8.23</v>
      </c>
      <c r="D352" s="248">
        <f>ROUND(C352*(1+'Adaos Distr'!$C$122),2)</f>
        <v>8.23</v>
      </c>
      <c r="E352" s="248">
        <f>ROUND(D352*(1+'Adaos RESELLER'!$C$122),2)</f>
        <v>8.23</v>
      </c>
      <c r="F352" s="248">
        <f>IF(Select!$E$23=1,C352,IF(Select!$E$23=2,D352,IF(Select!$E$23=3,E352)))</f>
        <v>8.23</v>
      </c>
      <c r="G352" s="77">
        <f t="shared" si="20"/>
        <v>11.4536</v>
      </c>
      <c r="H352" s="77">
        <f t="shared" si="17"/>
        <v>11.45</v>
      </c>
    </row>
    <row r="353" spans="1:8">
      <c r="A353" s="77" t="s">
        <v>1961</v>
      </c>
      <c r="B353" s="249">
        <v>15.85</v>
      </c>
      <c r="C353" s="248">
        <f>ROUND(B353*(1-'Disc Dep'!$C$122),2)</f>
        <v>11.73</v>
      </c>
      <c r="D353" s="248">
        <f>ROUND(C353*(1+'Adaos Distr'!$C$122),2)</f>
        <v>11.73</v>
      </c>
      <c r="E353" s="248">
        <f>ROUND(D353*(1+'Adaos RESELLER'!$C$122),2)</f>
        <v>11.73</v>
      </c>
      <c r="F353" s="248">
        <f>IF(Select!$E$23=1,C353,IF(Select!$E$23=2,D353,IF(Select!$E$23=3,E353)))</f>
        <v>11.73</v>
      </c>
      <c r="G353" s="77">
        <f t="shared" si="20"/>
        <v>16.325500000000002</v>
      </c>
      <c r="H353" s="77">
        <f t="shared" si="17"/>
        <v>16.329999999999998</v>
      </c>
    </row>
    <row r="354" spans="1:8">
      <c r="A354" s="77" t="s">
        <v>1962</v>
      </c>
      <c r="B354" s="249">
        <v>13.94</v>
      </c>
      <c r="C354" s="248">
        <f>ROUND(B354*(1-'Disc Dep'!$C$122),2)</f>
        <v>10.32</v>
      </c>
      <c r="D354" s="248">
        <f>ROUND(C354*(1+'Adaos Distr'!$C$122),2)</f>
        <v>10.32</v>
      </c>
      <c r="E354" s="248">
        <f>ROUND(D354*(1+'Adaos RESELLER'!$C$122),2)</f>
        <v>10.32</v>
      </c>
      <c r="F354" s="248">
        <f>IF(Select!$E$23=1,C354,IF(Select!$E$23=2,D354,IF(Select!$E$23=3,E354)))</f>
        <v>10.32</v>
      </c>
      <c r="G354" s="77">
        <f t="shared" si="20"/>
        <v>14.3582</v>
      </c>
      <c r="H354" s="77">
        <f>B354</f>
        <v>13.94</v>
      </c>
    </row>
    <row r="355" spans="1:8">
      <c r="A355" s="77" t="s">
        <v>1963</v>
      </c>
      <c r="B355" s="249">
        <v>8.59</v>
      </c>
      <c r="C355" s="248">
        <f>ROUND(B355*(1-'Disc Dep'!$C$122),2)</f>
        <v>6.36</v>
      </c>
      <c r="D355" s="248">
        <f>ROUND(C355*(1+'Adaos Distr'!$C$122),2)</f>
        <v>6.36</v>
      </c>
      <c r="E355" s="248">
        <f>ROUND(D355*(1+'Adaos RESELLER'!$C$122),2)</f>
        <v>6.36</v>
      </c>
      <c r="F355" s="248">
        <f>IF(Select!$E$23=1,C355,IF(Select!$E$23=2,D355,IF(Select!$E$23=3,E355)))</f>
        <v>6.36</v>
      </c>
      <c r="G355" s="77">
        <f t="shared" si="20"/>
        <v>8.8476999999999997</v>
      </c>
      <c r="H355" s="77">
        <f t="shared" si="17"/>
        <v>8.85</v>
      </c>
    </row>
    <row r="356" spans="1:8" s="77" customFormat="1">
      <c r="A356" s="77" t="s">
        <v>2575</v>
      </c>
      <c r="B356" s="249">
        <v>12.03</v>
      </c>
      <c r="C356" s="248">
        <f>ROUND(B356*(1-'Disc Dep'!$C$122),2)</f>
        <v>8.9</v>
      </c>
      <c r="D356" s="248">
        <f>ROUND(C356*(1+'Adaos Distr'!$C$122),2)</f>
        <v>8.9</v>
      </c>
      <c r="E356" s="248">
        <f>ROUND(D356*(1+'Adaos RESELLER'!$C$122),2)</f>
        <v>8.9</v>
      </c>
      <c r="F356" s="248">
        <f>IF(Select!$E$23=1,C356,IF(Select!$E$23=2,D356,IF(Select!$E$23=3,E356)))</f>
        <v>8.9</v>
      </c>
      <c r="G356" s="77">
        <f t="shared" si="20"/>
        <v>12.3909</v>
      </c>
      <c r="H356" s="77">
        <f t="shared" si="17"/>
        <v>12.39</v>
      </c>
    </row>
    <row r="357" spans="1:8">
      <c r="A357" s="77" t="s">
        <v>1964</v>
      </c>
      <c r="B357" s="249">
        <v>14.27</v>
      </c>
      <c r="C357" s="248">
        <f>ROUND(B357*(1-'Disc Dep'!$C$122),2)</f>
        <v>10.56</v>
      </c>
      <c r="D357" s="248">
        <f>ROUND(C357*(1+'Adaos Distr'!$C$122),2)</f>
        <v>10.56</v>
      </c>
      <c r="E357" s="248">
        <f>ROUND(D357*(1+'Adaos RESELLER'!$C$122),2)</f>
        <v>10.56</v>
      </c>
      <c r="F357" s="248">
        <f>IF(Select!$E$23=1,C357,IF(Select!$E$23=2,D357,IF(Select!$E$23=3,E357)))</f>
        <v>10.56</v>
      </c>
      <c r="G357" s="77">
        <f t="shared" si="20"/>
        <v>14.6981</v>
      </c>
      <c r="H357" s="77">
        <f t="shared" si="17"/>
        <v>14.7</v>
      </c>
    </row>
    <row r="358" spans="1:8">
      <c r="A358" s="77" t="s">
        <v>1965</v>
      </c>
      <c r="B358" s="249">
        <v>19.55</v>
      </c>
      <c r="C358" s="248">
        <f>ROUND(B358*(1-'Disc Dep'!$C$122),2)</f>
        <v>14.47</v>
      </c>
      <c r="D358" s="248">
        <f>ROUND(C358*(1+'Adaos Distr'!$C$122),2)</f>
        <v>14.47</v>
      </c>
      <c r="E358" s="248">
        <f>ROUND(D358*(1+'Adaos RESELLER'!$C$122),2)</f>
        <v>14.47</v>
      </c>
      <c r="F358" s="248">
        <f>IF(Select!$E$23=1,C358,IF(Select!$E$23=2,D358,IF(Select!$E$23=3,E358)))</f>
        <v>14.47</v>
      </c>
      <c r="G358" s="77">
        <f t="shared" si="20"/>
        <v>20.136500000000002</v>
      </c>
      <c r="H358" s="77">
        <f t="shared" si="17"/>
        <v>20.14</v>
      </c>
    </row>
    <row r="359" spans="1:8">
      <c r="B359" s="249">
        <v>0</v>
      </c>
      <c r="C359" s="248">
        <f>ROUND(B359*(1-'Disc Dep'!$C$122),2)</f>
        <v>0</v>
      </c>
      <c r="D359" s="248">
        <f>ROUND(C359*(1+'Adaos Distr'!$C$122),2)</f>
        <v>0</v>
      </c>
      <c r="E359" s="248">
        <f>ROUND(D359*(1+'Adaos RESELLER'!$C$122),2)</f>
        <v>0</v>
      </c>
      <c r="F359" s="248">
        <f>IF(Select!$E$23=1,C359,IF(Select!$E$23=2,D359,IF(Select!$E$23=3,E359)))</f>
        <v>0</v>
      </c>
      <c r="G359" s="77">
        <f t="shared" si="20"/>
        <v>0</v>
      </c>
      <c r="H359" s="77">
        <f t="shared" si="17"/>
        <v>0</v>
      </c>
    </row>
    <row r="360" spans="1:8">
      <c r="A360" t="s">
        <v>1966</v>
      </c>
      <c r="B360" s="249">
        <v>9.3800000000000008</v>
      </c>
      <c r="C360" s="248">
        <f>ROUND(B360*(1-'Disc Dep'!$C$122),2)</f>
        <v>6.94</v>
      </c>
      <c r="D360" s="248">
        <f>ROUND(C360*(1+'Adaos Distr'!$C$122),2)</f>
        <v>6.94</v>
      </c>
      <c r="E360" s="248">
        <f>ROUND(D360*(1+'Adaos RESELLER'!$C$122),2)</f>
        <v>6.94</v>
      </c>
      <c r="F360" s="248">
        <f>IF(Select!$E$23=1,C360,IF(Select!$E$23=2,D360,IF(Select!$E$23=3,E360)))</f>
        <v>6.94</v>
      </c>
      <c r="G360" s="77">
        <f t="shared" si="20"/>
        <v>9.6614000000000004</v>
      </c>
      <c r="H360" s="77">
        <f t="shared" ref="H360:H429" si="23">ROUND(G360,2)</f>
        <v>9.66</v>
      </c>
    </row>
    <row r="361" spans="1:8">
      <c r="A361" t="s">
        <v>1967</v>
      </c>
      <c r="B361" s="249">
        <v>9.9600000000000009</v>
      </c>
      <c r="C361" s="248">
        <f>ROUND(B361*(1-'Disc Dep'!$C$122),2)</f>
        <v>7.37</v>
      </c>
      <c r="D361" s="248">
        <f>ROUND(C361*(1+'Adaos Distr'!$C$122),2)</f>
        <v>7.37</v>
      </c>
      <c r="E361" s="248">
        <f>ROUND(D361*(1+'Adaos RESELLER'!$C$122),2)</f>
        <v>7.37</v>
      </c>
      <c r="F361" s="248">
        <f>IF(Select!$E$23=1,C361,IF(Select!$E$23=2,D361,IF(Select!$E$23=3,E361)))</f>
        <v>7.37</v>
      </c>
      <c r="G361" s="77">
        <f t="shared" si="20"/>
        <v>10.258800000000001</v>
      </c>
      <c r="H361" s="77">
        <f t="shared" si="23"/>
        <v>10.26</v>
      </c>
    </row>
    <row r="362" spans="1:8" s="77" customFormat="1">
      <c r="A362" s="77" t="s">
        <v>2066</v>
      </c>
      <c r="B362" s="249">
        <v>12.23</v>
      </c>
      <c r="C362" s="248">
        <f>ROUND(B362*(1-'Disc Dep'!$C$122),2)</f>
        <v>9.0500000000000007</v>
      </c>
      <c r="D362" s="248">
        <f>ROUND(C362*(1+'Adaos Distr'!$C$122),2)</f>
        <v>9.0500000000000007</v>
      </c>
      <c r="E362" s="248">
        <f>ROUND(D362*(1+'Adaos RESELLER'!$C$122),2)</f>
        <v>9.0500000000000007</v>
      </c>
      <c r="F362" s="248">
        <f>IF(Select!$E$23=1,C362,IF(Select!$E$23=2,D362,IF(Select!$E$23=3,E362)))</f>
        <v>9.0500000000000007</v>
      </c>
      <c r="G362" s="77">
        <f t="shared" si="20"/>
        <v>12.596900000000002</v>
      </c>
      <c r="H362" s="77">
        <f t="shared" si="23"/>
        <v>12.6</v>
      </c>
    </row>
    <row r="363" spans="1:8">
      <c r="A363" t="s">
        <v>1968</v>
      </c>
      <c r="B363" s="249">
        <v>9.8699999999999992</v>
      </c>
      <c r="C363" s="248">
        <f>ROUND(B363*(1-'Disc Dep'!$C$122),2)</f>
        <v>7.3</v>
      </c>
      <c r="D363" s="248">
        <f>ROUND(C363*(1+'Adaos Distr'!$C$122),2)</f>
        <v>7.3</v>
      </c>
      <c r="E363" s="248">
        <f>ROUND(D363*(1+'Adaos RESELLER'!$C$122),2)</f>
        <v>7.3</v>
      </c>
      <c r="F363" s="248">
        <f>IF(Select!$E$23=1,C363,IF(Select!$E$23=2,D363,IF(Select!$E$23=3,E363)))</f>
        <v>7.3</v>
      </c>
      <c r="G363" s="77">
        <f t="shared" si="20"/>
        <v>10.1661</v>
      </c>
      <c r="H363" s="77">
        <f t="shared" si="23"/>
        <v>10.17</v>
      </c>
    </row>
    <row r="364" spans="1:8">
      <c r="A364" t="s">
        <v>1969</v>
      </c>
      <c r="B364" s="249">
        <v>10.43</v>
      </c>
      <c r="C364" s="248">
        <f>ROUND(B364*(1-'Disc Dep'!$C$122),2)</f>
        <v>7.72</v>
      </c>
      <c r="D364" s="248">
        <f>ROUND(C364*(1+'Adaos Distr'!$C$122),2)</f>
        <v>7.72</v>
      </c>
      <c r="E364" s="248">
        <f>ROUND(D364*(1+'Adaos RESELLER'!$C$122),2)</f>
        <v>7.72</v>
      </c>
      <c r="F364" s="248">
        <f>IF(Select!$E$23=1,C364,IF(Select!$E$23=2,D364,IF(Select!$E$23=3,E364)))</f>
        <v>7.72</v>
      </c>
      <c r="G364" s="77">
        <f t="shared" si="20"/>
        <v>10.742900000000001</v>
      </c>
      <c r="H364" s="77">
        <f t="shared" si="23"/>
        <v>10.74</v>
      </c>
    </row>
    <row r="365" spans="1:8">
      <c r="A365" t="s">
        <v>1970</v>
      </c>
      <c r="B365" s="249">
        <v>14.15</v>
      </c>
      <c r="C365" s="248">
        <f>ROUND(B365*(1-'Disc Dep'!$C$122),2)</f>
        <v>10.47</v>
      </c>
      <c r="D365" s="248">
        <f>ROUND(C365*(1+'Adaos Distr'!$C$122),2)</f>
        <v>10.47</v>
      </c>
      <c r="E365" s="248">
        <f>ROUND(D365*(1+'Adaos RESELLER'!$C$122),2)</f>
        <v>10.47</v>
      </c>
      <c r="F365" s="248">
        <f>IF(Select!$E$23=1,C365,IF(Select!$E$23=2,D365,IF(Select!$E$23=3,E365)))</f>
        <v>10.47</v>
      </c>
      <c r="G365" s="77">
        <f t="shared" si="20"/>
        <v>14.5745</v>
      </c>
      <c r="H365" s="77">
        <f t="shared" si="23"/>
        <v>14.57</v>
      </c>
    </row>
    <row r="366" spans="1:8">
      <c r="A366" t="s">
        <v>1971</v>
      </c>
      <c r="B366" s="249">
        <v>12.63</v>
      </c>
      <c r="C366" s="248">
        <f>ROUND(B366*(1-'Disc Dep'!$C$122),2)</f>
        <v>9.35</v>
      </c>
      <c r="D366" s="248">
        <f>ROUND(C366*(1+'Adaos Distr'!$C$122),2)</f>
        <v>9.35</v>
      </c>
      <c r="E366" s="248">
        <f>ROUND(D366*(1+'Adaos RESELLER'!$C$122),2)</f>
        <v>9.35</v>
      </c>
      <c r="F366" s="248">
        <f>IF(Select!$E$23=1,C366,IF(Select!$E$23=2,D366,IF(Select!$E$23=3,E366)))</f>
        <v>9.35</v>
      </c>
      <c r="G366" s="77">
        <f t="shared" si="20"/>
        <v>13.008900000000001</v>
      </c>
      <c r="H366" s="77">
        <f>B366</f>
        <v>12.63</v>
      </c>
    </row>
    <row r="367" spans="1:8">
      <c r="B367" s="249">
        <v>0</v>
      </c>
      <c r="C367" s="248">
        <f>ROUND(B367*(1-'Disc Dep'!$C$122),2)</f>
        <v>0</v>
      </c>
      <c r="D367" s="248">
        <f>ROUND(C367*(1+'Adaos Distr'!$C$122),2)</f>
        <v>0</v>
      </c>
      <c r="E367" s="248">
        <f>ROUND(D367*(1+'Adaos RESELLER'!$C$122),2)</f>
        <v>0</v>
      </c>
      <c r="F367" s="248">
        <f>IF(Select!$E$23=1,C367,IF(Select!$E$23=2,D367,IF(Select!$E$23=3,E367)))</f>
        <v>0</v>
      </c>
      <c r="G367" s="77">
        <f t="shared" si="20"/>
        <v>0</v>
      </c>
      <c r="H367" s="77">
        <f t="shared" si="23"/>
        <v>0</v>
      </c>
    </row>
    <row r="368" spans="1:8">
      <c r="A368" t="s">
        <v>1972</v>
      </c>
      <c r="B368" s="249">
        <v>9.6999999999999993</v>
      </c>
      <c r="C368" s="248">
        <f>ROUND(B368*(1-'Disc Dep'!$C$122),2)</f>
        <v>7.18</v>
      </c>
      <c r="D368" s="248">
        <f>ROUND(C368*(1+'Adaos Distr'!$C$122),2)</f>
        <v>7.18</v>
      </c>
      <c r="E368" s="248">
        <f>ROUND(D368*(1+'Adaos RESELLER'!$C$122),2)</f>
        <v>7.18</v>
      </c>
      <c r="F368" s="248">
        <f>IF(Select!$E$23=1,C368,IF(Select!$E$23=2,D368,IF(Select!$E$23=3,E368)))</f>
        <v>7.18</v>
      </c>
      <c r="G368" s="77">
        <f t="shared" si="20"/>
        <v>9.9909999999999997</v>
      </c>
      <c r="H368" s="77">
        <f t="shared" si="23"/>
        <v>9.99</v>
      </c>
    </row>
    <row r="369" spans="1:8">
      <c r="A369" t="s">
        <v>1973</v>
      </c>
      <c r="B369" s="249">
        <v>10.35</v>
      </c>
      <c r="C369" s="248">
        <f>ROUND(B369*(1-'Disc Dep'!$C$122),2)</f>
        <v>7.66</v>
      </c>
      <c r="D369" s="248">
        <f>ROUND(C369*(1+'Adaos Distr'!$C$122),2)</f>
        <v>7.66</v>
      </c>
      <c r="E369" s="248">
        <f>ROUND(D369*(1+'Adaos RESELLER'!$C$122),2)</f>
        <v>7.66</v>
      </c>
      <c r="F369" s="248">
        <f>IF(Select!$E$23=1,C369,IF(Select!$E$23=2,D369,IF(Select!$E$23=3,E369)))</f>
        <v>7.66</v>
      </c>
      <c r="G369" s="77">
        <f t="shared" si="20"/>
        <v>10.660500000000001</v>
      </c>
      <c r="H369" s="77">
        <f t="shared" si="23"/>
        <v>10.66</v>
      </c>
    </row>
    <row r="370" spans="1:8" s="77" customFormat="1">
      <c r="A370" s="77" t="s">
        <v>2067</v>
      </c>
      <c r="B370" s="249">
        <v>12.46</v>
      </c>
      <c r="C370" s="248">
        <f>ROUND(B370*(1-'Disc Dep'!$C$122),2)</f>
        <v>9.2200000000000006</v>
      </c>
      <c r="D370" s="248">
        <f>ROUND(C370*(1+'Adaos Distr'!$C$122),2)</f>
        <v>9.2200000000000006</v>
      </c>
      <c r="E370" s="248">
        <f>ROUND(D370*(1+'Adaos RESELLER'!$C$122),2)</f>
        <v>9.2200000000000006</v>
      </c>
      <c r="F370" s="248">
        <f>IF(Select!$E$23=1,C370,IF(Select!$E$23=2,D370,IF(Select!$E$23=3,E370)))</f>
        <v>9.2200000000000006</v>
      </c>
      <c r="G370" s="77">
        <f t="shared" si="20"/>
        <v>12.833800000000002</v>
      </c>
      <c r="H370" s="77">
        <f t="shared" si="23"/>
        <v>12.83</v>
      </c>
    </row>
    <row r="371" spans="1:8">
      <c r="A371" t="s">
        <v>1974</v>
      </c>
      <c r="B371" s="249">
        <v>14.26</v>
      </c>
      <c r="C371" s="248">
        <f>ROUND(B371*(1-'Disc Dep'!$C$122),2)</f>
        <v>10.55</v>
      </c>
      <c r="D371" s="248">
        <f>ROUND(C371*(1+'Adaos Distr'!$C$122),2)</f>
        <v>10.55</v>
      </c>
      <c r="E371" s="248">
        <f>ROUND(D371*(1+'Adaos RESELLER'!$C$122),2)</f>
        <v>10.55</v>
      </c>
      <c r="F371" s="248">
        <f>IF(Select!$E$23=1,C371,IF(Select!$E$23=2,D371,IF(Select!$E$23=3,E371)))</f>
        <v>10.55</v>
      </c>
      <c r="G371" s="77">
        <f t="shared" si="20"/>
        <v>14.687799999999999</v>
      </c>
      <c r="H371" s="77">
        <f t="shared" si="23"/>
        <v>14.69</v>
      </c>
    </row>
    <row r="372" spans="1:8">
      <c r="A372" t="s">
        <v>1975</v>
      </c>
      <c r="B372" s="249">
        <v>15.16</v>
      </c>
      <c r="C372" s="248">
        <f>ROUND(B372*(1-'Disc Dep'!$C$122),2)</f>
        <v>11.22</v>
      </c>
      <c r="D372" s="248">
        <f>ROUND(C372*(1+'Adaos Distr'!$C$122),2)</f>
        <v>11.22</v>
      </c>
      <c r="E372" s="248">
        <f>ROUND(D372*(1+'Adaos RESELLER'!$C$122),2)</f>
        <v>11.22</v>
      </c>
      <c r="F372" s="248">
        <f>IF(Select!$E$23=1,C372,IF(Select!$E$23=2,D372,IF(Select!$E$23=3,E372)))</f>
        <v>11.22</v>
      </c>
      <c r="G372" s="77">
        <f t="shared" si="20"/>
        <v>15.614800000000001</v>
      </c>
      <c r="H372" s="77">
        <f t="shared" si="23"/>
        <v>15.61</v>
      </c>
    </row>
    <row r="373" spans="1:8">
      <c r="A373" t="s">
        <v>1976</v>
      </c>
      <c r="B373" s="249">
        <v>10.35</v>
      </c>
      <c r="C373" s="248">
        <f>ROUND(B373*(1-'Disc Dep'!$C$122),2)</f>
        <v>7.66</v>
      </c>
      <c r="D373" s="248">
        <f>ROUND(C373*(1+'Adaos Distr'!$C$122),2)</f>
        <v>7.66</v>
      </c>
      <c r="E373" s="248">
        <f>ROUND(D373*(1+'Adaos RESELLER'!$C$122),2)</f>
        <v>7.66</v>
      </c>
      <c r="F373" s="248">
        <f>IF(Select!$E$23=1,C373,IF(Select!$E$23=2,D373,IF(Select!$E$23=3,E373)))</f>
        <v>7.66</v>
      </c>
      <c r="G373" s="77">
        <f t="shared" ref="G373:G384" si="24">B373*1.03</f>
        <v>10.660500000000001</v>
      </c>
      <c r="H373" s="77">
        <f t="shared" si="23"/>
        <v>10.66</v>
      </c>
    </row>
    <row r="374" spans="1:8">
      <c r="A374" t="s">
        <v>1977</v>
      </c>
      <c r="B374" s="249">
        <v>10.62</v>
      </c>
      <c r="C374" s="248">
        <f>ROUND(B374*(1-'Disc Dep'!$C$122),2)</f>
        <v>7.86</v>
      </c>
      <c r="D374" s="248">
        <f>ROUND(C374*(1+'Adaos Distr'!$C$122),2)</f>
        <v>7.86</v>
      </c>
      <c r="E374" s="248">
        <f>ROUND(D374*(1+'Adaos RESELLER'!$C$122),2)</f>
        <v>7.86</v>
      </c>
      <c r="F374" s="248">
        <f>IF(Select!$E$23=1,C374,IF(Select!$E$23=2,D374,IF(Select!$E$23=3,E374)))</f>
        <v>7.86</v>
      </c>
      <c r="G374" s="77">
        <f t="shared" si="24"/>
        <v>10.938599999999999</v>
      </c>
      <c r="H374" s="77">
        <f t="shared" si="23"/>
        <v>10.94</v>
      </c>
    </row>
    <row r="375" spans="1:8">
      <c r="A375" t="s">
        <v>1978</v>
      </c>
      <c r="B375" s="249">
        <v>14.42</v>
      </c>
      <c r="C375" s="248">
        <f>ROUND(B375*(1-'Disc Dep'!$C$122),2)</f>
        <v>10.67</v>
      </c>
      <c r="D375" s="248">
        <f>ROUND(C375*(1+'Adaos Distr'!$C$122),2)</f>
        <v>10.67</v>
      </c>
      <c r="E375" s="248">
        <f>ROUND(D375*(1+'Adaos RESELLER'!$C$122),2)</f>
        <v>10.67</v>
      </c>
      <c r="F375" s="248">
        <f>IF(Select!$E$23=1,C375,IF(Select!$E$23=2,D375,IF(Select!$E$23=3,E375)))</f>
        <v>10.67</v>
      </c>
      <c r="G375" s="77">
        <f t="shared" si="24"/>
        <v>14.852600000000001</v>
      </c>
      <c r="H375" s="77">
        <f t="shared" si="23"/>
        <v>14.85</v>
      </c>
    </row>
    <row r="376" spans="1:8">
      <c r="A376" t="s">
        <v>1979</v>
      </c>
      <c r="B376" s="249">
        <v>12.87</v>
      </c>
      <c r="C376" s="248">
        <f>ROUND(B376*(1-'Disc Dep'!$C$122),2)</f>
        <v>9.52</v>
      </c>
      <c r="D376" s="248">
        <f>ROUND(C376*(1+'Adaos Distr'!$C$122),2)</f>
        <v>9.52</v>
      </c>
      <c r="E376" s="248">
        <f>ROUND(D376*(1+'Adaos RESELLER'!$C$122),2)</f>
        <v>9.52</v>
      </c>
      <c r="F376" s="248">
        <f>IF(Select!$E$23=1,C376,IF(Select!$E$23=2,D376,IF(Select!$E$23=3,E376)))</f>
        <v>9.52</v>
      </c>
      <c r="G376" s="77">
        <f t="shared" si="24"/>
        <v>13.2561</v>
      </c>
      <c r="H376" s="77">
        <f>B376</f>
        <v>12.87</v>
      </c>
    </row>
    <row r="377" spans="1:8">
      <c r="B377" s="249">
        <v>0</v>
      </c>
      <c r="C377" s="248">
        <f>ROUND(B377*(1-'Disc Dep'!$C$122),2)</f>
        <v>0</v>
      </c>
      <c r="D377" s="248">
        <f>ROUND(C377*(1+'Adaos Distr'!$C$122),2)</f>
        <v>0</v>
      </c>
      <c r="E377" s="248">
        <f>ROUND(D377*(1+'Adaos RESELLER'!$C$122),2)</f>
        <v>0</v>
      </c>
      <c r="F377" s="248">
        <f>IF(Select!$E$23=1,C377,IF(Select!$E$23=2,D377,IF(Select!$E$23=3,E377)))</f>
        <v>0</v>
      </c>
      <c r="G377" s="77">
        <f t="shared" si="24"/>
        <v>0</v>
      </c>
      <c r="H377" s="77">
        <f t="shared" si="23"/>
        <v>0</v>
      </c>
    </row>
    <row r="378" spans="1:8">
      <c r="A378" t="s">
        <v>1980</v>
      </c>
      <c r="B378" s="249">
        <v>12.46</v>
      </c>
      <c r="C378" s="248">
        <f>ROUND(B378*(1-'Disc Dep'!$C$122),2)</f>
        <v>9.2200000000000006</v>
      </c>
      <c r="D378" s="248">
        <f>ROUND(C378*(1+'Adaos Distr'!$C$122),2)</f>
        <v>9.2200000000000006</v>
      </c>
      <c r="E378" s="248">
        <f>ROUND(D378*(1+'Adaos RESELLER'!$C$122),2)</f>
        <v>9.2200000000000006</v>
      </c>
      <c r="F378" s="248">
        <f>IF(Select!$E$23=1,C378,IF(Select!$E$23=2,D378,IF(Select!$E$23=3,E378)))</f>
        <v>9.2200000000000006</v>
      </c>
      <c r="G378" s="77">
        <f t="shared" si="24"/>
        <v>12.833800000000002</v>
      </c>
      <c r="H378" s="77">
        <f t="shared" si="23"/>
        <v>12.83</v>
      </c>
    </row>
    <row r="379" spans="1:8" s="77" customFormat="1">
      <c r="A379" s="77" t="s">
        <v>2068</v>
      </c>
      <c r="B379" s="249">
        <v>15.08</v>
      </c>
      <c r="C379" s="248">
        <f>ROUND(B379*(1-'Disc Dep'!$C$122),2)</f>
        <v>11.16</v>
      </c>
      <c r="D379" s="248">
        <f>ROUND(C379*(1+'Adaos Distr'!$C$122),2)</f>
        <v>11.16</v>
      </c>
      <c r="E379" s="248">
        <f>ROUND(D379*(1+'Adaos RESELLER'!$C$122),2)</f>
        <v>11.16</v>
      </c>
      <c r="F379" s="248">
        <f>IF(Select!$E$23=1,C379,IF(Select!$E$23=2,D379,IF(Select!$E$23=3,E379)))</f>
        <v>11.16</v>
      </c>
      <c r="G379" s="77">
        <f t="shared" si="24"/>
        <v>15.532400000000001</v>
      </c>
      <c r="H379" s="77">
        <f t="shared" si="23"/>
        <v>15.53</v>
      </c>
    </row>
    <row r="380" spans="1:8">
      <c r="A380" t="s">
        <v>1981</v>
      </c>
      <c r="B380" s="249">
        <v>17.32</v>
      </c>
      <c r="C380" s="248">
        <f>ROUND(B380*(1-'Disc Dep'!$C$122),2)</f>
        <v>12.82</v>
      </c>
      <c r="D380" s="248">
        <f>ROUND(C380*(1+'Adaos Distr'!$C$122),2)</f>
        <v>12.82</v>
      </c>
      <c r="E380" s="248">
        <f>ROUND(D380*(1+'Adaos RESELLER'!$C$122),2)</f>
        <v>12.82</v>
      </c>
      <c r="F380" s="248">
        <f>IF(Select!$E$23=1,C380,IF(Select!$E$23=2,D380,IF(Select!$E$23=3,E380)))</f>
        <v>12.82</v>
      </c>
      <c r="G380" s="77">
        <f t="shared" si="24"/>
        <v>17.839600000000001</v>
      </c>
      <c r="H380" s="77">
        <f t="shared" si="23"/>
        <v>17.84</v>
      </c>
    </row>
    <row r="381" spans="1:8">
      <c r="A381" t="s">
        <v>1982</v>
      </c>
      <c r="B381" s="249">
        <v>18.45</v>
      </c>
      <c r="C381" s="248">
        <f>ROUND(B381*(1-'Disc Dep'!$C$122),2)</f>
        <v>13.65</v>
      </c>
      <c r="D381" s="248">
        <f>ROUND(C381*(1+'Adaos Distr'!$C$122),2)</f>
        <v>13.65</v>
      </c>
      <c r="E381" s="248">
        <f>ROUND(D381*(1+'Adaos RESELLER'!$C$122),2)</f>
        <v>13.65</v>
      </c>
      <c r="F381" s="248">
        <f>IF(Select!$E$23=1,C381,IF(Select!$E$23=2,D381,IF(Select!$E$23=3,E381)))</f>
        <v>13.65</v>
      </c>
      <c r="G381" s="77">
        <f t="shared" si="24"/>
        <v>19.003499999999999</v>
      </c>
      <c r="H381" s="77">
        <f t="shared" si="23"/>
        <v>19</v>
      </c>
    </row>
    <row r="382" spans="1:8">
      <c r="A382" t="s">
        <v>1983</v>
      </c>
      <c r="B382" s="249">
        <v>12.78</v>
      </c>
      <c r="C382" s="248">
        <f>ROUND(B382*(1-'Disc Dep'!$C$122),2)</f>
        <v>9.4600000000000009</v>
      </c>
      <c r="D382" s="248">
        <f>ROUND(C382*(1+'Adaos Distr'!$C$122),2)</f>
        <v>9.4600000000000009</v>
      </c>
      <c r="E382" s="248">
        <f>ROUND(D382*(1+'Adaos RESELLER'!$C$122),2)</f>
        <v>9.4600000000000009</v>
      </c>
      <c r="F382" s="248">
        <f>IF(Select!$E$23=1,C382,IF(Select!$E$23=2,D382,IF(Select!$E$23=3,E382)))</f>
        <v>9.4600000000000009</v>
      </c>
      <c r="G382" s="77">
        <f t="shared" si="24"/>
        <v>13.163399999999999</v>
      </c>
      <c r="H382" s="77">
        <f t="shared" si="23"/>
        <v>13.16</v>
      </c>
    </row>
    <row r="383" spans="1:8">
      <c r="A383" t="s">
        <v>1984</v>
      </c>
      <c r="B383" s="249">
        <v>17.52</v>
      </c>
      <c r="C383" s="248">
        <f>ROUND(B383*(1-'Disc Dep'!$C$122),2)</f>
        <v>12.96</v>
      </c>
      <c r="D383" s="248">
        <f>ROUND(C383*(1+'Adaos Distr'!$C$122),2)</f>
        <v>12.96</v>
      </c>
      <c r="E383" s="248">
        <f>ROUND(D383*(1+'Adaos RESELLER'!$C$122),2)</f>
        <v>12.96</v>
      </c>
      <c r="F383" s="248">
        <f>IF(Select!$E$23=1,C383,IF(Select!$E$23=2,D383,IF(Select!$E$23=3,E383)))</f>
        <v>12.96</v>
      </c>
      <c r="G383" s="77">
        <f t="shared" si="24"/>
        <v>18.0456</v>
      </c>
      <c r="H383" s="77">
        <f t="shared" si="23"/>
        <v>18.05</v>
      </c>
    </row>
    <row r="384" spans="1:8">
      <c r="A384" t="s">
        <v>1985</v>
      </c>
      <c r="B384" s="249">
        <v>15.6</v>
      </c>
      <c r="C384" s="248">
        <f>ROUND(B384*(1-'Disc Dep'!$C$122),2)</f>
        <v>11.54</v>
      </c>
      <c r="D384" s="248">
        <f>ROUND(C384*(1+'Adaos Distr'!$C$122),2)</f>
        <v>11.54</v>
      </c>
      <c r="E384" s="248">
        <f>ROUND(D384*(1+'Adaos RESELLER'!$C$122),2)</f>
        <v>11.54</v>
      </c>
      <c r="F384" s="248">
        <f>IF(Select!$E$23=1,C384,IF(Select!$E$23=2,D384,IF(Select!$E$23=3,E384)))</f>
        <v>11.54</v>
      </c>
      <c r="G384" s="77">
        <f t="shared" si="24"/>
        <v>16.068000000000001</v>
      </c>
      <c r="H384" s="77">
        <f>B384</f>
        <v>15.6</v>
      </c>
    </row>
    <row r="385" spans="1:8" s="77" customFormat="1">
      <c r="B385" s="249"/>
      <c r="C385" s="248">
        <f>ROUND(B385*(1-'Disc Dep'!$C$122),2)</f>
        <v>0</v>
      </c>
      <c r="D385" s="248">
        <f>ROUND(C385*(1+'Adaos Distr'!$C$122),2)</f>
        <v>0</v>
      </c>
      <c r="E385" s="248">
        <f>ROUND(D385*(1+'Adaos RESELLER'!$C$122),2)</f>
        <v>0</v>
      </c>
      <c r="F385" s="248">
        <f>IF(Select!$E$23=1,C385,IF(Select!$E$23=2,D385,IF(Select!$E$23=3,E385)))</f>
        <v>0</v>
      </c>
      <c r="G385" s="77">
        <f t="shared" ref="G385:G386" si="25">B385*1.03</f>
        <v>0</v>
      </c>
      <c r="H385" s="77">
        <f t="shared" ref="H385" si="26">B385</f>
        <v>0</v>
      </c>
    </row>
    <row r="386" spans="1:8" s="77" customFormat="1">
      <c r="A386" s="77" t="s">
        <v>2110</v>
      </c>
      <c r="B386" s="249">
        <v>6.11</v>
      </c>
      <c r="C386" s="248">
        <f>ROUND(B386*(1-'Disc Dep'!$E$15),2)</f>
        <v>4.5199999999999996</v>
      </c>
      <c r="D386" s="248">
        <f>ROUND(C386*(1+'Adaos Distr'!$C$122),2)</f>
        <v>4.5199999999999996</v>
      </c>
      <c r="E386" s="248">
        <f>ROUND(D386*(1+'Adaos RESELLER'!$C$122),2)</f>
        <v>4.5199999999999996</v>
      </c>
      <c r="F386" s="248">
        <f>IF(Select!$E$23=1,C386,IF(Select!$E$23=2,D386,IF(Select!$E$23=3,E386)))</f>
        <v>4.5199999999999996</v>
      </c>
      <c r="G386" s="77">
        <f t="shared" si="25"/>
        <v>6.2933000000000003</v>
      </c>
      <c r="H386" s="77">
        <f t="shared" si="23"/>
        <v>6.29</v>
      </c>
    </row>
    <row r="387" spans="1:8" s="77" customFormat="1">
      <c r="A387" s="77" t="s">
        <v>2111</v>
      </c>
      <c r="B387" s="249">
        <v>6.61</v>
      </c>
      <c r="C387" s="248">
        <f>ROUND(B387*(1-'Disc Dep'!$E$15),2)</f>
        <v>4.8899999999999997</v>
      </c>
      <c r="D387" s="248">
        <f>ROUND(C387*(1+'Adaos Distr'!$C$122),2)</f>
        <v>4.8899999999999997</v>
      </c>
      <c r="E387" s="248">
        <f>ROUND(D387*(1+'Adaos RESELLER'!$C$122),2)</f>
        <v>4.8899999999999997</v>
      </c>
      <c r="F387" s="248">
        <f>IF(Select!$E$23=1,C387,IF(Select!$E$23=2,D387,IF(Select!$E$23=3,E387)))</f>
        <v>4.8899999999999997</v>
      </c>
      <c r="G387" s="77">
        <f t="shared" ref="G387:G461" si="27">B387*1.03</f>
        <v>6.8083000000000009</v>
      </c>
      <c r="H387" s="77">
        <f t="shared" si="23"/>
        <v>6.81</v>
      </c>
    </row>
    <row r="388" spans="1:8" s="77" customFormat="1">
      <c r="A388" s="77" t="s">
        <v>2112</v>
      </c>
      <c r="B388" s="249">
        <v>7.64</v>
      </c>
      <c r="C388" s="248">
        <f>ROUND(B388*(1-'Disc Dep'!$E$15),2)</f>
        <v>5.65</v>
      </c>
      <c r="D388" s="248">
        <f>ROUND(C388*(1+'Adaos Distr'!$C$122),2)</f>
        <v>5.65</v>
      </c>
      <c r="E388" s="248">
        <f>ROUND(D388*(1+'Adaos RESELLER'!$C$122),2)</f>
        <v>5.65</v>
      </c>
      <c r="F388" s="248">
        <f>IF(Select!$E$23=1,C388,IF(Select!$E$23=2,D388,IF(Select!$E$23=3,E388)))</f>
        <v>5.65</v>
      </c>
      <c r="G388" s="77">
        <f t="shared" si="27"/>
        <v>7.8692000000000002</v>
      </c>
      <c r="H388" s="77">
        <f t="shared" si="23"/>
        <v>7.87</v>
      </c>
    </row>
    <row r="389" spans="1:8" s="77" customFormat="1">
      <c r="A389" s="77" t="s">
        <v>2113</v>
      </c>
      <c r="B389" s="249">
        <v>8.2200000000000006</v>
      </c>
      <c r="C389" s="248">
        <f>ROUND(B389*(1-'Disc Dep'!$E$15),2)</f>
        <v>6.08</v>
      </c>
      <c r="D389" s="248">
        <f>ROUND(C389*(1+'Adaos Distr'!$C$122),2)</f>
        <v>6.08</v>
      </c>
      <c r="E389" s="248">
        <f>ROUND(D389*(1+'Adaos RESELLER'!$C$122),2)</f>
        <v>6.08</v>
      </c>
      <c r="F389" s="248">
        <f>IF(Select!$E$23=1,C389,IF(Select!$E$23=2,D389,IF(Select!$E$23=3,E389)))</f>
        <v>6.08</v>
      </c>
      <c r="G389" s="77">
        <f t="shared" si="27"/>
        <v>8.4666000000000015</v>
      </c>
      <c r="H389" s="77">
        <f t="shared" si="23"/>
        <v>8.4700000000000006</v>
      </c>
    </row>
    <row r="390" spans="1:8" s="77" customFormat="1">
      <c r="A390" s="77" t="s">
        <v>2114</v>
      </c>
      <c r="B390" s="249">
        <v>10.48</v>
      </c>
      <c r="C390" s="248">
        <f>ROUND(B390*(1-'Disc Dep'!$E$15),2)</f>
        <v>7.76</v>
      </c>
      <c r="D390" s="248">
        <f>ROUND(C390*(1+'Adaos Distr'!$C$122),2)</f>
        <v>7.76</v>
      </c>
      <c r="E390" s="248">
        <f>ROUND(D390*(1+'Adaos RESELLER'!$C$122),2)</f>
        <v>7.76</v>
      </c>
      <c r="F390" s="248">
        <f>IF(Select!$E$23=1,C390,IF(Select!$E$23=2,D390,IF(Select!$E$23=3,E390)))</f>
        <v>7.76</v>
      </c>
      <c r="G390" s="77">
        <f t="shared" si="27"/>
        <v>10.794400000000001</v>
      </c>
      <c r="H390" s="77">
        <f t="shared" si="23"/>
        <v>10.79</v>
      </c>
    </row>
    <row r="391" spans="1:8" s="77" customFormat="1">
      <c r="A391" s="77" t="s">
        <v>2115</v>
      </c>
      <c r="B391" s="249">
        <v>7.28</v>
      </c>
      <c r="C391" s="248">
        <f>ROUND(B391*(1-'Disc Dep'!$E$15),2)</f>
        <v>5.39</v>
      </c>
      <c r="D391" s="248">
        <f>ROUND(C391*(1+'Adaos Distr'!$C$122),2)</f>
        <v>5.39</v>
      </c>
      <c r="E391" s="248">
        <f>ROUND(D391*(1+'Adaos RESELLER'!$C$122),2)</f>
        <v>5.39</v>
      </c>
      <c r="F391" s="248">
        <f>IF(Select!$E$23=1,C391,IF(Select!$E$23=2,D391,IF(Select!$E$23=3,E391)))</f>
        <v>5.39</v>
      </c>
      <c r="G391" s="77">
        <f t="shared" si="27"/>
        <v>7.4984000000000002</v>
      </c>
      <c r="H391" s="77">
        <f t="shared" si="23"/>
        <v>7.5</v>
      </c>
    </row>
    <row r="392" spans="1:8" s="77" customFormat="1">
      <c r="A392" s="77" t="s">
        <v>2116</v>
      </c>
      <c r="B392" s="249">
        <v>8.14</v>
      </c>
      <c r="C392" s="248">
        <f>ROUND(B392*(1-'Disc Dep'!$E$15),2)</f>
        <v>6.02</v>
      </c>
      <c r="D392" s="248">
        <f>ROUND(C392*(1+'Adaos Distr'!$C$122),2)</f>
        <v>6.02</v>
      </c>
      <c r="E392" s="248">
        <f>ROUND(D392*(1+'Adaos RESELLER'!$C$122),2)</f>
        <v>6.02</v>
      </c>
      <c r="F392" s="248">
        <f>IF(Select!$E$23=1,C392,IF(Select!$E$23=2,D392,IF(Select!$E$23=3,E392)))</f>
        <v>6.02</v>
      </c>
      <c r="G392" s="77">
        <f t="shared" si="27"/>
        <v>8.3842000000000017</v>
      </c>
      <c r="H392" s="77">
        <f t="shared" si="23"/>
        <v>8.3800000000000008</v>
      </c>
    </row>
    <row r="393" spans="1:8" s="77" customFormat="1">
      <c r="A393" s="77" t="s">
        <v>2117</v>
      </c>
      <c r="B393" s="249">
        <v>8.68</v>
      </c>
      <c r="C393" s="248">
        <f>ROUND(B393*(1-'Disc Dep'!$E$15),2)</f>
        <v>6.42</v>
      </c>
      <c r="D393" s="248">
        <f>ROUND(C393*(1+'Adaos Distr'!$C$122),2)</f>
        <v>6.42</v>
      </c>
      <c r="E393" s="248">
        <f>ROUND(D393*(1+'Adaos RESELLER'!$C$122),2)</f>
        <v>6.42</v>
      </c>
      <c r="F393" s="248">
        <f>IF(Select!$E$23=1,C393,IF(Select!$E$23=2,D393,IF(Select!$E$23=3,E393)))</f>
        <v>6.42</v>
      </c>
      <c r="G393" s="77">
        <f t="shared" si="27"/>
        <v>8.9404000000000003</v>
      </c>
      <c r="H393" s="77">
        <f t="shared" si="23"/>
        <v>8.94</v>
      </c>
    </row>
    <row r="394" spans="1:8" s="77" customFormat="1">
      <c r="A394" s="77" t="s">
        <v>3219</v>
      </c>
      <c r="B394" s="249">
        <v>9.58</v>
      </c>
      <c r="C394" s="248">
        <f>ROUND(B394*(1-'Disc Dep'!$E$15),2)</f>
        <v>7.09</v>
      </c>
      <c r="D394" s="248">
        <f>ROUND(C394*(1+'Adaos Distr'!$C$122),2)</f>
        <v>7.09</v>
      </c>
      <c r="E394" s="248">
        <f>ROUND(D394*(1+'Adaos RESELLER'!$C$122),2)</f>
        <v>7.09</v>
      </c>
      <c r="F394" s="248">
        <f>IF(Select!$E$23=1,C394,IF(Select!$E$23=2,D394,IF(Select!$E$23=3,E394)))</f>
        <v>7.09</v>
      </c>
      <c r="G394" s="77">
        <f t="shared" si="27"/>
        <v>9.8673999999999999</v>
      </c>
      <c r="H394" s="77">
        <f t="shared" si="23"/>
        <v>9.8699999999999992</v>
      </c>
    </row>
    <row r="395" spans="1:8" s="77" customFormat="1">
      <c r="A395" s="77" t="s">
        <v>2118</v>
      </c>
      <c r="B395" s="249">
        <v>13.1</v>
      </c>
      <c r="C395" s="248">
        <f>ROUND(B395*(1-'Disc Dep'!$E$15),2)</f>
        <v>9.69</v>
      </c>
      <c r="D395" s="248">
        <f>ROUND(C395*(1+'Adaos Distr'!$C$122),2)</f>
        <v>9.69</v>
      </c>
      <c r="E395" s="248">
        <f>ROUND(D395*(1+'Adaos RESELLER'!$C$122),2)</f>
        <v>9.69</v>
      </c>
      <c r="F395" s="248">
        <f>IF(Select!$E$23=1,C395,IF(Select!$E$23=2,D395,IF(Select!$E$23=3,E395)))</f>
        <v>9.69</v>
      </c>
      <c r="G395" s="77">
        <f t="shared" si="27"/>
        <v>13.493</v>
      </c>
      <c r="H395" s="77">
        <f t="shared" si="23"/>
        <v>13.49</v>
      </c>
    </row>
    <row r="396" spans="1:8" s="77" customFormat="1">
      <c r="A396" s="77" t="s">
        <v>2119</v>
      </c>
      <c r="B396" s="249">
        <v>10.87</v>
      </c>
      <c r="C396" s="248">
        <f>ROUND(B396*(1-'Disc Dep'!$E$15),2)</f>
        <v>8.0399999999999991</v>
      </c>
      <c r="D396" s="248">
        <f>ROUND(C396*(1+'Adaos Distr'!$C$122),2)</f>
        <v>8.0399999999999991</v>
      </c>
      <c r="E396" s="248">
        <f>ROUND(D396*(1+'Adaos RESELLER'!$C$122),2)</f>
        <v>8.0399999999999991</v>
      </c>
      <c r="F396" s="248">
        <f>IF(Select!$E$23=1,C396,IF(Select!$E$23=2,D396,IF(Select!$E$23=3,E396)))</f>
        <v>8.0399999999999991</v>
      </c>
      <c r="G396" s="77">
        <f t="shared" si="27"/>
        <v>11.196099999999999</v>
      </c>
      <c r="H396" s="77">
        <f>B396</f>
        <v>10.87</v>
      </c>
    </row>
    <row r="397" spans="1:8" s="77" customFormat="1">
      <c r="B397" s="249">
        <v>0</v>
      </c>
      <c r="C397" s="248">
        <f>ROUND(B397*(1-'Disc Dep'!$E$15),2)</f>
        <v>0</v>
      </c>
      <c r="D397" s="248">
        <f>ROUND(C397*(1+'Adaos Distr'!$C$122),2)</f>
        <v>0</v>
      </c>
      <c r="E397" s="248">
        <f>ROUND(D397*(1+'Adaos RESELLER'!$C$122),2)</f>
        <v>0</v>
      </c>
      <c r="F397" s="248">
        <f>IF(Select!$E$23=1,C397,IF(Select!$E$23=2,D397,IF(Select!$E$23=3,E397)))</f>
        <v>0</v>
      </c>
      <c r="G397" s="77">
        <f t="shared" si="27"/>
        <v>0</v>
      </c>
      <c r="H397" s="77">
        <f t="shared" si="23"/>
        <v>0</v>
      </c>
    </row>
    <row r="398" spans="1:8" s="77" customFormat="1">
      <c r="A398" s="77" t="s">
        <v>2120</v>
      </c>
      <c r="B398" s="249">
        <v>6.11</v>
      </c>
      <c r="C398" s="248">
        <f>ROUND(B398*(1-'Disc Dep'!$E$15),2)</f>
        <v>4.5199999999999996</v>
      </c>
      <c r="D398" s="248">
        <f>ROUND(C398*(1+'Adaos Distr'!$C$122),2)</f>
        <v>4.5199999999999996</v>
      </c>
      <c r="E398" s="248">
        <f>ROUND(D398*(1+'Adaos RESELLER'!$C$122),2)</f>
        <v>4.5199999999999996</v>
      </c>
      <c r="F398" s="248">
        <f>IF(Select!$E$23=1,C398,IF(Select!$E$23=2,D398,IF(Select!$E$23=3,E398)))</f>
        <v>4.5199999999999996</v>
      </c>
      <c r="G398" s="77">
        <f t="shared" si="27"/>
        <v>6.2933000000000003</v>
      </c>
      <c r="H398" s="77">
        <f t="shared" si="23"/>
        <v>6.29</v>
      </c>
    </row>
    <row r="399" spans="1:8" s="77" customFormat="1">
      <c r="A399" s="77" t="s">
        <v>2121</v>
      </c>
      <c r="B399" s="249">
        <v>6.61</v>
      </c>
      <c r="C399" s="248">
        <f>ROUND(B399*(1-'Disc Dep'!$E$15),2)</f>
        <v>4.8899999999999997</v>
      </c>
      <c r="D399" s="248">
        <f>ROUND(C399*(1+'Adaos Distr'!$C$122),2)</f>
        <v>4.8899999999999997</v>
      </c>
      <c r="E399" s="248">
        <f>ROUND(D399*(1+'Adaos RESELLER'!$C$122),2)</f>
        <v>4.8899999999999997</v>
      </c>
      <c r="F399" s="248">
        <f>IF(Select!$E$23=1,C399,IF(Select!$E$23=2,D399,IF(Select!$E$23=3,E399)))</f>
        <v>4.8899999999999997</v>
      </c>
      <c r="G399" s="77">
        <f t="shared" si="27"/>
        <v>6.8083000000000009</v>
      </c>
      <c r="H399" s="77">
        <f t="shared" si="23"/>
        <v>6.81</v>
      </c>
    </row>
    <row r="400" spans="1:8" s="77" customFormat="1">
      <c r="A400" s="77" t="s">
        <v>2122</v>
      </c>
      <c r="B400" s="249">
        <v>7.64</v>
      </c>
      <c r="C400" s="248">
        <f>ROUND(B400*(1-'Disc Dep'!$E$15),2)</f>
        <v>5.65</v>
      </c>
      <c r="D400" s="248">
        <f>ROUND(C400*(1+'Adaos Distr'!$C$122),2)</f>
        <v>5.65</v>
      </c>
      <c r="E400" s="248">
        <f>ROUND(D400*(1+'Adaos RESELLER'!$C$122),2)</f>
        <v>5.65</v>
      </c>
      <c r="F400" s="248">
        <f>IF(Select!$E$23=1,C400,IF(Select!$E$23=2,D400,IF(Select!$E$23=3,E400)))</f>
        <v>5.65</v>
      </c>
      <c r="G400" s="77">
        <f t="shared" si="27"/>
        <v>7.8692000000000002</v>
      </c>
      <c r="H400" s="77">
        <f t="shared" si="23"/>
        <v>7.87</v>
      </c>
    </row>
    <row r="401" spans="1:8" s="77" customFormat="1">
      <c r="A401" s="77" t="s">
        <v>2123</v>
      </c>
      <c r="B401" s="249">
        <v>8.2200000000000006</v>
      </c>
      <c r="C401" s="248">
        <f>ROUND(B401*(1-'Disc Dep'!$E$15),2)</f>
        <v>6.08</v>
      </c>
      <c r="D401" s="248">
        <f>ROUND(C401*(1+'Adaos Distr'!$C$122),2)</f>
        <v>6.08</v>
      </c>
      <c r="E401" s="248">
        <f>ROUND(D401*(1+'Adaos RESELLER'!$C$122),2)</f>
        <v>6.08</v>
      </c>
      <c r="F401" s="248">
        <f>IF(Select!$E$23=1,C401,IF(Select!$E$23=2,D401,IF(Select!$E$23=3,E401)))</f>
        <v>6.08</v>
      </c>
      <c r="G401" s="77">
        <f t="shared" si="27"/>
        <v>8.4666000000000015</v>
      </c>
      <c r="H401" s="77">
        <f t="shared" si="23"/>
        <v>8.4700000000000006</v>
      </c>
    </row>
    <row r="402" spans="1:8" s="77" customFormat="1">
      <c r="A402" s="77" t="s">
        <v>2124</v>
      </c>
      <c r="B402" s="249">
        <v>10.48</v>
      </c>
      <c r="C402" s="248">
        <f>ROUND(B402*(1-'Disc Dep'!$E$15),2)</f>
        <v>7.76</v>
      </c>
      <c r="D402" s="248">
        <f>ROUND(C402*(1+'Adaos Distr'!$C$122),2)</f>
        <v>7.76</v>
      </c>
      <c r="E402" s="248">
        <f>ROUND(D402*(1+'Adaos RESELLER'!$C$122),2)</f>
        <v>7.76</v>
      </c>
      <c r="F402" s="248">
        <f>IF(Select!$E$23=1,C402,IF(Select!$E$23=2,D402,IF(Select!$E$23=3,E402)))</f>
        <v>7.76</v>
      </c>
      <c r="G402" s="77">
        <f t="shared" si="27"/>
        <v>10.794400000000001</v>
      </c>
      <c r="H402" s="77">
        <f t="shared" si="23"/>
        <v>10.79</v>
      </c>
    </row>
    <row r="403" spans="1:8" s="77" customFormat="1">
      <c r="A403" s="77" t="s">
        <v>2125</v>
      </c>
      <c r="B403" s="249">
        <v>7.28</v>
      </c>
      <c r="C403" s="248">
        <f>ROUND(B403*(1-'Disc Dep'!$E$15),2)</f>
        <v>5.39</v>
      </c>
      <c r="D403" s="248">
        <f>ROUND(C403*(1+'Adaos Distr'!$C$122),2)</f>
        <v>5.39</v>
      </c>
      <c r="E403" s="248">
        <f>ROUND(D403*(1+'Adaos RESELLER'!$C$122),2)</f>
        <v>5.39</v>
      </c>
      <c r="F403" s="248">
        <f>IF(Select!$E$23=1,C403,IF(Select!$E$23=2,D403,IF(Select!$E$23=3,E403)))</f>
        <v>5.39</v>
      </c>
      <c r="G403" s="77">
        <f t="shared" si="27"/>
        <v>7.4984000000000002</v>
      </c>
      <c r="H403" s="77">
        <f t="shared" si="23"/>
        <v>7.5</v>
      </c>
    </row>
    <row r="404" spans="1:8" s="77" customFormat="1">
      <c r="A404" s="77" t="s">
        <v>2126</v>
      </c>
      <c r="B404" s="249">
        <v>8.14</v>
      </c>
      <c r="C404" s="248">
        <f>ROUND(B404*(1-'Disc Dep'!$E$15),2)</f>
        <v>6.02</v>
      </c>
      <c r="D404" s="248">
        <f>ROUND(C404*(1+'Adaos Distr'!$C$122),2)</f>
        <v>6.02</v>
      </c>
      <c r="E404" s="248">
        <f>ROUND(D404*(1+'Adaos RESELLER'!$C$122),2)</f>
        <v>6.02</v>
      </c>
      <c r="F404" s="248">
        <f>IF(Select!$E$23=1,C404,IF(Select!$E$23=2,D404,IF(Select!$E$23=3,E404)))</f>
        <v>6.02</v>
      </c>
      <c r="G404" s="77">
        <f t="shared" si="27"/>
        <v>8.3842000000000017</v>
      </c>
      <c r="H404" s="77">
        <f t="shared" si="23"/>
        <v>8.3800000000000008</v>
      </c>
    </row>
    <row r="405" spans="1:8" s="77" customFormat="1">
      <c r="A405" s="77" t="s">
        <v>2127</v>
      </c>
      <c r="B405" s="249">
        <v>8.68</v>
      </c>
      <c r="C405" s="248">
        <f>ROUND(B405*(1-'Disc Dep'!$E$15),2)</f>
        <v>6.42</v>
      </c>
      <c r="D405" s="248">
        <f>ROUND(C405*(1+'Adaos Distr'!$C$122),2)</f>
        <v>6.42</v>
      </c>
      <c r="E405" s="248">
        <f>ROUND(D405*(1+'Adaos RESELLER'!$C$122),2)</f>
        <v>6.42</v>
      </c>
      <c r="F405" s="248">
        <f>IF(Select!$E$23=1,C405,IF(Select!$E$23=2,D405,IF(Select!$E$23=3,E405)))</f>
        <v>6.42</v>
      </c>
      <c r="G405" s="77">
        <f t="shared" si="27"/>
        <v>8.9404000000000003</v>
      </c>
      <c r="H405" s="77">
        <f t="shared" si="23"/>
        <v>8.94</v>
      </c>
    </row>
    <row r="406" spans="1:8" s="77" customFormat="1">
      <c r="A406" s="77" t="s">
        <v>3218</v>
      </c>
      <c r="B406" s="249">
        <f>B394</f>
        <v>9.58</v>
      </c>
      <c r="C406" s="248">
        <f>ROUND(B406*(1-'Disc Dep'!$E$15),2)</f>
        <v>7.09</v>
      </c>
      <c r="D406" s="248">
        <f>ROUND(C406*(1+'Adaos Distr'!$C$122),2)</f>
        <v>7.09</v>
      </c>
      <c r="E406" s="248">
        <f>ROUND(D406*(1+'Adaos RESELLER'!$C$122),2)</f>
        <v>7.09</v>
      </c>
      <c r="F406" s="248">
        <f>IF(Select!$E$23=1,C406,IF(Select!$E$23=2,D406,IF(Select!$E$23=3,E406)))</f>
        <v>7.09</v>
      </c>
      <c r="G406" s="77">
        <f t="shared" ref="G406" si="28">B406*1.03</f>
        <v>9.8673999999999999</v>
      </c>
      <c r="H406" s="77">
        <f t="shared" ref="H406" si="29">ROUND(G406,2)</f>
        <v>9.8699999999999992</v>
      </c>
    </row>
    <row r="407" spans="1:8" s="77" customFormat="1">
      <c r="A407" s="77" t="s">
        <v>2128</v>
      </c>
      <c r="B407" s="249">
        <v>13.1</v>
      </c>
      <c r="C407" s="248">
        <f>ROUND(B407*(1-'Disc Dep'!$E$15),2)</f>
        <v>9.69</v>
      </c>
      <c r="D407" s="248">
        <f>ROUND(C407*(1+'Adaos Distr'!$C$122),2)</f>
        <v>9.69</v>
      </c>
      <c r="E407" s="248">
        <f>ROUND(D407*(1+'Adaos RESELLER'!$C$122),2)</f>
        <v>9.69</v>
      </c>
      <c r="F407" s="248">
        <f>IF(Select!$E$23=1,C407,IF(Select!$E$23=2,D407,IF(Select!$E$23=3,E407)))</f>
        <v>9.69</v>
      </c>
      <c r="G407" s="77">
        <f t="shared" si="27"/>
        <v>13.493</v>
      </c>
      <c r="H407" s="77">
        <f t="shared" si="23"/>
        <v>13.49</v>
      </c>
    </row>
    <row r="408" spans="1:8" s="77" customFormat="1">
      <c r="A408" s="77" t="s">
        <v>2129</v>
      </c>
      <c r="B408" s="249">
        <v>10.87</v>
      </c>
      <c r="C408" s="248">
        <f>ROUND(B408*(1-'Disc Dep'!$E$15),2)</f>
        <v>8.0399999999999991</v>
      </c>
      <c r="D408" s="248">
        <f>ROUND(C408*(1+'Adaos Distr'!$C$122),2)</f>
        <v>8.0399999999999991</v>
      </c>
      <c r="E408" s="248">
        <f>ROUND(D408*(1+'Adaos RESELLER'!$C$122),2)</f>
        <v>8.0399999999999991</v>
      </c>
      <c r="F408" s="248">
        <f>IF(Select!$E$23=1,C408,IF(Select!$E$23=2,D408,IF(Select!$E$23=3,E408)))</f>
        <v>8.0399999999999991</v>
      </c>
      <c r="G408" s="77">
        <f t="shared" si="27"/>
        <v>11.196099999999999</v>
      </c>
      <c r="H408" s="77">
        <f>B408</f>
        <v>10.87</v>
      </c>
    </row>
    <row r="409" spans="1:8" s="77" customFormat="1">
      <c r="B409" s="249">
        <v>0</v>
      </c>
      <c r="C409" s="248">
        <f>ROUND(B409*(1-'Disc Dep'!$E$15),2)</f>
        <v>0</v>
      </c>
      <c r="D409" s="248"/>
      <c r="E409" s="248"/>
      <c r="F409" s="248"/>
      <c r="G409" s="77">
        <f t="shared" si="27"/>
        <v>0</v>
      </c>
      <c r="H409" s="77">
        <f t="shared" si="23"/>
        <v>0</v>
      </c>
    </row>
    <row r="410" spans="1:8" s="77" customFormat="1">
      <c r="A410" s="77" t="s">
        <v>2130</v>
      </c>
      <c r="B410" s="249">
        <v>8.52</v>
      </c>
      <c r="C410" s="248">
        <f>ROUND(B410*(1-'Disc Dep'!$E$15),2)</f>
        <v>6.3</v>
      </c>
      <c r="D410" s="248">
        <f>ROUND(C410*(1+'Adaos Distr'!$C$122),2)</f>
        <v>6.3</v>
      </c>
      <c r="E410" s="248">
        <f>ROUND(D410*(1+'Adaos RESELLER'!$C$122),2)</f>
        <v>6.3</v>
      </c>
      <c r="F410" s="248">
        <f>IF(Select!$E$23=1,C410,IF(Select!$E$23=2,D410,IF(Select!$E$23=3,E410)))</f>
        <v>6.3</v>
      </c>
      <c r="G410" s="77">
        <f t="shared" si="27"/>
        <v>8.775599999999999</v>
      </c>
      <c r="H410" s="77">
        <f t="shared" si="23"/>
        <v>8.7799999999999994</v>
      </c>
    </row>
    <row r="411" spans="1:8" s="77" customFormat="1">
      <c r="A411" s="77" t="s">
        <v>2131</v>
      </c>
      <c r="B411" s="249">
        <v>9.06</v>
      </c>
      <c r="C411" s="248">
        <f>ROUND(B411*(1-'Disc Dep'!$E$15),2)</f>
        <v>6.7</v>
      </c>
      <c r="D411" s="248">
        <f>ROUND(C411*(1+'Adaos Distr'!$C$122),2)</f>
        <v>6.7</v>
      </c>
      <c r="E411" s="248">
        <f>ROUND(D411*(1+'Adaos RESELLER'!$C$122),2)</f>
        <v>6.7</v>
      </c>
      <c r="F411" s="248">
        <f>IF(Select!$E$23=1,C411,IF(Select!$E$23=2,D411,IF(Select!$E$23=3,E411)))</f>
        <v>6.7</v>
      </c>
      <c r="G411" s="77">
        <f t="shared" si="27"/>
        <v>9.3318000000000012</v>
      </c>
      <c r="H411" s="77">
        <f t="shared" si="23"/>
        <v>9.33</v>
      </c>
    </row>
    <row r="412" spans="1:8" s="77" customFormat="1">
      <c r="A412" s="77" t="s">
        <v>2132</v>
      </c>
      <c r="B412" s="249">
        <v>11.04</v>
      </c>
      <c r="C412" s="248">
        <f>ROUND(B412*(1-'Disc Dep'!$E$15),2)</f>
        <v>8.17</v>
      </c>
      <c r="D412" s="248">
        <f>ROUND(C412*(1+'Adaos Distr'!$C$122),2)</f>
        <v>8.17</v>
      </c>
      <c r="E412" s="248">
        <f>ROUND(D412*(1+'Adaos RESELLER'!$C$122),2)</f>
        <v>8.17</v>
      </c>
      <c r="F412" s="248">
        <f>IF(Select!$E$23=1,C412,IF(Select!$E$23=2,D412,IF(Select!$E$23=3,E412)))</f>
        <v>8.17</v>
      </c>
      <c r="G412" s="77">
        <f t="shared" si="27"/>
        <v>11.3712</v>
      </c>
      <c r="H412" s="77">
        <f t="shared" si="23"/>
        <v>11.37</v>
      </c>
    </row>
    <row r="413" spans="1:8" s="77" customFormat="1">
      <c r="A413" s="77" t="s">
        <v>2601</v>
      </c>
      <c r="B413" s="249">
        <v>13.25</v>
      </c>
      <c r="C413" s="248">
        <f>ROUND(B413*(1-'Disc Dep'!$E$15),2)</f>
        <v>9.81</v>
      </c>
      <c r="D413" s="248">
        <f>ROUND(C413*(1+'Adaos Distr'!$C$122),2)</f>
        <v>9.81</v>
      </c>
      <c r="E413" s="248">
        <f>ROUND(D413*(1+'Adaos RESELLER'!$C$122),2)</f>
        <v>9.81</v>
      </c>
      <c r="F413" s="248">
        <f>IF(Select!$E$23=1,C413,IF(Select!$E$23=2,D413,IF(Select!$E$23=3,E413)))</f>
        <v>9.81</v>
      </c>
      <c r="G413" s="77">
        <f t="shared" si="27"/>
        <v>13.647500000000001</v>
      </c>
      <c r="H413" s="77">
        <f t="shared" si="23"/>
        <v>13.65</v>
      </c>
    </row>
    <row r="414" spans="1:8" s="77" customFormat="1">
      <c r="A414" s="77" t="s">
        <v>2133</v>
      </c>
      <c r="B414" s="249">
        <v>14.17</v>
      </c>
      <c r="C414" s="248">
        <f>ROUND(B414*(1-'Disc Dep'!$E$15),2)</f>
        <v>10.49</v>
      </c>
      <c r="D414" s="248">
        <f>ROUND(C414*(1+'Adaos Distr'!$C$122),2)</f>
        <v>10.49</v>
      </c>
      <c r="E414" s="248">
        <f>ROUND(D414*(1+'Adaos RESELLER'!$C$122),2)</f>
        <v>10.49</v>
      </c>
      <c r="F414" s="248">
        <f>IF(Select!$E$23=1,C414,IF(Select!$E$23=2,D414,IF(Select!$E$23=3,E414)))</f>
        <v>10.49</v>
      </c>
      <c r="G414" s="77">
        <f t="shared" si="27"/>
        <v>14.5951</v>
      </c>
      <c r="H414" s="77">
        <f t="shared" si="23"/>
        <v>14.6</v>
      </c>
    </row>
    <row r="415" spans="1:8" s="77" customFormat="1">
      <c r="A415" s="77" t="s">
        <v>2134</v>
      </c>
      <c r="B415" s="249">
        <v>9.14</v>
      </c>
      <c r="C415" s="248">
        <f>ROUND(B415*(1-'Disc Dep'!$E$15),2)</f>
        <v>6.76</v>
      </c>
      <c r="D415" s="248">
        <f>ROUND(C415*(1+'Adaos Distr'!$C$122),2)</f>
        <v>6.76</v>
      </c>
      <c r="E415" s="248">
        <f>ROUND(D415*(1+'Adaos RESELLER'!$C$122),2)</f>
        <v>6.76</v>
      </c>
      <c r="F415" s="248">
        <f>IF(Select!$E$23=1,C415,IF(Select!$E$23=2,D415,IF(Select!$E$23=3,E415)))</f>
        <v>6.76</v>
      </c>
      <c r="G415" s="77">
        <f t="shared" si="27"/>
        <v>9.414200000000001</v>
      </c>
      <c r="H415" s="77">
        <f t="shared" si="23"/>
        <v>9.41</v>
      </c>
    </row>
    <row r="416" spans="1:8" s="77" customFormat="1">
      <c r="A416" s="77" t="s">
        <v>2135</v>
      </c>
      <c r="B416" s="249">
        <v>9.41</v>
      </c>
      <c r="C416" s="248">
        <f>ROUND(B416*(1-'Disc Dep'!$E$15),2)</f>
        <v>6.96</v>
      </c>
      <c r="D416" s="248">
        <f>ROUND(C416*(1+'Adaos Distr'!$C$122),2)</f>
        <v>6.96</v>
      </c>
      <c r="E416" s="248">
        <f>ROUND(D416*(1+'Adaos RESELLER'!$C$122),2)</f>
        <v>6.96</v>
      </c>
      <c r="F416" s="248">
        <f>IF(Select!$E$23=1,C416,IF(Select!$E$23=2,D416,IF(Select!$E$23=3,E416)))</f>
        <v>6.96</v>
      </c>
      <c r="G416" s="77">
        <f t="shared" si="27"/>
        <v>9.6923000000000012</v>
      </c>
      <c r="H416" s="77">
        <f t="shared" si="23"/>
        <v>9.69</v>
      </c>
    </row>
    <row r="417" spans="1:8" s="77" customFormat="1">
      <c r="A417" s="77" t="s">
        <v>3221</v>
      </c>
      <c r="B417" s="249">
        <v>10.4</v>
      </c>
      <c r="C417" s="248">
        <f>ROUND(B417*(1-'Disc Dep'!$E$15),2)</f>
        <v>7.7</v>
      </c>
      <c r="D417" s="248">
        <f>ROUND(C417*(1+'Adaos Distr'!$C$122),2)</f>
        <v>7.7</v>
      </c>
      <c r="E417" s="248">
        <f>ROUND(D417*(1+'Adaos RESELLER'!$C$122),2)</f>
        <v>7.7</v>
      </c>
      <c r="F417" s="248">
        <f>IF(Select!$E$23=1,C417,IF(Select!$E$23=2,D417,IF(Select!$E$23=3,E417)))</f>
        <v>7.7</v>
      </c>
      <c r="G417" s="77">
        <f t="shared" si="27"/>
        <v>10.712000000000002</v>
      </c>
      <c r="H417" s="77">
        <f t="shared" si="23"/>
        <v>10.71</v>
      </c>
    </row>
    <row r="418" spans="1:8" s="77" customFormat="1">
      <c r="A418" s="77" t="s">
        <v>2136</v>
      </c>
      <c r="B418" s="249">
        <v>14.04</v>
      </c>
      <c r="C418" s="248">
        <f>ROUND(B418*(1-'Disc Dep'!$E$15),2)</f>
        <v>10.39</v>
      </c>
      <c r="D418" s="248">
        <f>ROUND(C418*(1+'Adaos Distr'!$C$122),2)</f>
        <v>10.39</v>
      </c>
      <c r="E418" s="248">
        <f>ROUND(D418*(1+'Adaos RESELLER'!$C$122),2)</f>
        <v>10.39</v>
      </c>
      <c r="F418" s="248">
        <f>IF(Select!$E$23=1,C418,IF(Select!$E$23=2,D418,IF(Select!$E$23=3,E418)))</f>
        <v>10.39</v>
      </c>
      <c r="G418" s="77">
        <f t="shared" si="27"/>
        <v>14.4612</v>
      </c>
      <c r="H418" s="77">
        <f t="shared" si="23"/>
        <v>14.46</v>
      </c>
    </row>
    <row r="419" spans="1:8" s="77" customFormat="1">
      <c r="A419" s="77" t="s">
        <v>2137</v>
      </c>
      <c r="B419" s="249">
        <v>12.13</v>
      </c>
      <c r="C419" s="248">
        <f>ROUND(B419*(1-'Disc Dep'!$E$15),2)</f>
        <v>8.98</v>
      </c>
      <c r="D419" s="248">
        <f>ROUND(C419*(1+'Adaos Distr'!$C$122),2)</f>
        <v>8.98</v>
      </c>
      <c r="E419" s="248">
        <f>ROUND(D419*(1+'Adaos RESELLER'!$C$122),2)</f>
        <v>8.98</v>
      </c>
      <c r="F419" s="248">
        <f>IF(Select!$E$23=1,C419,IF(Select!$E$23=2,D419,IF(Select!$E$23=3,E419)))</f>
        <v>8.98</v>
      </c>
      <c r="G419" s="77">
        <f t="shared" si="27"/>
        <v>12.493900000000002</v>
      </c>
      <c r="H419" s="77">
        <f>B419</f>
        <v>12.13</v>
      </c>
    </row>
    <row r="420" spans="1:8" s="77" customFormat="1">
      <c r="B420" s="249">
        <v>0</v>
      </c>
      <c r="C420" s="248">
        <f>ROUND(B420*(1-'Disc Dep'!$E$15),2)</f>
        <v>0</v>
      </c>
      <c r="D420" s="248">
        <f>ROUND(C420*(1+'Adaos Distr'!$C$122),2)</f>
        <v>0</v>
      </c>
      <c r="E420" s="248">
        <f>ROUND(D420*(1+'Adaos RESELLER'!$C$122),2)</f>
        <v>0</v>
      </c>
      <c r="F420" s="248">
        <f>IF(Select!$E$23=1,C420,IF(Select!$E$23=2,D420,IF(Select!$E$23=3,E420)))</f>
        <v>0</v>
      </c>
      <c r="G420" s="77">
        <f t="shared" si="27"/>
        <v>0</v>
      </c>
      <c r="H420" s="77">
        <f t="shared" si="23"/>
        <v>0</v>
      </c>
    </row>
    <row r="421" spans="1:8" s="77" customFormat="1">
      <c r="A421" s="77" t="s">
        <v>2138</v>
      </c>
      <c r="B421" s="249">
        <v>8.52</v>
      </c>
      <c r="C421" s="248">
        <f>ROUND(B421*(1-'Disc Dep'!$E$15),2)</f>
        <v>6.3</v>
      </c>
      <c r="D421" s="248">
        <f>ROUND(C421*(1+'Adaos Distr'!$C$122),2)</f>
        <v>6.3</v>
      </c>
      <c r="E421" s="248">
        <f>ROUND(D421*(1+'Adaos RESELLER'!$C$122),2)</f>
        <v>6.3</v>
      </c>
      <c r="F421" s="248">
        <f>IF(Select!$E$23=1,C421,IF(Select!$E$23=2,D421,IF(Select!$E$23=3,E421)))</f>
        <v>6.3</v>
      </c>
      <c r="G421" s="77">
        <f t="shared" si="27"/>
        <v>8.775599999999999</v>
      </c>
      <c r="H421" s="77">
        <f t="shared" si="23"/>
        <v>8.7799999999999994</v>
      </c>
    </row>
    <row r="422" spans="1:8" s="77" customFormat="1">
      <c r="A422" s="77" t="s">
        <v>2139</v>
      </c>
      <c r="B422" s="249">
        <v>9.06</v>
      </c>
      <c r="C422" s="248">
        <f>ROUND(B422*(1-'Disc Dep'!$E$15),2)</f>
        <v>6.7</v>
      </c>
      <c r="D422" s="248">
        <f>ROUND(C422*(1+'Adaos Distr'!$C$122),2)</f>
        <v>6.7</v>
      </c>
      <c r="E422" s="248">
        <f>ROUND(D422*(1+'Adaos RESELLER'!$C$122),2)</f>
        <v>6.7</v>
      </c>
      <c r="F422" s="248">
        <f>IF(Select!$E$23=1,C422,IF(Select!$E$23=2,D422,IF(Select!$E$23=3,E422)))</f>
        <v>6.7</v>
      </c>
      <c r="G422" s="77">
        <f t="shared" si="27"/>
        <v>9.3318000000000012</v>
      </c>
      <c r="H422" s="77">
        <f t="shared" si="23"/>
        <v>9.33</v>
      </c>
    </row>
    <row r="423" spans="1:8" s="77" customFormat="1">
      <c r="A423" s="77" t="s">
        <v>2140</v>
      </c>
      <c r="B423" s="249">
        <v>11.04</v>
      </c>
      <c r="C423" s="248">
        <f>ROUND(B423*(1-'Disc Dep'!$E$15),2)</f>
        <v>8.17</v>
      </c>
      <c r="D423" s="248">
        <f>ROUND(C423*(1+'Adaos Distr'!$C$122),2)</f>
        <v>8.17</v>
      </c>
      <c r="E423" s="248">
        <f>ROUND(D423*(1+'Adaos RESELLER'!$C$122),2)</f>
        <v>8.17</v>
      </c>
      <c r="F423" s="248">
        <f>IF(Select!$E$23=1,C423,IF(Select!$E$23=2,D423,IF(Select!$E$23=3,E423)))</f>
        <v>8.17</v>
      </c>
      <c r="G423" s="77">
        <f t="shared" si="27"/>
        <v>11.3712</v>
      </c>
      <c r="H423" s="77">
        <f t="shared" si="23"/>
        <v>11.37</v>
      </c>
    </row>
    <row r="424" spans="1:8" s="77" customFormat="1">
      <c r="A424" s="77" t="s">
        <v>2602</v>
      </c>
      <c r="B424" s="249">
        <f>B413</f>
        <v>13.25</v>
      </c>
      <c r="C424" s="248">
        <f>ROUND(B424*(1-'Disc Dep'!$E$15),2)</f>
        <v>9.81</v>
      </c>
      <c r="D424" s="248">
        <f>ROUND(C424*(1+'Adaos Distr'!$C$122),2)</f>
        <v>9.81</v>
      </c>
      <c r="E424" s="248">
        <f>ROUND(D424*(1+'Adaos RESELLER'!$C$122),2)</f>
        <v>9.81</v>
      </c>
      <c r="F424" s="248">
        <f>IF(Select!$E$23=1,C424,IF(Select!$E$23=2,D424,IF(Select!$E$23=3,E424)))</f>
        <v>9.81</v>
      </c>
    </row>
    <row r="425" spans="1:8" s="77" customFormat="1">
      <c r="A425" s="77" t="s">
        <v>2141</v>
      </c>
      <c r="B425" s="249">
        <v>14.17</v>
      </c>
      <c r="C425" s="248">
        <f>ROUND(B425*(1-'Disc Dep'!$E$15),2)</f>
        <v>10.49</v>
      </c>
      <c r="D425" s="248">
        <f>ROUND(C425*(1+'Adaos Distr'!$C$122),2)</f>
        <v>10.49</v>
      </c>
      <c r="E425" s="248">
        <f>ROUND(D425*(1+'Adaos RESELLER'!$C$122),2)</f>
        <v>10.49</v>
      </c>
      <c r="F425" s="248">
        <f>IF(Select!$E$23=1,C425,IF(Select!$E$23=2,D425,IF(Select!$E$23=3,E425)))</f>
        <v>10.49</v>
      </c>
      <c r="G425" s="77">
        <f t="shared" si="27"/>
        <v>14.5951</v>
      </c>
      <c r="H425" s="77">
        <f t="shared" si="23"/>
        <v>14.6</v>
      </c>
    </row>
    <row r="426" spans="1:8" s="77" customFormat="1">
      <c r="A426" s="77" t="s">
        <v>2142</v>
      </c>
      <c r="B426" s="249">
        <v>9.14</v>
      </c>
      <c r="C426" s="248">
        <f>ROUND(B426*(1-'Disc Dep'!$E$15),2)</f>
        <v>6.76</v>
      </c>
      <c r="D426" s="248">
        <f>ROUND(C426*(1+'Adaos Distr'!$C$122),2)</f>
        <v>6.76</v>
      </c>
      <c r="E426" s="248">
        <f>ROUND(D426*(1+'Adaos RESELLER'!$C$122),2)</f>
        <v>6.76</v>
      </c>
      <c r="F426" s="248">
        <f>IF(Select!$E$23=1,C426,IF(Select!$E$23=2,D426,IF(Select!$E$23=3,E426)))</f>
        <v>6.76</v>
      </c>
      <c r="G426" s="77">
        <f t="shared" si="27"/>
        <v>9.414200000000001</v>
      </c>
      <c r="H426" s="77">
        <f t="shared" si="23"/>
        <v>9.41</v>
      </c>
    </row>
    <row r="427" spans="1:8" s="77" customFormat="1">
      <c r="A427" s="77" t="s">
        <v>2143</v>
      </c>
      <c r="B427" s="249">
        <v>9.41</v>
      </c>
      <c r="C427" s="248">
        <f>ROUND(B427*(1-'Disc Dep'!$E$15),2)</f>
        <v>6.96</v>
      </c>
      <c r="D427" s="248">
        <f>ROUND(C427*(1+'Adaos Distr'!$C$122),2)</f>
        <v>6.96</v>
      </c>
      <c r="E427" s="248">
        <f>ROUND(D427*(1+'Adaos RESELLER'!$C$122),2)</f>
        <v>6.96</v>
      </c>
      <c r="F427" s="248">
        <f>IF(Select!$E$23=1,C427,IF(Select!$E$23=2,D427,IF(Select!$E$23=3,E427)))</f>
        <v>6.96</v>
      </c>
      <c r="G427" s="77">
        <f t="shared" si="27"/>
        <v>9.6923000000000012</v>
      </c>
      <c r="H427" s="77">
        <f t="shared" si="23"/>
        <v>9.69</v>
      </c>
    </row>
    <row r="428" spans="1:8" s="77" customFormat="1">
      <c r="A428" s="77" t="s">
        <v>3220</v>
      </c>
      <c r="B428" s="249">
        <f>B417</f>
        <v>10.4</v>
      </c>
      <c r="C428" s="248">
        <f>ROUND(B428*(1-'Disc Dep'!$E$15),2)</f>
        <v>7.7</v>
      </c>
      <c r="D428" s="248">
        <f>ROUND(C428*(1+'Adaos Distr'!$C$122),2)</f>
        <v>7.7</v>
      </c>
      <c r="E428" s="248">
        <f>ROUND(D428*(1+'Adaos RESELLER'!$C$122),2)</f>
        <v>7.7</v>
      </c>
      <c r="F428" s="248">
        <f>IF(Select!$E$23=1,C428,IF(Select!$E$23=2,D428,IF(Select!$E$23=3,E428)))</f>
        <v>7.7</v>
      </c>
      <c r="G428" s="77">
        <f t="shared" ref="G428" si="30">B428*1.03</f>
        <v>10.712000000000002</v>
      </c>
      <c r="H428" s="77">
        <f t="shared" ref="H428" si="31">ROUND(G428,2)</f>
        <v>10.71</v>
      </c>
    </row>
    <row r="429" spans="1:8" s="77" customFormat="1">
      <c r="A429" s="77" t="s">
        <v>2144</v>
      </c>
      <c r="B429" s="249">
        <v>14.04</v>
      </c>
      <c r="C429" s="248">
        <f>ROUND(B429*(1-'Disc Dep'!$E$15),2)</f>
        <v>10.39</v>
      </c>
      <c r="D429" s="248">
        <f>ROUND(C429*(1+'Adaos Distr'!$C$122),2)</f>
        <v>10.39</v>
      </c>
      <c r="E429" s="248">
        <f>ROUND(D429*(1+'Adaos RESELLER'!$C$122),2)</f>
        <v>10.39</v>
      </c>
      <c r="F429" s="248">
        <f>IF(Select!$E$23=1,C429,IF(Select!$E$23=2,D429,IF(Select!$E$23=3,E429)))</f>
        <v>10.39</v>
      </c>
      <c r="G429" s="77">
        <f t="shared" si="27"/>
        <v>14.4612</v>
      </c>
      <c r="H429" s="77">
        <f t="shared" si="23"/>
        <v>14.46</v>
      </c>
    </row>
    <row r="430" spans="1:8" s="77" customFormat="1">
      <c r="A430" s="77" t="s">
        <v>2145</v>
      </c>
      <c r="B430" s="249">
        <v>12.13</v>
      </c>
      <c r="C430" s="248">
        <f>ROUND(B430*(1-'Disc Dep'!$E$15),2)</f>
        <v>8.98</v>
      </c>
      <c r="D430" s="248">
        <f>ROUND(C430*(1+'Adaos Distr'!$C$122),2)</f>
        <v>8.98</v>
      </c>
      <c r="E430" s="248">
        <f>ROUND(D430*(1+'Adaos RESELLER'!$C$122),2)</f>
        <v>8.98</v>
      </c>
      <c r="F430" s="248">
        <f>IF(Select!$E$23=1,C430,IF(Select!$E$23=2,D430,IF(Select!$E$23=3,E430)))</f>
        <v>8.98</v>
      </c>
      <c r="G430" s="77">
        <f t="shared" si="27"/>
        <v>12.493900000000002</v>
      </c>
      <c r="H430" s="77">
        <f>B430</f>
        <v>12.13</v>
      </c>
    </row>
    <row r="431" spans="1:8" s="77" customFormat="1">
      <c r="B431" s="249">
        <v>0</v>
      </c>
      <c r="C431" s="248">
        <f>ROUND(B431*(1-'Disc Dep'!$E$15),2)</f>
        <v>0</v>
      </c>
      <c r="D431" s="248"/>
      <c r="E431" s="248"/>
      <c r="F431" s="248"/>
      <c r="G431" s="77">
        <f t="shared" si="27"/>
        <v>0</v>
      </c>
      <c r="H431" s="77">
        <f t="shared" ref="H431:H498" si="32">ROUND(G431,2)</f>
        <v>0</v>
      </c>
    </row>
    <row r="432" spans="1:8" s="77" customFormat="1">
      <c r="B432" s="249">
        <v>0</v>
      </c>
      <c r="C432" s="248">
        <f>ROUND(B432*(1-'Disc Dep'!$E$15),2)</f>
        <v>0</v>
      </c>
      <c r="D432" s="248">
        <f>ROUND(C432*(1+'Adaos Distr'!$C$122),2)</f>
        <v>0</v>
      </c>
      <c r="E432" s="248">
        <f>ROUND(D432*(1+'Adaos RESELLER'!$C$122),2)</f>
        <v>0</v>
      </c>
      <c r="F432" s="248">
        <f>IF(Select!$E$23=1,C432,IF(Select!$E$23=2,D432,IF(Select!$E$23=3,E432)))</f>
        <v>0</v>
      </c>
      <c r="G432" s="77">
        <f t="shared" si="27"/>
        <v>0</v>
      </c>
      <c r="H432" s="77">
        <f t="shared" si="32"/>
        <v>0</v>
      </c>
    </row>
    <row r="433" spans="1:8" s="77" customFormat="1">
      <c r="A433" s="77" t="s">
        <v>2146</v>
      </c>
      <c r="B433" s="249">
        <v>8.75</v>
      </c>
      <c r="C433" s="248">
        <f>ROUND(B433*(1-'Disc Dep'!$E$15),2)</f>
        <v>6.48</v>
      </c>
      <c r="D433" s="248">
        <f>ROUND(C433*(1+'Adaos Distr'!$C$122),2)</f>
        <v>6.48</v>
      </c>
      <c r="E433" s="248">
        <f>ROUND(D433*(1+'Adaos RESELLER'!$C$122),2)</f>
        <v>6.48</v>
      </c>
      <c r="F433" s="248">
        <f>IF(Select!$E$23=1,C433,IF(Select!$E$23=2,D433,IF(Select!$E$23=3,E433)))</f>
        <v>6.48</v>
      </c>
      <c r="G433" s="77">
        <f t="shared" si="27"/>
        <v>9.0125000000000011</v>
      </c>
      <c r="H433" s="77">
        <f t="shared" si="32"/>
        <v>9.01</v>
      </c>
    </row>
    <row r="434" spans="1:8" s="77" customFormat="1">
      <c r="A434" s="77" t="s">
        <v>2147</v>
      </c>
      <c r="B434" s="249">
        <v>9.31</v>
      </c>
      <c r="C434" s="248">
        <f>ROUND(B434*(1-'Disc Dep'!$E$15),2)</f>
        <v>6.89</v>
      </c>
      <c r="D434" s="248">
        <f>ROUND(C434*(1+'Adaos Distr'!$C$122),2)</f>
        <v>6.89</v>
      </c>
      <c r="E434" s="248">
        <f>ROUND(D434*(1+'Adaos RESELLER'!$C$122),2)</f>
        <v>6.89</v>
      </c>
      <c r="F434" s="248">
        <f>IF(Select!$E$23=1,C434,IF(Select!$E$23=2,D434,IF(Select!$E$23=3,E434)))</f>
        <v>6.89</v>
      </c>
      <c r="G434" s="77">
        <f t="shared" si="27"/>
        <v>9.5893000000000015</v>
      </c>
      <c r="H434" s="77">
        <f t="shared" si="32"/>
        <v>9.59</v>
      </c>
    </row>
    <row r="435" spans="1:8" s="77" customFormat="1">
      <c r="A435" s="77" t="s">
        <v>2148</v>
      </c>
      <c r="B435" s="249">
        <v>10.81</v>
      </c>
      <c r="C435" s="248">
        <f>ROUND(B435*(1-'Disc Dep'!$E$15),2)</f>
        <v>8</v>
      </c>
      <c r="D435" s="248">
        <f>ROUND(C435*(1+'Adaos Distr'!$C$122),2)</f>
        <v>8</v>
      </c>
      <c r="E435" s="248">
        <f>ROUND(D435*(1+'Adaos RESELLER'!$C$122),2)</f>
        <v>8</v>
      </c>
      <c r="F435" s="248">
        <f>IF(Select!$E$23=1,C435,IF(Select!$E$23=2,D435,IF(Select!$E$23=3,E435)))</f>
        <v>8</v>
      </c>
      <c r="G435" s="77">
        <f t="shared" si="27"/>
        <v>11.134300000000001</v>
      </c>
      <c r="H435" s="77">
        <f t="shared" si="32"/>
        <v>11.13</v>
      </c>
    </row>
    <row r="436" spans="1:8" s="77" customFormat="1">
      <c r="A436" s="77" t="s">
        <v>2603</v>
      </c>
      <c r="B436" s="249">
        <v>12</v>
      </c>
      <c r="C436" s="248">
        <f>ROUND(B436*(1-'Disc Dep'!$E$15),2)</f>
        <v>8.8800000000000008</v>
      </c>
      <c r="D436" s="248">
        <f>ROUND(C436*(1+'Adaos Distr'!$C$122),2)</f>
        <v>8.8800000000000008</v>
      </c>
      <c r="E436" s="248">
        <f>ROUND(D436*(1+'Adaos RESELLER'!$C$122),2)</f>
        <v>8.8800000000000008</v>
      </c>
      <c r="F436" s="248">
        <f>IF(Select!$E$23=1,C436,IF(Select!$E$23=2,D436,IF(Select!$E$23=3,E436)))</f>
        <v>8.8800000000000008</v>
      </c>
      <c r="G436" s="77">
        <f t="shared" si="27"/>
        <v>12.36</v>
      </c>
      <c r="H436" s="77">
        <f t="shared" si="32"/>
        <v>12.36</v>
      </c>
    </row>
    <row r="437" spans="1:8" s="77" customFormat="1">
      <c r="A437" s="77" t="s">
        <v>2149</v>
      </c>
      <c r="B437" s="249">
        <v>12.83</v>
      </c>
      <c r="C437" s="248">
        <f>ROUND(B437*(1-'Disc Dep'!$E$15),2)</f>
        <v>9.49</v>
      </c>
      <c r="D437" s="248">
        <f>ROUND(C437*(1+'Adaos Distr'!$C$122),2)</f>
        <v>9.49</v>
      </c>
      <c r="E437" s="248">
        <f>ROUND(D437*(1+'Adaos RESELLER'!$C$122),2)</f>
        <v>9.49</v>
      </c>
      <c r="F437" s="248">
        <f>IF(Select!$E$23=1,C437,IF(Select!$E$23=2,D437,IF(Select!$E$23=3,E437)))</f>
        <v>9.49</v>
      </c>
      <c r="G437" s="77">
        <f t="shared" si="27"/>
        <v>13.2149</v>
      </c>
      <c r="H437" s="77">
        <f t="shared" si="32"/>
        <v>13.21</v>
      </c>
    </row>
    <row r="438" spans="1:8" s="77" customFormat="1">
      <c r="A438" s="77" t="s">
        <v>2150</v>
      </c>
      <c r="B438" s="249">
        <v>9.2799999999999994</v>
      </c>
      <c r="C438" s="248">
        <f>ROUND(B438*(1-'Disc Dep'!$E$15),2)</f>
        <v>6.87</v>
      </c>
      <c r="D438" s="248">
        <f>ROUND(C438*(1+'Adaos Distr'!$C$122),2)</f>
        <v>6.87</v>
      </c>
      <c r="E438" s="248">
        <f>ROUND(D438*(1+'Adaos RESELLER'!$C$122),2)</f>
        <v>6.87</v>
      </c>
      <c r="F438" s="248">
        <f>IF(Select!$E$23=1,C438,IF(Select!$E$23=2,D438,IF(Select!$E$23=3,E438)))</f>
        <v>6.87</v>
      </c>
      <c r="G438" s="77">
        <f t="shared" si="27"/>
        <v>9.5583999999999989</v>
      </c>
      <c r="H438" s="77">
        <f t="shared" si="32"/>
        <v>9.56</v>
      </c>
    </row>
    <row r="439" spans="1:8" s="77" customFormat="1">
      <c r="A439" s="77" t="s">
        <v>2151</v>
      </c>
      <c r="B439" s="249">
        <v>9.67</v>
      </c>
      <c r="C439" s="248">
        <f>ROUND(B439*(1-'Disc Dep'!$E$15),2)</f>
        <v>7.16</v>
      </c>
      <c r="D439" s="248">
        <f>ROUND(C439*(1+'Adaos Distr'!$C$122),2)</f>
        <v>7.16</v>
      </c>
      <c r="E439" s="248">
        <f>ROUND(D439*(1+'Adaos RESELLER'!$C$122),2)</f>
        <v>7.16</v>
      </c>
      <c r="F439" s="248">
        <f>IF(Select!$E$23=1,C439,IF(Select!$E$23=2,D439,IF(Select!$E$23=3,E439)))</f>
        <v>7.16</v>
      </c>
      <c r="G439" s="77">
        <f t="shared" si="27"/>
        <v>9.9601000000000006</v>
      </c>
      <c r="H439" s="77">
        <f t="shared" si="32"/>
        <v>9.9600000000000009</v>
      </c>
    </row>
    <row r="440" spans="1:8" s="77" customFormat="1">
      <c r="A440" s="77" t="s">
        <v>3222</v>
      </c>
      <c r="B440" s="249">
        <v>10.82</v>
      </c>
      <c r="C440" s="248">
        <f>ROUND(B440*(1-'Disc Dep'!$E$15),2)</f>
        <v>8.01</v>
      </c>
      <c r="D440" s="248">
        <f>ROUND(C440*(1+'Adaos Distr'!$C$122),2)</f>
        <v>8.01</v>
      </c>
      <c r="E440" s="248">
        <f>ROUND(D440*(1+'Adaos RESELLER'!$C$122),2)</f>
        <v>8.01</v>
      </c>
      <c r="F440" s="248">
        <f>IF(Select!$E$23=1,C440,IF(Select!$E$23=2,D440,IF(Select!$E$23=3,E440)))</f>
        <v>8.01</v>
      </c>
      <c r="G440" s="77">
        <f t="shared" si="27"/>
        <v>11.144600000000001</v>
      </c>
      <c r="H440" s="77">
        <f t="shared" si="32"/>
        <v>11.14</v>
      </c>
    </row>
    <row r="441" spans="1:8" s="77" customFormat="1">
      <c r="A441" s="77" t="s">
        <v>2152</v>
      </c>
      <c r="B441" s="249">
        <v>13.65</v>
      </c>
      <c r="C441" s="248">
        <f>ROUND(B441*(1-'Disc Dep'!$E$15),2)</f>
        <v>10.1</v>
      </c>
      <c r="D441" s="248">
        <f>ROUND(C441*(1+'Adaos Distr'!$C$122),2)</f>
        <v>10.1</v>
      </c>
      <c r="E441" s="248">
        <f>ROUND(D441*(1+'Adaos RESELLER'!$C$122),2)</f>
        <v>10.1</v>
      </c>
      <c r="F441" s="248">
        <f>IF(Select!$E$23=1,C441,IF(Select!$E$23=2,D441,IF(Select!$E$23=3,E441)))</f>
        <v>10.1</v>
      </c>
      <c r="G441" s="77">
        <f t="shared" si="27"/>
        <v>14.0595</v>
      </c>
      <c r="H441" s="77">
        <f t="shared" si="32"/>
        <v>14.06</v>
      </c>
    </row>
    <row r="442" spans="1:8" s="77" customFormat="1">
      <c r="A442" s="77" t="s">
        <v>2153</v>
      </c>
      <c r="B442" s="249">
        <v>12.04</v>
      </c>
      <c r="C442" s="248">
        <f>ROUND(B442*(1-'Disc Dep'!$E$15),2)</f>
        <v>8.91</v>
      </c>
      <c r="D442" s="248">
        <f>ROUND(C442*(1+'Adaos Distr'!$C$122),2)</f>
        <v>8.91</v>
      </c>
      <c r="E442" s="248">
        <f>ROUND(D442*(1+'Adaos RESELLER'!$C$122),2)</f>
        <v>8.91</v>
      </c>
      <c r="F442" s="248">
        <f>IF(Select!$E$23=1,C442,IF(Select!$E$23=2,D442,IF(Select!$E$23=3,E442)))</f>
        <v>8.91</v>
      </c>
      <c r="G442" s="77">
        <f t="shared" si="27"/>
        <v>12.401199999999999</v>
      </c>
      <c r="H442" s="77">
        <f>B442</f>
        <v>12.04</v>
      </c>
    </row>
    <row r="443" spans="1:8" s="77" customFormat="1">
      <c r="B443" s="249">
        <v>0</v>
      </c>
      <c r="C443" s="248">
        <f>ROUND(B443*(1-'Disc Dep'!$E$15),2)</f>
        <v>0</v>
      </c>
      <c r="D443" s="248">
        <f>ROUND(C443*(1+'Adaos Distr'!$C$122),2)</f>
        <v>0</v>
      </c>
      <c r="E443" s="248">
        <f>ROUND(D443*(1+'Adaos RESELLER'!$C$122),2)</f>
        <v>0</v>
      </c>
      <c r="F443" s="248">
        <f>IF(Select!$E$23=1,C443,IF(Select!$E$23=2,D443,IF(Select!$E$23=3,E443)))</f>
        <v>0</v>
      </c>
      <c r="G443" s="77">
        <f t="shared" si="27"/>
        <v>0</v>
      </c>
      <c r="H443" s="77">
        <f t="shared" si="32"/>
        <v>0</v>
      </c>
    </row>
    <row r="444" spans="1:8" s="77" customFormat="1">
      <c r="A444" s="77" t="s">
        <v>2154</v>
      </c>
      <c r="B444" s="249">
        <v>8.75</v>
      </c>
      <c r="C444" s="248">
        <f>ROUND(B444*(1-'Disc Dep'!$E$15),2)</f>
        <v>6.48</v>
      </c>
      <c r="D444" s="248">
        <f>ROUND(C444*(1+'Adaos Distr'!$C$122),2)</f>
        <v>6.48</v>
      </c>
      <c r="E444" s="248">
        <f>ROUND(D444*(1+'Adaos RESELLER'!$C$122),2)</f>
        <v>6.48</v>
      </c>
      <c r="F444" s="248">
        <f>IF(Select!$E$23=1,C444,IF(Select!$E$23=2,D444,IF(Select!$E$23=3,E444)))</f>
        <v>6.48</v>
      </c>
      <c r="G444" s="77">
        <f t="shared" si="27"/>
        <v>9.0125000000000011</v>
      </c>
      <c r="H444" s="77">
        <f t="shared" si="32"/>
        <v>9.01</v>
      </c>
    </row>
    <row r="445" spans="1:8" s="77" customFormat="1">
      <c r="A445" s="77" t="s">
        <v>2155</v>
      </c>
      <c r="B445" s="249">
        <v>9.31</v>
      </c>
      <c r="C445" s="248">
        <f>ROUND(B445*(1-'Disc Dep'!$E$15),2)</f>
        <v>6.89</v>
      </c>
      <c r="D445" s="248">
        <f>ROUND(C445*(1+'Adaos Distr'!$C$122),2)</f>
        <v>6.89</v>
      </c>
      <c r="E445" s="248">
        <f>ROUND(D445*(1+'Adaos RESELLER'!$C$122),2)</f>
        <v>6.89</v>
      </c>
      <c r="F445" s="248">
        <f>IF(Select!$E$23=1,C445,IF(Select!$E$23=2,D445,IF(Select!$E$23=3,E445)))</f>
        <v>6.89</v>
      </c>
      <c r="G445" s="77">
        <f t="shared" si="27"/>
        <v>9.5893000000000015</v>
      </c>
      <c r="H445" s="77">
        <f t="shared" si="32"/>
        <v>9.59</v>
      </c>
    </row>
    <row r="446" spans="1:8" s="77" customFormat="1">
      <c r="A446" s="77" t="s">
        <v>2156</v>
      </c>
      <c r="B446" s="249">
        <v>10.81</v>
      </c>
      <c r="C446" s="248">
        <f>ROUND(B446*(1-'Disc Dep'!$E$15),2)</f>
        <v>8</v>
      </c>
      <c r="D446" s="248">
        <f>ROUND(C446*(1+'Adaos Distr'!$C$122),2)</f>
        <v>8</v>
      </c>
      <c r="E446" s="248">
        <f>ROUND(D446*(1+'Adaos RESELLER'!$C$122),2)</f>
        <v>8</v>
      </c>
      <c r="F446" s="248">
        <f>IF(Select!$E$23=1,C446,IF(Select!$E$23=2,D446,IF(Select!$E$23=3,E446)))</f>
        <v>8</v>
      </c>
      <c r="G446" s="77">
        <f t="shared" si="27"/>
        <v>11.134300000000001</v>
      </c>
      <c r="H446" s="77">
        <f t="shared" si="32"/>
        <v>11.13</v>
      </c>
    </row>
    <row r="447" spans="1:8" s="77" customFormat="1">
      <c r="A447" s="77" t="s">
        <v>2604</v>
      </c>
      <c r="B447" s="249">
        <v>12</v>
      </c>
      <c r="C447" s="248">
        <f>ROUND(B447*(1-'Disc Dep'!$E$15),2)</f>
        <v>8.8800000000000008</v>
      </c>
      <c r="D447" s="248">
        <f>ROUND(C447*(1+'Adaos Distr'!$C$122),2)</f>
        <v>8.8800000000000008</v>
      </c>
      <c r="E447" s="248">
        <f>ROUND(D447*(1+'Adaos RESELLER'!$C$122),2)</f>
        <v>8.8800000000000008</v>
      </c>
      <c r="F447" s="248">
        <f>IF(Select!$E$23=1,C447,IF(Select!$E$23=2,D447,IF(Select!$E$23=3,E447)))</f>
        <v>8.8800000000000008</v>
      </c>
      <c r="G447" s="77">
        <f t="shared" si="27"/>
        <v>12.36</v>
      </c>
      <c r="H447" s="77">
        <f t="shared" si="32"/>
        <v>12.36</v>
      </c>
    </row>
    <row r="448" spans="1:8" s="77" customFormat="1">
      <c r="A448" s="77" t="s">
        <v>2157</v>
      </c>
      <c r="B448" s="249">
        <v>12.83</v>
      </c>
      <c r="C448" s="248">
        <f>ROUND(B448*(1-'Disc Dep'!$E$15),2)</f>
        <v>9.49</v>
      </c>
      <c r="D448" s="248">
        <f>ROUND(C448*(1+'Adaos Distr'!$C$122),2)</f>
        <v>9.49</v>
      </c>
      <c r="E448" s="248">
        <f>ROUND(D448*(1+'Adaos RESELLER'!$C$122),2)</f>
        <v>9.49</v>
      </c>
      <c r="F448" s="248">
        <f>IF(Select!$E$23=1,C448,IF(Select!$E$23=2,D448,IF(Select!$E$23=3,E448)))</f>
        <v>9.49</v>
      </c>
      <c r="G448" s="77">
        <f t="shared" si="27"/>
        <v>13.2149</v>
      </c>
      <c r="H448" s="77">
        <f t="shared" si="32"/>
        <v>13.21</v>
      </c>
    </row>
    <row r="449" spans="1:8" s="77" customFormat="1">
      <c r="A449" s="77" t="s">
        <v>2158</v>
      </c>
      <c r="B449" s="249">
        <v>9.2799999999999994</v>
      </c>
      <c r="C449" s="248">
        <f>ROUND(B449*(1-'Disc Dep'!$E$15),2)</f>
        <v>6.87</v>
      </c>
      <c r="D449" s="248">
        <f>ROUND(C449*(1+'Adaos Distr'!$C$122),2)</f>
        <v>6.87</v>
      </c>
      <c r="E449" s="248">
        <f>ROUND(D449*(1+'Adaos RESELLER'!$C$122),2)</f>
        <v>6.87</v>
      </c>
      <c r="F449" s="248">
        <f>IF(Select!$E$23=1,C449,IF(Select!$E$23=2,D449,IF(Select!$E$23=3,E449)))</f>
        <v>6.87</v>
      </c>
      <c r="G449" s="77">
        <f t="shared" si="27"/>
        <v>9.5583999999999989</v>
      </c>
      <c r="H449" s="77">
        <f t="shared" si="32"/>
        <v>9.56</v>
      </c>
    </row>
    <row r="450" spans="1:8" s="77" customFormat="1">
      <c r="A450" s="77" t="s">
        <v>2159</v>
      </c>
      <c r="B450" s="249">
        <v>9.67</v>
      </c>
      <c r="C450" s="248">
        <f>ROUND(B450*(1-'Disc Dep'!$E$15),2)</f>
        <v>7.16</v>
      </c>
      <c r="D450" s="248">
        <f>ROUND(C450*(1+'Adaos Distr'!$C$122),2)</f>
        <v>7.16</v>
      </c>
      <c r="E450" s="248">
        <f>ROUND(D450*(1+'Adaos RESELLER'!$C$122),2)</f>
        <v>7.16</v>
      </c>
      <c r="F450" s="248">
        <f>IF(Select!$E$23=1,C450,IF(Select!$E$23=2,D450,IF(Select!$E$23=3,E450)))</f>
        <v>7.16</v>
      </c>
      <c r="G450" s="77">
        <f t="shared" si="27"/>
        <v>9.9601000000000006</v>
      </c>
      <c r="H450" s="77">
        <f t="shared" si="32"/>
        <v>9.9600000000000009</v>
      </c>
    </row>
    <row r="451" spans="1:8" s="77" customFormat="1">
      <c r="A451" s="77" t="s">
        <v>3223</v>
      </c>
      <c r="B451" s="249">
        <v>10.82</v>
      </c>
      <c r="C451" s="248">
        <f>ROUND(B451*(1-'Disc Dep'!$E$15),2)</f>
        <v>8.01</v>
      </c>
      <c r="D451" s="248">
        <f>ROUND(C451*(1+'Adaos Distr'!$C$122),2)</f>
        <v>8.01</v>
      </c>
      <c r="E451" s="248">
        <f>ROUND(D451*(1+'Adaos RESELLER'!$C$122),2)</f>
        <v>8.01</v>
      </c>
      <c r="F451" s="248">
        <f>IF(Select!$E$23=1,C451,IF(Select!$E$23=2,D451,IF(Select!$E$23=3,E451)))</f>
        <v>8.01</v>
      </c>
      <c r="G451" s="77">
        <f t="shared" si="27"/>
        <v>11.144600000000001</v>
      </c>
      <c r="H451" s="77">
        <f t="shared" si="32"/>
        <v>11.14</v>
      </c>
    </row>
    <row r="452" spans="1:8" s="77" customFormat="1">
      <c r="A452" s="77" t="s">
        <v>2160</v>
      </c>
      <c r="B452" s="249">
        <v>13.65</v>
      </c>
      <c r="C452" s="248">
        <f>ROUND(B452*(1-'Disc Dep'!$E$15),2)</f>
        <v>10.1</v>
      </c>
      <c r="D452" s="248">
        <f>ROUND(C452*(1+'Adaos Distr'!$C$122),2)</f>
        <v>10.1</v>
      </c>
      <c r="E452" s="248">
        <f>ROUND(D452*(1+'Adaos RESELLER'!$C$122),2)</f>
        <v>10.1</v>
      </c>
      <c r="F452" s="248">
        <f>IF(Select!$E$23=1,C452,IF(Select!$E$23=2,D452,IF(Select!$E$23=3,E452)))</f>
        <v>10.1</v>
      </c>
      <c r="G452" s="77">
        <f t="shared" si="27"/>
        <v>14.0595</v>
      </c>
      <c r="H452" s="77">
        <f t="shared" si="32"/>
        <v>14.06</v>
      </c>
    </row>
    <row r="453" spans="1:8" s="77" customFormat="1">
      <c r="A453" s="77" t="s">
        <v>2161</v>
      </c>
      <c r="B453" s="249">
        <v>12.04</v>
      </c>
      <c r="C453" s="248">
        <f>ROUND(B453*(1-'Disc Dep'!$E$15),2)</f>
        <v>8.91</v>
      </c>
      <c r="D453" s="248">
        <f>ROUND(C453*(1+'Adaos Distr'!$C$122),2)</f>
        <v>8.91</v>
      </c>
      <c r="E453" s="248">
        <f>ROUND(D453*(1+'Adaos RESELLER'!$C$122),2)</f>
        <v>8.91</v>
      </c>
      <c r="F453" s="248">
        <f>IF(Select!$E$23=1,C453,IF(Select!$E$23=2,D453,IF(Select!$E$23=3,E453)))</f>
        <v>8.91</v>
      </c>
      <c r="G453" s="77">
        <f t="shared" si="27"/>
        <v>12.401199999999999</v>
      </c>
      <c r="H453" s="77">
        <f>B453</f>
        <v>12.04</v>
      </c>
    </row>
    <row r="454" spans="1:8" s="77" customFormat="1">
      <c r="B454" s="249">
        <v>0</v>
      </c>
      <c r="C454" s="248">
        <f>ROUND(B454*(1-'Disc Dep'!$E$15),2)</f>
        <v>0</v>
      </c>
      <c r="D454" s="248">
        <f>ROUND(C454*(1+'Adaos Distr'!$C$122),2)</f>
        <v>0</v>
      </c>
      <c r="E454" s="248">
        <f>ROUND(D454*(1+'Adaos RESELLER'!$C$122),2)</f>
        <v>0</v>
      </c>
      <c r="F454" s="248">
        <f>IF(Select!$E$23=1,C454,IF(Select!$E$23=2,D454,IF(Select!$E$23=3,E454)))</f>
        <v>0</v>
      </c>
      <c r="G454" s="77">
        <f t="shared" si="27"/>
        <v>0</v>
      </c>
      <c r="H454" s="77">
        <f t="shared" si="32"/>
        <v>0</v>
      </c>
    </row>
    <row r="455" spans="1:8" s="77" customFormat="1">
      <c r="A455" s="77" t="s">
        <v>2162</v>
      </c>
      <c r="B455" s="249">
        <v>10.46</v>
      </c>
      <c r="C455" s="248">
        <f>ROUND(B455*(1-'Disc Dep'!$E$15),2)</f>
        <v>7.74</v>
      </c>
      <c r="D455" s="248">
        <f>ROUND(C455*(1+'Adaos Distr'!$C$122),2)</f>
        <v>7.74</v>
      </c>
      <c r="E455" s="248">
        <f>ROUND(D455*(1+'Adaos RESELLER'!$C$122),2)</f>
        <v>7.74</v>
      </c>
      <c r="F455" s="248">
        <f>IF(Select!$E$23=1,C455,IF(Select!$E$23=2,D455,IF(Select!$E$23=3,E455)))</f>
        <v>7.74</v>
      </c>
      <c r="G455" s="77">
        <f t="shared" si="27"/>
        <v>10.773800000000001</v>
      </c>
      <c r="H455" s="77">
        <f t="shared" si="32"/>
        <v>10.77</v>
      </c>
    </row>
    <row r="456" spans="1:8" s="77" customFormat="1">
      <c r="A456" s="77" t="s">
        <v>2163</v>
      </c>
      <c r="B456" s="249">
        <v>11.02</v>
      </c>
      <c r="C456" s="248">
        <f>ROUND(B456*(1-'Disc Dep'!$E$15),2)</f>
        <v>8.15</v>
      </c>
      <c r="D456" s="248">
        <f>ROUND(C456*(1+'Adaos Distr'!$C$122),2)</f>
        <v>8.15</v>
      </c>
      <c r="E456" s="248">
        <f>ROUND(D456*(1+'Adaos RESELLER'!$C$122),2)</f>
        <v>8.15</v>
      </c>
      <c r="F456" s="248">
        <f>IF(Select!$E$23=1,C456,IF(Select!$E$23=2,D456,IF(Select!$E$23=3,E456)))</f>
        <v>8.15</v>
      </c>
      <c r="G456" s="77">
        <f t="shared" si="27"/>
        <v>11.3506</v>
      </c>
      <c r="H456" s="77">
        <f t="shared" si="32"/>
        <v>11.35</v>
      </c>
    </row>
    <row r="457" spans="1:8" s="77" customFormat="1">
      <c r="A457" s="77" t="s">
        <v>2164</v>
      </c>
      <c r="B457" s="249">
        <v>12.52</v>
      </c>
      <c r="C457" s="248">
        <f>ROUND(B457*(1-'Disc Dep'!$E$15),2)</f>
        <v>9.26</v>
      </c>
      <c r="D457" s="248">
        <f>ROUND(C457*(1+'Adaos Distr'!$C$122),2)</f>
        <v>9.26</v>
      </c>
      <c r="E457" s="248">
        <f>ROUND(D457*(1+'Adaos RESELLER'!$C$122),2)</f>
        <v>9.26</v>
      </c>
      <c r="F457" s="248">
        <f>IF(Select!$E$23=1,C457,IF(Select!$E$23=2,D457,IF(Select!$E$23=3,E457)))</f>
        <v>9.26</v>
      </c>
      <c r="G457" s="77">
        <f t="shared" si="27"/>
        <v>12.8956</v>
      </c>
      <c r="H457" s="77">
        <f t="shared" si="32"/>
        <v>12.9</v>
      </c>
    </row>
    <row r="458" spans="1:8" s="77" customFormat="1">
      <c r="A458" s="77" t="s">
        <v>2605</v>
      </c>
      <c r="B458" s="249">
        <v>13.62</v>
      </c>
      <c r="C458" s="248">
        <f>ROUND(B458*(1-'Disc Dep'!$E$15),2)</f>
        <v>10.08</v>
      </c>
      <c r="D458" s="248">
        <f>ROUND(C458*(1+'Adaos Distr'!$C$122),2)</f>
        <v>10.08</v>
      </c>
      <c r="E458" s="248">
        <f>ROUND(D458*(1+'Adaos RESELLER'!$C$122),2)</f>
        <v>10.08</v>
      </c>
      <c r="F458" s="248">
        <f>IF(Select!$E$23=1,C458,IF(Select!$E$23=2,D458,IF(Select!$E$23=3,E458)))</f>
        <v>10.08</v>
      </c>
      <c r="G458" s="77">
        <f t="shared" si="27"/>
        <v>14.028599999999999</v>
      </c>
      <c r="H458" s="77">
        <f t="shared" si="32"/>
        <v>14.03</v>
      </c>
    </row>
    <row r="459" spans="1:8" s="77" customFormat="1">
      <c r="A459" s="77" t="s">
        <v>2165</v>
      </c>
      <c r="B459" s="249">
        <v>14.54</v>
      </c>
      <c r="C459" s="248">
        <f>ROUND(B459*(1-'Disc Dep'!$E$15),2)</f>
        <v>10.76</v>
      </c>
      <c r="D459" s="248">
        <f>ROUND(C459*(1+'Adaos Distr'!$C$122),2)</f>
        <v>10.76</v>
      </c>
      <c r="E459" s="248">
        <f>ROUND(D459*(1+'Adaos RESELLER'!$C$122),2)</f>
        <v>10.76</v>
      </c>
      <c r="F459" s="248">
        <f>IF(Select!$E$23=1,C459,IF(Select!$E$23=2,D459,IF(Select!$E$23=3,E459)))</f>
        <v>10.76</v>
      </c>
      <c r="G459" s="77">
        <f t="shared" si="27"/>
        <v>14.976199999999999</v>
      </c>
      <c r="H459" s="77">
        <f t="shared" si="32"/>
        <v>14.98</v>
      </c>
    </row>
    <row r="460" spans="1:8" s="77" customFormat="1">
      <c r="A460" s="77" t="s">
        <v>2166</v>
      </c>
      <c r="B460" s="249">
        <v>10.99</v>
      </c>
      <c r="C460" s="248">
        <f>ROUND(B460*(1-'Disc Dep'!$E$15),2)</f>
        <v>8.1300000000000008</v>
      </c>
      <c r="D460" s="248">
        <f>ROUND(C460*(1+'Adaos Distr'!$C$122),2)</f>
        <v>8.1300000000000008</v>
      </c>
      <c r="E460" s="248">
        <f>ROUND(D460*(1+'Adaos RESELLER'!$C$122),2)</f>
        <v>8.1300000000000008</v>
      </c>
      <c r="F460" s="248">
        <f>IF(Select!$E$23=1,C460,IF(Select!$E$23=2,D460,IF(Select!$E$23=3,E460)))</f>
        <v>8.1300000000000008</v>
      </c>
      <c r="G460" s="77">
        <f t="shared" si="27"/>
        <v>11.319700000000001</v>
      </c>
      <c r="H460" s="77">
        <f t="shared" si="32"/>
        <v>11.32</v>
      </c>
    </row>
    <row r="461" spans="1:8" s="77" customFormat="1">
      <c r="A461" s="77" t="s">
        <v>2167</v>
      </c>
      <c r="B461" s="249">
        <v>11.38</v>
      </c>
      <c r="C461" s="248">
        <f>ROUND(B461*(1-'Disc Dep'!$E$15),2)</f>
        <v>8.42</v>
      </c>
      <c r="D461" s="248">
        <f>ROUND(C461*(1+'Adaos Distr'!$C$122),2)</f>
        <v>8.42</v>
      </c>
      <c r="E461" s="248">
        <f>ROUND(D461*(1+'Adaos RESELLER'!$C$122),2)</f>
        <v>8.42</v>
      </c>
      <c r="F461" s="248">
        <f>IF(Select!$E$23=1,C461,IF(Select!$E$23=2,D461,IF(Select!$E$23=3,E461)))</f>
        <v>8.42</v>
      </c>
      <c r="G461" s="77">
        <f t="shared" si="27"/>
        <v>11.721400000000001</v>
      </c>
      <c r="H461" s="77">
        <f t="shared" si="32"/>
        <v>11.72</v>
      </c>
    </row>
    <row r="462" spans="1:8" s="77" customFormat="1">
      <c r="A462" s="77" t="s">
        <v>2168</v>
      </c>
      <c r="B462" s="249">
        <v>15.36</v>
      </c>
      <c r="C462" s="248">
        <f>ROUND(B462*(1-'Disc Dep'!$E$15),2)</f>
        <v>11.37</v>
      </c>
      <c r="D462" s="248">
        <f>ROUND(C462*(1+'Adaos Distr'!$C$122),2)</f>
        <v>11.37</v>
      </c>
      <c r="E462" s="248">
        <f>ROUND(D462*(1+'Adaos RESELLER'!$C$122),2)</f>
        <v>11.37</v>
      </c>
      <c r="F462" s="248">
        <f>IF(Select!$E$23=1,C462,IF(Select!$E$23=2,D462,IF(Select!$E$23=3,E462)))</f>
        <v>11.37</v>
      </c>
      <c r="G462" s="77">
        <f t="shared" ref="G462:G466" si="33">B462*1.03</f>
        <v>15.8208</v>
      </c>
      <c r="H462" s="77">
        <f t="shared" si="32"/>
        <v>15.82</v>
      </c>
    </row>
    <row r="463" spans="1:8" s="77" customFormat="1">
      <c r="A463" s="77" t="s">
        <v>2169</v>
      </c>
      <c r="B463" s="249">
        <v>13.7</v>
      </c>
      <c r="C463" s="248">
        <f>ROUND(B463*(1-'Disc Dep'!$E$15),2)</f>
        <v>10.14</v>
      </c>
      <c r="D463" s="248">
        <f>ROUND(C463*(1+'Adaos Distr'!$C$122),2)</f>
        <v>10.14</v>
      </c>
      <c r="E463" s="248">
        <f>ROUND(D463*(1+'Adaos RESELLER'!$C$122),2)</f>
        <v>10.14</v>
      </c>
      <c r="F463" s="248">
        <f>IF(Select!$E$23=1,C463,IF(Select!$E$23=2,D463,IF(Select!$E$23=3,E463)))</f>
        <v>10.14</v>
      </c>
      <c r="G463" s="77">
        <f t="shared" si="33"/>
        <v>14.110999999999999</v>
      </c>
      <c r="H463" s="77">
        <f>B463</f>
        <v>13.7</v>
      </c>
    </row>
    <row r="464" spans="1:8" s="77" customFormat="1">
      <c r="B464" s="249">
        <v>0</v>
      </c>
      <c r="C464" s="248">
        <f>ROUND(B464*(1-'Disc Dep'!$C$122),2)</f>
        <v>0</v>
      </c>
      <c r="D464" s="248">
        <f>ROUND(C464*(1+'Adaos Distr'!$C$122),2)</f>
        <v>0</v>
      </c>
      <c r="E464" s="248">
        <f>ROUND(D464*(1+'Adaos RESELLER'!$C$122),2)</f>
        <v>0</v>
      </c>
      <c r="F464" s="248">
        <f>IF(Select!$E$23=1,C464,IF(Select!$E$23=2,D464,IF(Select!$E$23=3,E464)))</f>
        <v>0</v>
      </c>
      <c r="G464" s="77">
        <f t="shared" si="33"/>
        <v>0</v>
      </c>
      <c r="H464" s="77">
        <f t="shared" si="32"/>
        <v>0</v>
      </c>
    </row>
    <row r="465" spans="1:8" s="77" customFormat="1">
      <c r="A465" s="147" t="s">
        <v>2198</v>
      </c>
      <c r="B465" s="249">
        <v>44.19</v>
      </c>
      <c r="C465" s="248">
        <f>ROUND(B465*(1-'Disc Dep'!$C$113),2)</f>
        <v>35.35</v>
      </c>
      <c r="D465" s="248">
        <f>ROUND(C465*(1+'Adaos Distr'!$C$113),2)</f>
        <v>35.35</v>
      </c>
      <c r="E465" s="248">
        <f>ROUND(D465*(1+'Adaos RESELLER'!$C$113),2)</f>
        <v>35.35</v>
      </c>
      <c r="F465" s="248">
        <f>IF(Select!$E$23=1,C465,IF(Select!$E$23=2,D465,IF(Select!$E$23=3,E465)))</f>
        <v>35.35</v>
      </c>
      <c r="G465" s="77">
        <f t="shared" si="33"/>
        <v>45.515699999999995</v>
      </c>
      <c r="H465" s="77">
        <f t="shared" si="32"/>
        <v>45.52</v>
      </c>
    </row>
    <row r="466" spans="1:8" s="77" customFormat="1">
      <c r="A466" s="147" t="s">
        <v>2199</v>
      </c>
      <c r="B466" s="249">
        <v>42.57</v>
      </c>
      <c r="C466" s="248">
        <f>ROUND(B466*(1-'Disc Dep'!$C$113),2)</f>
        <v>34.06</v>
      </c>
      <c r="D466" s="248">
        <f>ROUND(C466*(1+'Adaos Distr'!$C$113),2)</f>
        <v>34.06</v>
      </c>
      <c r="E466" s="248">
        <f>ROUND(D466*(1+'Adaos RESELLER'!$C$113),2)</f>
        <v>34.06</v>
      </c>
      <c r="F466" s="248">
        <f>IF(Select!$E$23=1,C466,IF(Select!$E$23=2,D466,IF(Select!$E$23=3,E466)))</f>
        <v>34.06</v>
      </c>
      <c r="G466" s="77">
        <f t="shared" si="33"/>
        <v>43.847100000000005</v>
      </c>
      <c r="H466" s="77">
        <f t="shared" si="32"/>
        <v>43.85</v>
      </c>
    </row>
    <row r="467" spans="1:8" s="77" customFormat="1">
      <c r="B467" s="249"/>
      <c r="C467" s="248"/>
      <c r="D467" s="248"/>
      <c r="E467" s="248"/>
      <c r="F467" s="248"/>
      <c r="G467" s="77">
        <f t="shared" ref="G467:G486" si="34">B467*1.03</f>
        <v>0</v>
      </c>
      <c r="H467" s="77">
        <f t="shared" si="32"/>
        <v>0</v>
      </c>
    </row>
    <row r="468" spans="1:8" s="77" customFormat="1">
      <c r="B468" s="249"/>
      <c r="C468" s="248"/>
      <c r="D468" s="248"/>
      <c r="E468" s="248"/>
      <c r="F468" s="248"/>
      <c r="G468" s="77">
        <f t="shared" si="34"/>
        <v>0</v>
      </c>
      <c r="H468" s="77">
        <f t="shared" si="32"/>
        <v>0</v>
      </c>
    </row>
    <row r="469" spans="1:8">
      <c r="C469" s="248">
        <f>ROUND(B469*(1-'Disc Dep'!$C$122),2)</f>
        <v>0</v>
      </c>
      <c r="D469" s="248">
        <f>ROUND(C469*(1+'Adaos Distr'!$C$122),2)</f>
        <v>0</v>
      </c>
      <c r="E469" s="248">
        <f>ROUND(D469*(1+'Adaos RESELLER'!$C$122),2)</f>
        <v>0</v>
      </c>
      <c r="F469" s="248">
        <f>IF(Select!$E$23=1,C469,IF(Select!$E$23=2,D469,IF(Select!$E$23=3,E469)))</f>
        <v>0</v>
      </c>
      <c r="G469" s="77">
        <f t="shared" si="34"/>
        <v>0</v>
      </c>
      <c r="H469" s="77">
        <f t="shared" si="32"/>
        <v>0</v>
      </c>
    </row>
    <row r="470" spans="1:8">
      <c r="A470" t="s">
        <v>2009</v>
      </c>
      <c r="B470" s="249">
        <v>7.26</v>
      </c>
      <c r="C470" s="248">
        <f>ROUND(B470*(1-'Disc Dep'!$C$123),2)</f>
        <v>5.37</v>
      </c>
      <c r="D470" s="248">
        <f>ROUND(C470*(1+'Adaos Distr'!$C$123),2)</f>
        <v>5.37</v>
      </c>
      <c r="E470" s="248">
        <f>ROUND(D470*(1+'Adaos RESELLER'!$C$123),2)</f>
        <v>5.37</v>
      </c>
      <c r="F470" s="248">
        <f>IF(Select!$E$23=1,C470,IF(Select!$E$23=2,D470,IF(Select!$E$23=3,E470)))</f>
        <v>5.37</v>
      </c>
      <c r="G470" s="77">
        <f t="shared" si="34"/>
        <v>7.4778000000000002</v>
      </c>
      <c r="H470" s="77">
        <f t="shared" si="32"/>
        <v>7.48</v>
      </c>
    </row>
    <row r="471" spans="1:8">
      <c r="A471" t="s">
        <v>2010</v>
      </c>
      <c r="B471" s="249">
        <v>8.4</v>
      </c>
      <c r="C471" s="248">
        <f>ROUND(B471*(1-'Disc Dep'!$C$123),2)</f>
        <v>6.22</v>
      </c>
      <c r="D471" s="248">
        <f>ROUND(C471*(1+'Adaos Distr'!$C$123),2)</f>
        <v>6.22</v>
      </c>
      <c r="E471" s="248">
        <f>ROUND(D471*(1+'Adaos RESELLER'!$C$123),2)</f>
        <v>6.22</v>
      </c>
      <c r="F471" s="248">
        <f>IF(Select!$E$23=1,C471,IF(Select!$E$23=2,D471,IF(Select!$E$23=3,E471)))</f>
        <v>6.22</v>
      </c>
      <c r="G471" s="77">
        <f t="shared" si="34"/>
        <v>8.652000000000001</v>
      </c>
      <c r="H471" s="77">
        <f t="shared" si="32"/>
        <v>8.65</v>
      </c>
    </row>
    <row r="472" spans="1:8">
      <c r="A472" t="s">
        <v>2011</v>
      </c>
      <c r="B472" s="249">
        <v>9.0299999999999994</v>
      </c>
      <c r="C472" s="248">
        <f>ROUND(B472*(1-'Disc Dep'!$C$123),2)</f>
        <v>6.68</v>
      </c>
      <c r="D472" s="248">
        <f>ROUND(C472*(1+'Adaos Distr'!$C$123),2)</f>
        <v>6.68</v>
      </c>
      <c r="E472" s="248">
        <f>ROUND(D472*(1+'Adaos RESELLER'!$C$123),2)</f>
        <v>6.68</v>
      </c>
      <c r="F472" s="248">
        <f>IF(Select!$E$23=1,C472,IF(Select!$E$23=2,D472,IF(Select!$E$23=3,E472)))</f>
        <v>6.68</v>
      </c>
      <c r="G472" s="77">
        <f t="shared" si="34"/>
        <v>9.3009000000000004</v>
      </c>
      <c r="H472" s="77">
        <f t="shared" si="32"/>
        <v>9.3000000000000007</v>
      </c>
    </row>
    <row r="473" spans="1:8" s="77" customFormat="1">
      <c r="A473" s="77" t="s">
        <v>2069</v>
      </c>
      <c r="B473" s="249">
        <v>13.97</v>
      </c>
      <c r="C473" s="248">
        <f>ROUND(B473*(1-'Disc Dep'!$C$123),2)</f>
        <v>10.34</v>
      </c>
      <c r="D473" s="248">
        <f>ROUND(C473*(1+'Adaos Distr'!$C$123),2)</f>
        <v>10.34</v>
      </c>
      <c r="E473" s="248">
        <f>ROUND(D473*(1+'Adaos RESELLER'!$C$123),2)</f>
        <v>10.34</v>
      </c>
      <c r="F473" s="248">
        <f>IF(Select!$E$23=1,C473,IF(Select!$E$23=2,D473,IF(Select!$E$23=3,E473)))</f>
        <v>10.34</v>
      </c>
      <c r="G473" s="77">
        <f t="shared" si="34"/>
        <v>14.389100000000001</v>
      </c>
      <c r="H473" s="77">
        <f t="shared" si="32"/>
        <v>14.39</v>
      </c>
    </row>
    <row r="474" spans="1:8">
      <c r="A474" t="s">
        <v>2012</v>
      </c>
      <c r="B474" s="249">
        <v>16.3</v>
      </c>
      <c r="C474" s="248">
        <f>ROUND(B474*(1-'Disc Dep'!$C$123),2)</f>
        <v>12.06</v>
      </c>
      <c r="D474" s="248">
        <f>ROUND(C474*(1+'Adaos Distr'!$C$123),2)</f>
        <v>12.06</v>
      </c>
      <c r="E474" s="248">
        <f>ROUND(D474*(1+'Adaos RESELLER'!$C$123),2)</f>
        <v>12.06</v>
      </c>
      <c r="F474" s="248">
        <f>IF(Select!$E$23=1,C474,IF(Select!$E$23=2,D474,IF(Select!$E$23=3,E474)))</f>
        <v>12.06</v>
      </c>
      <c r="G474" s="77">
        <f t="shared" si="34"/>
        <v>16.789000000000001</v>
      </c>
      <c r="H474" s="77">
        <f t="shared" si="32"/>
        <v>16.79</v>
      </c>
    </row>
    <row r="475" spans="1:8">
      <c r="A475" t="s">
        <v>2013</v>
      </c>
      <c r="B475" s="249">
        <v>17.46</v>
      </c>
      <c r="C475" s="248">
        <f>ROUND(B475*(1-'Disc Dep'!$C$123),2)</f>
        <v>12.92</v>
      </c>
      <c r="D475" s="248">
        <f>ROUND(C475*(1+'Adaos Distr'!$C$123),2)</f>
        <v>12.92</v>
      </c>
      <c r="E475" s="248">
        <f>ROUND(D475*(1+'Adaos RESELLER'!$C$123),2)</f>
        <v>12.92</v>
      </c>
      <c r="F475" s="248">
        <f>IF(Select!$E$23=1,C475,IF(Select!$E$23=2,D475,IF(Select!$E$23=3,E475)))</f>
        <v>12.92</v>
      </c>
      <c r="G475" s="77">
        <f t="shared" si="34"/>
        <v>17.983800000000002</v>
      </c>
      <c r="H475" s="77">
        <f t="shared" si="32"/>
        <v>17.98</v>
      </c>
    </row>
    <row r="476" spans="1:8">
      <c r="A476" t="s">
        <v>2014</v>
      </c>
      <c r="B476" s="249">
        <v>7.91</v>
      </c>
      <c r="C476" s="248">
        <f>ROUND(B476*(1-'Disc Dep'!$C$123),2)</f>
        <v>5.85</v>
      </c>
      <c r="D476" s="248">
        <f>ROUND(C476*(1+'Adaos Distr'!$C$123),2)</f>
        <v>5.85</v>
      </c>
      <c r="E476" s="248">
        <f>ROUND(D476*(1+'Adaos RESELLER'!$C$123),2)</f>
        <v>5.85</v>
      </c>
      <c r="F476" s="248">
        <f>IF(Select!$E$23=1,C476,IF(Select!$E$23=2,D476,IF(Select!$E$23=3,E476)))</f>
        <v>5.85</v>
      </c>
      <c r="G476" s="77">
        <f t="shared" si="34"/>
        <v>8.1472999999999995</v>
      </c>
      <c r="H476" s="77">
        <f t="shared" si="32"/>
        <v>8.15</v>
      </c>
    </row>
    <row r="477" spans="1:8">
      <c r="A477" t="s">
        <v>2015</v>
      </c>
      <c r="B477" s="249">
        <v>9.0299999999999994</v>
      </c>
      <c r="C477" s="248">
        <f>ROUND(B477*(1-'Disc Dep'!$C$123),2)</f>
        <v>6.68</v>
      </c>
      <c r="D477" s="248">
        <f>ROUND(C477*(1+'Adaos Distr'!$C$123),2)</f>
        <v>6.68</v>
      </c>
      <c r="E477" s="248">
        <f>ROUND(D477*(1+'Adaos RESELLER'!$C$123),2)</f>
        <v>6.68</v>
      </c>
      <c r="F477" s="248">
        <f>IF(Select!$E$23=1,C477,IF(Select!$E$23=2,D477,IF(Select!$E$23=3,E477)))</f>
        <v>6.68</v>
      </c>
      <c r="G477" s="77">
        <f t="shared" si="34"/>
        <v>9.3009000000000004</v>
      </c>
      <c r="H477" s="77">
        <f t="shared" si="32"/>
        <v>9.3000000000000007</v>
      </c>
    </row>
    <row r="478" spans="1:8">
      <c r="A478" t="s">
        <v>2016</v>
      </c>
      <c r="B478" s="249">
        <v>9.41</v>
      </c>
      <c r="C478" s="248">
        <f>ROUND(B478*(1-'Disc Dep'!$C$123),2)</f>
        <v>6.96</v>
      </c>
      <c r="D478" s="248">
        <f>ROUND(C478*(1+'Adaos Distr'!$C$123),2)</f>
        <v>6.96</v>
      </c>
      <c r="E478" s="248">
        <f>ROUND(D478*(1+'Adaos RESELLER'!$C$123),2)</f>
        <v>6.96</v>
      </c>
      <c r="F478" s="248">
        <f>IF(Select!$E$23=1,C478,IF(Select!$E$23=2,D478,IF(Select!$E$23=3,E478)))</f>
        <v>6.96</v>
      </c>
      <c r="G478" s="77">
        <f t="shared" si="34"/>
        <v>9.6923000000000012</v>
      </c>
      <c r="H478" s="77">
        <f t="shared" si="32"/>
        <v>9.69</v>
      </c>
    </row>
    <row r="479" spans="1:8">
      <c r="A479" t="s">
        <v>2017</v>
      </c>
      <c r="B479" s="249">
        <v>13.4</v>
      </c>
      <c r="C479" s="248">
        <f>ROUND(B479*(1-'Disc Dep'!$C$123),2)</f>
        <v>9.92</v>
      </c>
      <c r="D479" s="248">
        <f>ROUND(C479*(1+'Adaos Distr'!$C$123),2)</f>
        <v>9.92</v>
      </c>
      <c r="E479" s="248">
        <f>ROUND(D479*(1+'Adaos RESELLER'!$C$123),2)</f>
        <v>9.92</v>
      </c>
      <c r="F479" s="248">
        <f>IF(Select!$E$23=1,C479,IF(Select!$E$23=2,D479,IF(Select!$E$23=3,E479)))</f>
        <v>9.92</v>
      </c>
      <c r="G479" s="77">
        <f t="shared" si="34"/>
        <v>13.802000000000001</v>
      </c>
      <c r="H479" s="77">
        <f t="shared" si="32"/>
        <v>13.8</v>
      </c>
    </row>
    <row r="480" spans="1:8">
      <c r="A480" t="s">
        <v>2018</v>
      </c>
      <c r="B480" s="249">
        <v>11.84</v>
      </c>
      <c r="C480" s="248">
        <f>ROUND(B480*(1-'Disc Dep'!$C$123),2)</f>
        <v>8.76</v>
      </c>
      <c r="D480" s="248">
        <f>ROUND(C480*(1+'Adaos Distr'!$C$123),2)</f>
        <v>8.76</v>
      </c>
      <c r="E480" s="248">
        <f>ROUND(D480*(1+'Adaos RESELLER'!$C$123),2)</f>
        <v>8.76</v>
      </c>
      <c r="F480" s="248">
        <f>IF(Select!$E$23=1,C480,IF(Select!$E$23=2,D480,IF(Select!$E$23=3,E480)))</f>
        <v>8.76</v>
      </c>
      <c r="G480" s="77">
        <f t="shared" si="34"/>
        <v>12.1952</v>
      </c>
      <c r="H480" s="77">
        <f>B480</f>
        <v>11.84</v>
      </c>
    </row>
    <row r="481" spans="1:8">
      <c r="A481" t="s">
        <v>2019</v>
      </c>
      <c r="B481" s="249">
        <v>15.45</v>
      </c>
      <c r="C481" s="248">
        <f>ROUND(B481*(1-'Disc Dep'!$C$123),2)</f>
        <v>11.43</v>
      </c>
      <c r="D481" s="248">
        <f>ROUND(C481*(1+'Adaos Distr'!$C$123),2)</f>
        <v>11.43</v>
      </c>
      <c r="E481" s="248">
        <f>ROUND(D481*(1+'Adaos RESELLER'!$C$123),2)</f>
        <v>11.43</v>
      </c>
      <c r="F481" s="248">
        <f>IF(Select!$E$23=1,C481,IF(Select!$E$23=2,D481,IF(Select!$E$23=3,E481)))</f>
        <v>11.43</v>
      </c>
      <c r="G481" s="77">
        <f t="shared" si="34"/>
        <v>15.913499999999999</v>
      </c>
      <c r="H481" s="77">
        <f t="shared" si="32"/>
        <v>15.91</v>
      </c>
    </row>
    <row r="482" spans="1:8">
      <c r="A482" t="s">
        <v>2020</v>
      </c>
      <c r="B482" s="249">
        <v>5.86</v>
      </c>
      <c r="C482" s="248">
        <f>ROUND(B482*(1-'Disc Dep'!$C$123),2)</f>
        <v>4.34</v>
      </c>
      <c r="D482" s="248">
        <f>ROUND(C482*(1+'Adaos Distr'!$C$123),2)</f>
        <v>4.34</v>
      </c>
      <c r="E482" s="248">
        <f>ROUND(D482*(1+'Adaos RESELLER'!$C$123),2)</f>
        <v>4.34</v>
      </c>
      <c r="F482" s="248">
        <f>IF(Select!$E$23=1,C482,IF(Select!$E$23=2,D482,IF(Select!$E$23=3,E482)))</f>
        <v>4.34</v>
      </c>
      <c r="G482" s="77">
        <f t="shared" si="34"/>
        <v>6.0358000000000001</v>
      </c>
      <c r="H482" s="77">
        <f t="shared" si="32"/>
        <v>6.04</v>
      </c>
    </row>
    <row r="483" spans="1:8">
      <c r="A483" t="s">
        <v>2021</v>
      </c>
      <c r="B483" s="249">
        <v>6.59</v>
      </c>
      <c r="C483" s="248">
        <f>ROUND(B483*(1-'Disc Dep'!$C$123),2)</f>
        <v>4.88</v>
      </c>
      <c r="D483" s="248">
        <f>ROUND(C483*(1+'Adaos Distr'!$C$123),2)</f>
        <v>4.88</v>
      </c>
      <c r="E483" s="248">
        <f>ROUND(D483*(1+'Adaos RESELLER'!$C$123),2)</f>
        <v>4.88</v>
      </c>
      <c r="F483" s="248">
        <f>IF(Select!$E$23=1,C483,IF(Select!$E$23=2,D483,IF(Select!$E$23=3,E483)))</f>
        <v>4.88</v>
      </c>
      <c r="G483" s="77">
        <f t="shared" si="34"/>
        <v>6.7877000000000001</v>
      </c>
      <c r="H483" s="77">
        <f t="shared" si="32"/>
        <v>6.79</v>
      </c>
    </row>
    <row r="484" spans="1:8" s="77" customFormat="1">
      <c r="A484" s="77" t="s">
        <v>2576</v>
      </c>
      <c r="B484" s="249">
        <v>8.92</v>
      </c>
      <c r="C484" s="248">
        <f>ROUND(B484*(1-'Disc Dep'!$C$123),2)</f>
        <v>6.6</v>
      </c>
      <c r="D484" s="248">
        <f>ROUND(C484*(1+'Adaos Distr'!$C$123),2)</f>
        <v>6.6</v>
      </c>
      <c r="E484" s="248">
        <f>ROUND(D484*(1+'Adaos RESELLER'!$C$123),2)</f>
        <v>6.6</v>
      </c>
      <c r="F484" s="248">
        <f>IF(Select!$E$23=1,C484,IF(Select!$E$23=2,D484,IF(Select!$E$23=3,E484)))</f>
        <v>6.6</v>
      </c>
      <c r="G484" s="77">
        <f t="shared" si="34"/>
        <v>9.1875999999999998</v>
      </c>
      <c r="H484" s="77">
        <f t="shared" si="32"/>
        <v>9.19</v>
      </c>
    </row>
    <row r="485" spans="1:8">
      <c r="A485" s="77" t="s">
        <v>2593</v>
      </c>
      <c r="B485" s="249">
        <v>10.199999999999999</v>
      </c>
      <c r="C485" s="248">
        <f>ROUND(B485*(1-'Disc Dep'!$C$123),2)</f>
        <v>7.55</v>
      </c>
      <c r="D485" s="248">
        <f>ROUND(C485*(1+'Adaos Distr'!$C$123),2)</f>
        <v>7.55</v>
      </c>
      <c r="E485" s="248">
        <f>ROUND(D485*(1+'Adaos RESELLER'!$C$123),2)</f>
        <v>7.55</v>
      </c>
      <c r="F485" s="248">
        <f>IF(Select!$E$23=1,C485,IF(Select!$E$23=2,D485,IF(Select!$E$23=3,E485)))</f>
        <v>7.55</v>
      </c>
      <c r="G485" s="77">
        <f t="shared" si="34"/>
        <v>10.506</v>
      </c>
      <c r="H485" s="77">
        <f t="shared" si="32"/>
        <v>10.51</v>
      </c>
    </row>
    <row r="486" spans="1:8">
      <c r="A486" t="s">
        <v>2022</v>
      </c>
      <c r="B486" s="249">
        <v>14.61</v>
      </c>
      <c r="C486" s="248">
        <f>ROUND(B486*(1-'Disc Dep'!$C$123),2)</f>
        <v>10.81</v>
      </c>
      <c r="D486" s="248">
        <f>ROUND(C486*(1+'Adaos Distr'!$C$123),2)</f>
        <v>10.81</v>
      </c>
      <c r="E486" s="248">
        <f>ROUND(D486*(1+'Adaos RESELLER'!$C$123),2)</f>
        <v>10.81</v>
      </c>
      <c r="F486" s="248">
        <f>IF(Select!$E$23=1,C486,IF(Select!$E$23=2,D486,IF(Select!$E$23=3,E486)))</f>
        <v>10.81</v>
      </c>
      <c r="G486" s="77">
        <f t="shared" si="34"/>
        <v>15.048299999999999</v>
      </c>
      <c r="H486" s="77">
        <f t="shared" si="32"/>
        <v>15.05</v>
      </c>
    </row>
    <row r="487" spans="1:8">
      <c r="C487" s="248">
        <f>ROUND(B487*(1-'Disc Dep'!$C$123),2)</f>
        <v>0</v>
      </c>
      <c r="D487" s="248">
        <f>ROUND(C487*(1+'Adaos Distr'!$C$123),2)</f>
        <v>0</v>
      </c>
      <c r="E487" s="248">
        <f>ROUND(D487*(1+'Adaos RESELLER'!$C$123),2)</f>
        <v>0</v>
      </c>
      <c r="F487" s="248">
        <f>IF(Select!$E$23=1,C487,IF(Select!$E$23=2,D487,IF(Select!$E$23=3,E487)))</f>
        <v>0</v>
      </c>
      <c r="G487" s="77">
        <f t="shared" ref="G487:G516" si="35">B487*1.03</f>
        <v>0</v>
      </c>
      <c r="H487" s="77">
        <f t="shared" si="32"/>
        <v>0</v>
      </c>
    </row>
    <row r="488" spans="1:8">
      <c r="A488" t="s">
        <v>2170</v>
      </c>
      <c r="B488" s="249">
        <v>4.96</v>
      </c>
      <c r="C488" s="248">
        <f>ROUND(B488*(1-'Disc Dep'!$C$111),2)</f>
        <v>3.67</v>
      </c>
      <c r="D488" s="248">
        <f>ROUND(C488*(1+'Adaos Distr'!$C$111),2)</f>
        <v>3.67</v>
      </c>
      <c r="E488" s="248">
        <f>ROUND(D488*(1+'Adaos RESELLER'!$C$111),2)</f>
        <v>3.67</v>
      </c>
      <c r="F488" s="248">
        <f>IF(Select!$E$23=1,C488,IF(Select!$E$23=2,D488,IF(Select!$E$23=3,E488)))</f>
        <v>3.67</v>
      </c>
      <c r="G488" s="77">
        <f t="shared" si="35"/>
        <v>5.1088000000000005</v>
      </c>
      <c r="H488" s="77">
        <f t="shared" si="32"/>
        <v>5.1100000000000003</v>
      </c>
    </row>
    <row r="489" spans="1:8">
      <c r="A489" t="s">
        <v>2171</v>
      </c>
      <c r="B489" s="249">
        <v>6.61</v>
      </c>
      <c r="C489" s="248">
        <f>ROUND(B489*(1-'Disc Dep'!$C$111),2)</f>
        <v>4.8899999999999997</v>
      </c>
      <c r="D489" s="248">
        <f>ROUND(C489*(1+'Adaos Distr'!$C$111),2)</f>
        <v>4.8899999999999997</v>
      </c>
      <c r="E489" s="248">
        <f>ROUND(D489*(1+'Adaos RESELLER'!$C$111),2)</f>
        <v>4.8899999999999997</v>
      </c>
      <c r="F489" s="248">
        <f>IF(Select!$E$23=1,C489,IF(Select!$E$23=2,D489,IF(Select!$E$23=3,E489)))</f>
        <v>4.8899999999999997</v>
      </c>
      <c r="G489" s="77">
        <f t="shared" si="35"/>
        <v>6.8083000000000009</v>
      </c>
      <c r="H489" s="77">
        <f t="shared" si="32"/>
        <v>6.81</v>
      </c>
    </row>
    <row r="490" spans="1:8">
      <c r="A490" t="s">
        <v>2172</v>
      </c>
      <c r="B490" s="249">
        <v>4.96</v>
      </c>
      <c r="C490" s="248">
        <f>ROUND(B490*(1-'Disc Dep'!$C$111),2)</f>
        <v>3.67</v>
      </c>
      <c r="D490" s="248">
        <f>ROUND(C490*(1+'Adaos Distr'!$C$111),2)</f>
        <v>3.67</v>
      </c>
      <c r="E490" s="248">
        <f>ROUND(D490*(1+'Adaos RESELLER'!$C$111),2)</f>
        <v>3.67</v>
      </c>
      <c r="F490" s="248">
        <f>IF(Select!$E$23=1,C490,IF(Select!$E$23=2,D490,IF(Select!$E$23=3,E490)))</f>
        <v>3.67</v>
      </c>
      <c r="G490" s="77">
        <f t="shared" si="35"/>
        <v>5.1088000000000005</v>
      </c>
      <c r="H490" s="77">
        <f t="shared" si="32"/>
        <v>5.1100000000000003</v>
      </c>
    </row>
    <row r="491" spans="1:8">
      <c r="A491" t="s">
        <v>2173</v>
      </c>
      <c r="B491" s="249">
        <v>4.96</v>
      </c>
      <c r="C491" s="248">
        <f>ROUND(B491*(1-'Disc Dep'!$C$111),2)</f>
        <v>3.67</v>
      </c>
      <c r="D491" s="248">
        <f>ROUND(C491*(1+'Adaos Distr'!$C$111),2)</f>
        <v>3.67</v>
      </c>
      <c r="E491" s="248">
        <f>ROUND(D491*(1+'Adaos RESELLER'!$C$111),2)</f>
        <v>3.67</v>
      </c>
      <c r="F491" s="248">
        <f>IF(Select!$E$23=1,C491,IF(Select!$E$23=2,D491,IF(Select!$E$23=3,E491)))</f>
        <v>3.67</v>
      </c>
      <c r="G491" s="77">
        <f t="shared" si="35"/>
        <v>5.1088000000000005</v>
      </c>
      <c r="H491" s="77">
        <f t="shared" si="32"/>
        <v>5.1100000000000003</v>
      </c>
    </row>
    <row r="492" spans="1:8">
      <c r="A492" t="s">
        <v>2174</v>
      </c>
      <c r="B492" s="249">
        <v>6.61</v>
      </c>
      <c r="C492" s="248">
        <f>ROUND(B492*(1-'Disc Dep'!$C$111),2)</f>
        <v>4.8899999999999997</v>
      </c>
      <c r="D492" s="248">
        <f>ROUND(C492*(1+'Adaos Distr'!$C$111),2)</f>
        <v>4.8899999999999997</v>
      </c>
      <c r="E492" s="248">
        <f>ROUND(D492*(1+'Adaos RESELLER'!$C$111),2)</f>
        <v>4.8899999999999997</v>
      </c>
      <c r="F492" s="248">
        <f>IF(Select!$E$23=1,C492,IF(Select!$E$23=2,D492,IF(Select!$E$23=3,E492)))</f>
        <v>4.8899999999999997</v>
      </c>
      <c r="G492" s="77">
        <f t="shared" si="35"/>
        <v>6.8083000000000009</v>
      </c>
      <c r="H492" s="77">
        <f t="shared" si="32"/>
        <v>6.81</v>
      </c>
    </row>
    <row r="493" spans="1:8">
      <c r="A493" t="s">
        <v>2175</v>
      </c>
      <c r="B493" s="249">
        <v>2.46</v>
      </c>
      <c r="C493" s="248">
        <f>ROUND(B493*(1-'Disc Dep'!$C$111),2)</f>
        <v>1.82</v>
      </c>
      <c r="D493" s="248">
        <f>ROUND(C493*(1+'Adaos Distr'!$C$111),2)</f>
        <v>1.82</v>
      </c>
      <c r="E493" s="248">
        <f>ROUND(D493*(1+'Adaos RESELLER'!$C$111),2)</f>
        <v>1.82</v>
      </c>
      <c r="F493" s="248">
        <f>IF(Select!$E$23=1,C493,IF(Select!$E$23=2,D493,IF(Select!$E$23=3,E493)))</f>
        <v>1.82</v>
      </c>
      <c r="G493" s="77">
        <f t="shared" si="35"/>
        <v>2.5337999999999998</v>
      </c>
      <c r="H493" s="77">
        <f t="shared" si="32"/>
        <v>2.5299999999999998</v>
      </c>
    </row>
    <row r="494" spans="1:8">
      <c r="A494" t="s">
        <v>2176</v>
      </c>
      <c r="B494" s="249">
        <v>3.31</v>
      </c>
      <c r="C494" s="248">
        <f>ROUND(B494*(1-'Disc Dep'!$C$111),2)</f>
        <v>2.4500000000000002</v>
      </c>
      <c r="D494" s="248">
        <f>ROUND(C494*(1+'Adaos Distr'!$C$111),2)</f>
        <v>2.4500000000000002</v>
      </c>
      <c r="E494" s="248">
        <f>ROUND(D494*(1+'Adaos RESELLER'!$C$111),2)</f>
        <v>2.4500000000000002</v>
      </c>
      <c r="F494" s="248">
        <f>IF(Select!$E$23=1,C494,IF(Select!$E$23=2,D494,IF(Select!$E$23=3,E494)))</f>
        <v>2.4500000000000002</v>
      </c>
      <c r="G494" s="77">
        <f t="shared" si="35"/>
        <v>3.4093</v>
      </c>
      <c r="H494" s="77">
        <f t="shared" si="32"/>
        <v>3.41</v>
      </c>
    </row>
    <row r="495" spans="1:8">
      <c r="A495" t="s">
        <v>2177</v>
      </c>
      <c r="B495" s="249">
        <v>6.61</v>
      </c>
      <c r="C495" s="248">
        <f>ROUND(B495*(1-'Disc Dep'!$C$111),2)</f>
        <v>4.8899999999999997</v>
      </c>
      <c r="D495" s="248">
        <f>ROUND(C495*(1+'Adaos Distr'!$C$111),2)</f>
        <v>4.8899999999999997</v>
      </c>
      <c r="E495" s="248">
        <f>ROUND(D495*(1+'Adaos RESELLER'!$C$111),2)</f>
        <v>4.8899999999999997</v>
      </c>
      <c r="F495" s="248">
        <f>IF(Select!$E$23=1,C495,IF(Select!$E$23=2,D495,IF(Select!$E$23=3,E495)))</f>
        <v>4.8899999999999997</v>
      </c>
      <c r="G495" s="77">
        <f t="shared" si="35"/>
        <v>6.8083000000000009</v>
      </c>
      <c r="H495" s="77">
        <f t="shared" si="32"/>
        <v>6.81</v>
      </c>
    </row>
    <row r="496" spans="1:8">
      <c r="A496" t="s">
        <v>2178</v>
      </c>
      <c r="B496" s="249">
        <v>4.96</v>
      </c>
      <c r="C496" s="248">
        <f>ROUND(B496*(1-'Disc Dep'!$C$111),2)</f>
        <v>3.67</v>
      </c>
      <c r="D496" s="248">
        <f>ROUND(C496*(1+'Adaos Distr'!$C$111),2)</f>
        <v>3.67</v>
      </c>
      <c r="E496" s="248">
        <f>ROUND(D496*(1+'Adaos RESELLER'!$C$111),2)</f>
        <v>3.67</v>
      </c>
      <c r="F496" s="248">
        <f>IF(Select!$E$23=1,C496,IF(Select!$E$23=2,D496,IF(Select!$E$23=3,E496)))</f>
        <v>3.67</v>
      </c>
      <c r="G496" s="77">
        <f t="shared" si="35"/>
        <v>5.1088000000000005</v>
      </c>
      <c r="H496" s="77">
        <f t="shared" si="32"/>
        <v>5.1100000000000003</v>
      </c>
    </row>
    <row r="497" spans="1:8">
      <c r="A497" t="s">
        <v>2179</v>
      </c>
      <c r="B497" s="249">
        <v>2.48</v>
      </c>
      <c r="C497" s="248">
        <f>ROUND(B497*(1-'Disc Dep'!$C$111),2)</f>
        <v>1.84</v>
      </c>
      <c r="D497" s="248">
        <f>ROUND(C497*(1+'Adaos Distr'!$C$111),2)</f>
        <v>1.84</v>
      </c>
      <c r="E497" s="248">
        <f>ROUND(D497*(1+'Adaos RESELLER'!$C$111),2)</f>
        <v>1.84</v>
      </c>
      <c r="F497" s="248">
        <f>IF(Select!$E$23=1,C497,IF(Select!$E$23=2,D497,IF(Select!$E$23=3,E497)))</f>
        <v>1.84</v>
      </c>
      <c r="G497" s="77">
        <f t="shared" si="35"/>
        <v>2.5544000000000002</v>
      </c>
      <c r="H497" s="77">
        <f t="shared" si="32"/>
        <v>2.5499999999999998</v>
      </c>
    </row>
    <row r="498" spans="1:8">
      <c r="A498" t="s">
        <v>2180</v>
      </c>
      <c r="B498" s="249">
        <v>3.98</v>
      </c>
      <c r="C498" s="248">
        <f>ROUND(B498*(1-'Disc Dep'!$C$111),2)</f>
        <v>2.95</v>
      </c>
      <c r="D498" s="248">
        <f>ROUND(C498*(1+'Adaos Distr'!$C$111),2)</f>
        <v>2.95</v>
      </c>
      <c r="E498" s="248">
        <f>ROUND(D498*(1+'Adaos RESELLER'!$C$111),2)</f>
        <v>2.95</v>
      </c>
      <c r="F498" s="248">
        <f>IF(Select!$E$23=1,C498,IF(Select!$E$23=2,D498,IF(Select!$E$23=3,E498)))</f>
        <v>2.95</v>
      </c>
      <c r="G498" s="77">
        <f t="shared" si="35"/>
        <v>4.0994000000000002</v>
      </c>
      <c r="H498" s="77">
        <f t="shared" si="32"/>
        <v>4.0999999999999996</v>
      </c>
    </row>
    <row r="499" spans="1:8">
      <c r="A499" t="s">
        <v>2181</v>
      </c>
      <c r="B499" s="249">
        <v>4.96</v>
      </c>
      <c r="C499" s="248">
        <f>ROUND(B499*(1-'Disc Dep'!$C$111),2)</f>
        <v>3.67</v>
      </c>
      <c r="D499" s="248">
        <f>ROUND(C499*(1+'Adaos Distr'!$C$111),2)</f>
        <v>3.67</v>
      </c>
      <c r="E499" s="248">
        <f>ROUND(D499*(1+'Adaos RESELLER'!$C$111),2)</f>
        <v>3.67</v>
      </c>
      <c r="F499" s="248">
        <f>IF(Select!$E$23=1,C499,IF(Select!$E$23=2,D499,IF(Select!$E$23=3,E499)))</f>
        <v>3.67</v>
      </c>
      <c r="G499" s="77">
        <f t="shared" si="35"/>
        <v>5.1088000000000005</v>
      </c>
      <c r="H499" s="77">
        <f t="shared" ref="H499:H562" si="36">ROUND(G499,2)</f>
        <v>5.1100000000000003</v>
      </c>
    </row>
    <row r="500" spans="1:8">
      <c r="A500" t="s">
        <v>2182</v>
      </c>
      <c r="B500" s="249">
        <v>3.98</v>
      </c>
      <c r="C500" s="248">
        <f>ROUND(B500*(1-'Disc Dep'!$C$111),2)</f>
        <v>2.95</v>
      </c>
      <c r="D500" s="248">
        <f>ROUND(C500*(1+'Adaos Distr'!$C$111),2)</f>
        <v>2.95</v>
      </c>
      <c r="E500" s="248">
        <f>ROUND(D500*(1+'Adaos RESELLER'!$C$111),2)</f>
        <v>2.95</v>
      </c>
      <c r="F500" s="248">
        <f>IF(Select!$E$23=1,C500,IF(Select!$E$23=2,D500,IF(Select!$E$23=3,E500)))</f>
        <v>2.95</v>
      </c>
      <c r="G500" s="77">
        <f t="shared" si="35"/>
        <v>4.0994000000000002</v>
      </c>
      <c r="H500" s="77">
        <f t="shared" si="36"/>
        <v>4.0999999999999996</v>
      </c>
    </row>
    <row r="501" spans="1:8">
      <c r="A501" t="s">
        <v>2183</v>
      </c>
      <c r="B501" s="249">
        <v>2.83</v>
      </c>
      <c r="C501" s="248">
        <f>ROUND(B501*(1-'Disc Dep'!$C$111),2)</f>
        <v>2.09</v>
      </c>
      <c r="D501" s="248">
        <f>ROUND(C501*(1+'Adaos Distr'!$C$111),2)</f>
        <v>2.09</v>
      </c>
      <c r="E501" s="248">
        <f>ROUND(D501*(1+'Adaos RESELLER'!$C$111),2)</f>
        <v>2.09</v>
      </c>
      <c r="F501" s="248">
        <f>IF(Select!$E$23=1,C501,IF(Select!$E$23=2,D501,IF(Select!$E$23=3,E501)))</f>
        <v>2.09</v>
      </c>
      <c r="G501" s="77">
        <f t="shared" si="35"/>
        <v>2.9149000000000003</v>
      </c>
      <c r="H501" s="77">
        <f t="shared" si="36"/>
        <v>2.91</v>
      </c>
    </row>
    <row r="502" spans="1:8">
      <c r="B502" s="249">
        <v>0</v>
      </c>
      <c r="C502" s="248">
        <f>ROUND(B502*(1-'Disc Dep'!$C$111),2)</f>
        <v>0</v>
      </c>
      <c r="D502" s="248">
        <f>ROUND(C502*(1+'Adaos Distr'!$C$111),2)</f>
        <v>0</v>
      </c>
      <c r="E502" s="248">
        <f>ROUND(D502*(1+'Adaos RESELLER'!$C$111),2)</f>
        <v>0</v>
      </c>
      <c r="F502" s="248">
        <f>IF(Select!$E$23=1,C502,IF(Select!$E$23=2,D502,IF(Select!$E$23=3,E502)))</f>
        <v>0</v>
      </c>
      <c r="G502" s="77">
        <f t="shared" si="35"/>
        <v>0</v>
      </c>
      <c r="H502" s="77">
        <f t="shared" si="36"/>
        <v>0</v>
      </c>
    </row>
    <row r="503" spans="1:8">
      <c r="A503" t="s">
        <v>2184</v>
      </c>
      <c r="B503" s="249">
        <v>6.59</v>
      </c>
      <c r="C503" s="248">
        <f>ROUND(B503*(1-'Disc Dep'!$C$111),2)</f>
        <v>4.88</v>
      </c>
      <c r="D503" s="248">
        <f>ROUND(C503*(1+'Adaos Distr'!$C$111),2)</f>
        <v>4.88</v>
      </c>
      <c r="E503" s="248">
        <f>ROUND(D503*(1+'Adaos RESELLER'!$C$111),2)</f>
        <v>4.88</v>
      </c>
      <c r="F503" s="248">
        <f>IF(Select!$E$23=1,C503,IF(Select!$E$23=2,D503,IF(Select!$E$23=3,E503)))</f>
        <v>4.88</v>
      </c>
      <c r="G503" s="77">
        <f t="shared" si="35"/>
        <v>6.7877000000000001</v>
      </c>
      <c r="H503" s="77">
        <f t="shared" si="36"/>
        <v>6.79</v>
      </c>
    </row>
    <row r="504" spans="1:8">
      <c r="A504" t="s">
        <v>2185</v>
      </c>
      <c r="B504" s="249">
        <v>8.7899999999999991</v>
      </c>
      <c r="C504" s="248">
        <f>ROUND(B504*(1-'Disc Dep'!$C$111),2)</f>
        <v>6.5</v>
      </c>
      <c r="D504" s="248">
        <f>ROUND(C504*(1+'Adaos Distr'!$C$111),2)</f>
        <v>6.5</v>
      </c>
      <c r="E504" s="248">
        <f>ROUND(D504*(1+'Adaos RESELLER'!$C$111),2)</f>
        <v>6.5</v>
      </c>
      <c r="F504" s="248">
        <f>IF(Select!$E$23=1,C504,IF(Select!$E$23=2,D504,IF(Select!$E$23=3,E504)))</f>
        <v>6.5</v>
      </c>
      <c r="G504" s="77">
        <f t="shared" si="35"/>
        <v>9.0536999999999992</v>
      </c>
      <c r="H504" s="77">
        <f t="shared" si="36"/>
        <v>9.0500000000000007</v>
      </c>
    </row>
    <row r="505" spans="1:8">
      <c r="A505" t="s">
        <v>2186</v>
      </c>
      <c r="B505" s="249">
        <v>6.59</v>
      </c>
      <c r="C505" s="248">
        <f>ROUND(B505*(1-'Disc Dep'!$C$111),2)</f>
        <v>4.88</v>
      </c>
      <c r="D505" s="248">
        <f>ROUND(C505*(1+'Adaos Distr'!$C$111),2)</f>
        <v>4.88</v>
      </c>
      <c r="E505" s="248">
        <f>ROUND(D505*(1+'Adaos RESELLER'!$C$111),2)</f>
        <v>4.88</v>
      </c>
      <c r="F505" s="248">
        <f>IF(Select!$E$23=1,C505,IF(Select!$E$23=2,D505,IF(Select!$E$23=3,E505)))</f>
        <v>4.88</v>
      </c>
      <c r="G505" s="77">
        <f t="shared" si="35"/>
        <v>6.7877000000000001</v>
      </c>
      <c r="H505" s="77">
        <f t="shared" si="36"/>
        <v>6.79</v>
      </c>
    </row>
    <row r="506" spans="1:8">
      <c r="A506" t="s">
        <v>2187</v>
      </c>
      <c r="B506" s="249">
        <v>6.59</v>
      </c>
      <c r="C506" s="248">
        <f>ROUND(B506*(1-'Disc Dep'!$C$111),2)</f>
        <v>4.88</v>
      </c>
      <c r="D506" s="248">
        <f>ROUND(C506*(1+'Adaos Distr'!$C$111),2)</f>
        <v>4.88</v>
      </c>
      <c r="E506" s="248">
        <f>ROUND(D506*(1+'Adaos RESELLER'!$C$111),2)</f>
        <v>4.88</v>
      </c>
      <c r="F506" s="248">
        <f>IF(Select!$E$23=1,C506,IF(Select!$E$23=2,D506,IF(Select!$E$23=3,E506)))</f>
        <v>4.88</v>
      </c>
      <c r="G506" s="77">
        <f t="shared" si="35"/>
        <v>6.7877000000000001</v>
      </c>
      <c r="H506" s="77">
        <f t="shared" si="36"/>
        <v>6.79</v>
      </c>
    </row>
    <row r="507" spans="1:8">
      <c r="A507" t="s">
        <v>2188</v>
      </c>
      <c r="B507" s="249">
        <v>8.7899999999999991</v>
      </c>
      <c r="C507" s="248">
        <f>ROUND(B507*(1-'Disc Dep'!$C$111),2)</f>
        <v>6.5</v>
      </c>
      <c r="D507" s="248">
        <f>ROUND(C507*(1+'Adaos Distr'!$C$111),2)</f>
        <v>6.5</v>
      </c>
      <c r="E507" s="248">
        <f>ROUND(D507*(1+'Adaos RESELLER'!$C$111),2)</f>
        <v>6.5</v>
      </c>
      <c r="F507" s="248">
        <f>IF(Select!$E$23=1,C507,IF(Select!$E$23=2,D507,IF(Select!$E$23=3,E507)))</f>
        <v>6.5</v>
      </c>
      <c r="G507" s="77">
        <f t="shared" si="35"/>
        <v>9.0536999999999992</v>
      </c>
      <c r="H507" s="77">
        <f t="shared" si="36"/>
        <v>9.0500000000000007</v>
      </c>
    </row>
    <row r="508" spans="1:8">
      <c r="A508" t="s">
        <v>2189</v>
      </c>
      <c r="B508" s="249">
        <v>3.28</v>
      </c>
      <c r="C508" s="248">
        <f>ROUND(B508*(1-'Disc Dep'!$C$111),2)</f>
        <v>2.4300000000000002</v>
      </c>
      <c r="D508" s="248">
        <f>ROUND(C508*(1+'Adaos Distr'!$C$111),2)</f>
        <v>2.4300000000000002</v>
      </c>
      <c r="E508" s="248">
        <f>ROUND(D508*(1+'Adaos RESELLER'!$C$111),2)</f>
        <v>2.4300000000000002</v>
      </c>
      <c r="F508" s="248">
        <f>IF(Select!$E$23=1,C508,IF(Select!$E$23=2,D508,IF(Select!$E$23=3,E508)))</f>
        <v>2.4300000000000002</v>
      </c>
      <c r="G508" s="77">
        <f t="shared" si="35"/>
        <v>3.3784000000000001</v>
      </c>
      <c r="H508" s="77">
        <f t="shared" si="36"/>
        <v>3.38</v>
      </c>
    </row>
    <row r="509" spans="1:8">
      <c r="A509" t="s">
        <v>2190</v>
      </c>
      <c r="B509" s="249">
        <v>4.4000000000000004</v>
      </c>
      <c r="C509" s="248">
        <f>ROUND(B509*(1-'Disc Dep'!$C$111),2)</f>
        <v>3.26</v>
      </c>
      <c r="D509" s="248">
        <f>ROUND(C509*(1+'Adaos Distr'!$C$111),2)</f>
        <v>3.26</v>
      </c>
      <c r="E509" s="248">
        <f>ROUND(D509*(1+'Adaos RESELLER'!$C$111),2)</f>
        <v>3.26</v>
      </c>
      <c r="F509" s="248">
        <f>IF(Select!$E$23=1,C509,IF(Select!$E$23=2,D509,IF(Select!$E$23=3,E509)))</f>
        <v>3.26</v>
      </c>
      <c r="G509" s="77">
        <f t="shared" si="35"/>
        <v>4.5320000000000009</v>
      </c>
      <c r="H509" s="77">
        <f t="shared" si="36"/>
        <v>4.53</v>
      </c>
    </row>
    <row r="510" spans="1:8">
      <c r="A510" t="s">
        <v>2191</v>
      </c>
      <c r="B510" s="249">
        <v>8.7899999999999991</v>
      </c>
      <c r="C510" s="248">
        <f>ROUND(B510*(1-'Disc Dep'!$C$111),2)</f>
        <v>6.5</v>
      </c>
      <c r="D510" s="248">
        <f>ROUND(C510*(1+'Adaos Distr'!$C$111),2)</f>
        <v>6.5</v>
      </c>
      <c r="E510" s="248">
        <f>ROUND(D510*(1+'Adaos RESELLER'!$C$111),2)</f>
        <v>6.5</v>
      </c>
      <c r="F510" s="248">
        <f>IF(Select!$E$23=1,C510,IF(Select!$E$23=2,D510,IF(Select!$E$23=3,E510)))</f>
        <v>6.5</v>
      </c>
      <c r="G510" s="77">
        <f t="shared" si="35"/>
        <v>9.0536999999999992</v>
      </c>
      <c r="H510" s="77">
        <f t="shared" si="36"/>
        <v>9.0500000000000007</v>
      </c>
    </row>
    <row r="511" spans="1:8">
      <c r="A511" t="s">
        <v>2192</v>
      </c>
      <c r="B511" s="249">
        <v>6.59</v>
      </c>
      <c r="C511" s="248">
        <f>ROUND(B511*(1-'Disc Dep'!$C$111),2)</f>
        <v>4.88</v>
      </c>
      <c r="D511" s="248">
        <f>ROUND(C511*(1+'Adaos Distr'!$C$111),2)</f>
        <v>4.88</v>
      </c>
      <c r="E511" s="248">
        <f>ROUND(D511*(1+'Adaos RESELLER'!$C$111),2)</f>
        <v>4.88</v>
      </c>
      <c r="F511" s="248">
        <f>IF(Select!$E$23=1,C511,IF(Select!$E$23=2,D511,IF(Select!$E$23=3,E511)))</f>
        <v>4.88</v>
      </c>
      <c r="G511" s="77">
        <f t="shared" si="35"/>
        <v>6.7877000000000001</v>
      </c>
      <c r="H511" s="77">
        <f t="shared" si="36"/>
        <v>6.79</v>
      </c>
    </row>
    <row r="512" spans="1:8">
      <c r="A512" t="s">
        <v>2193</v>
      </c>
      <c r="B512" s="249">
        <v>3.3</v>
      </c>
      <c r="C512" s="248">
        <f>ROUND(B512*(1-'Disc Dep'!$C$111),2)</f>
        <v>2.44</v>
      </c>
      <c r="D512" s="248">
        <f>ROUND(C512*(1+'Adaos Distr'!$C$111),2)</f>
        <v>2.44</v>
      </c>
      <c r="E512" s="248">
        <f>ROUND(D512*(1+'Adaos RESELLER'!$C$111),2)</f>
        <v>2.44</v>
      </c>
      <c r="F512" s="248">
        <f>IF(Select!$E$23=1,C512,IF(Select!$E$23=2,D512,IF(Select!$E$23=3,E512)))</f>
        <v>2.44</v>
      </c>
      <c r="G512" s="77">
        <f t="shared" si="35"/>
        <v>3.399</v>
      </c>
      <c r="H512" s="77">
        <f t="shared" si="36"/>
        <v>3.4</v>
      </c>
    </row>
    <row r="513" spans="1:8">
      <c r="A513" t="s">
        <v>2194</v>
      </c>
      <c r="B513" s="249">
        <v>5.28</v>
      </c>
      <c r="C513" s="248">
        <f>ROUND(B513*(1-'Disc Dep'!$C$111),2)</f>
        <v>3.91</v>
      </c>
      <c r="D513" s="248">
        <f>ROUND(C513*(1+'Adaos Distr'!$C$111),2)</f>
        <v>3.91</v>
      </c>
      <c r="E513" s="248">
        <f>ROUND(D513*(1+'Adaos RESELLER'!$C$111),2)</f>
        <v>3.91</v>
      </c>
      <c r="F513" s="248">
        <f>IF(Select!$E$23=1,C513,IF(Select!$E$23=2,D513,IF(Select!$E$23=3,E513)))</f>
        <v>3.91</v>
      </c>
      <c r="G513" s="77">
        <f t="shared" si="35"/>
        <v>5.4384000000000006</v>
      </c>
      <c r="H513" s="77">
        <f t="shared" si="36"/>
        <v>5.44</v>
      </c>
    </row>
    <row r="514" spans="1:8">
      <c r="A514" t="s">
        <v>2195</v>
      </c>
      <c r="B514" s="249">
        <v>6.59</v>
      </c>
      <c r="C514" s="248">
        <f>ROUND(B514*(1-'Disc Dep'!$C$111),2)</f>
        <v>4.88</v>
      </c>
      <c r="D514" s="248">
        <f>ROUND(C514*(1+'Adaos Distr'!$C$111),2)</f>
        <v>4.88</v>
      </c>
      <c r="E514" s="248">
        <f>ROUND(D514*(1+'Adaos RESELLER'!$C$111),2)</f>
        <v>4.88</v>
      </c>
      <c r="F514" s="248">
        <f>IF(Select!$E$23=1,C514,IF(Select!$E$23=2,D514,IF(Select!$E$23=3,E514)))</f>
        <v>4.88</v>
      </c>
      <c r="G514" s="77">
        <f t="shared" si="35"/>
        <v>6.7877000000000001</v>
      </c>
      <c r="H514" s="77">
        <f t="shared" si="36"/>
        <v>6.79</v>
      </c>
    </row>
    <row r="515" spans="1:8">
      <c r="A515" t="s">
        <v>2196</v>
      </c>
      <c r="B515" s="249">
        <v>5.28</v>
      </c>
      <c r="C515" s="248">
        <f>ROUND(B515*(1-'Disc Dep'!$C$111),2)</f>
        <v>3.91</v>
      </c>
      <c r="D515" s="248">
        <f>ROUND(C515*(1+'Adaos Distr'!$C$111),2)</f>
        <v>3.91</v>
      </c>
      <c r="E515" s="248">
        <f>ROUND(D515*(1+'Adaos RESELLER'!$C$111),2)</f>
        <v>3.91</v>
      </c>
      <c r="F515" s="248">
        <f>IF(Select!$E$23=1,C515,IF(Select!$E$23=2,D515,IF(Select!$E$23=3,E515)))</f>
        <v>3.91</v>
      </c>
      <c r="G515" s="77">
        <f t="shared" si="35"/>
        <v>5.4384000000000006</v>
      </c>
      <c r="H515" s="77">
        <f t="shared" si="36"/>
        <v>5.44</v>
      </c>
    </row>
    <row r="516" spans="1:8">
      <c r="A516" t="s">
        <v>2197</v>
      </c>
      <c r="B516" s="249">
        <v>3.76</v>
      </c>
      <c r="C516" s="248">
        <f>ROUND(B516*(1-'Disc Dep'!$C$111),2)</f>
        <v>2.78</v>
      </c>
      <c r="D516" s="248">
        <f>ROUND(C516*(1+'Adaos Distr'!$C$111),2)</f>
        <v>2.78</v>
      </c>
      <c r="E516" s="248">
        <f>ROUND(D516*(1+'Adaos RESELLER'!$C$111),2)</f>
        <v>2.78</v>
      </c>
      <c r="F516" s="248">
        <f>IF(Select!$E$23=1,C516,IF(Select!$E$23=2,D516,IF(Select!$E$23=3,E516)))</f>
        <v>2.78</v>
      </c>
      <c r="G516" s="77">
        <f t="shared" si="35"/>
        <v>3.8727999999999998</v>
      </c>
      <c r="H516" s="77">
        <f t="shared" si="36"/>
        <v>3.87</v>
      </c>
    </row>
    <row r="517" spans="1:8">
      <c r="G517" s="77">
        <f t="shared" ref="G517:G534" si="37">B517*1.03</f>
        <v>0</v>
      </c>
      <c r="H517" s="77">
        <f t="shared" si="36"/>
        <v>0</v>
      </c>
    </row>
    <row r="518" spans="1:8">
      <c r="A518" s="77" t="s">
        <v>2215</v>
      </c>
      <c r="B518" s="249">
        <v>169.91</v>
      </c>
      <c r="C518" s="248">
        <f>ROUND(B518*(1-'Disc Dep'!$C$118),2)</f>
        <v>135.93</v>
      </c>
      <c r="D518" s="248">
        <f>ROUND(C518*(1+'Adaos Distr'!$C$118),2)</f>
        <v>135.93</v>
      </c>
      <c r="E518" s="248">
        <f>ROUND(D518*(1+'Adaos RESELLER'!$C$118),2)</f>
        <v>135.93</v>
      </c>
      <c r="F518" s="248">
        <f>IF(Select!$E$23=1,C518,IF(Select!$E$23=2,D518,IF(Select!$E$23=3,E518)))</f>
        <v>135.93</v>
      </c>
      <c r="G518" s="77">
        <f t="shared" si="37"/>
        <v>175.00730000000001</v>
      </c>
      <c r="H518" s="77">
        <f t="shared" si="36"/>
        <v>175.01</v>
      </c>
    </row>
    <row r="519" spans="1:8">
      <c r="A519" s="77" t="s">
        <v>2216</v>
      </c>
      <c r="B519" s="249">
        <v>183.62</v>
      </c>
      <c r="C519" s="248">
        <f>ROUND(B519*(1-'Disc Dep'!$C$118),2)</f>
        <v>146.9</v>
      </c>
      <c r="D519" s="248">
        <f>ROUND(C519*(1+'Adaos Distr'!$C$118),2)</f>
        <v>146.9</v>
      </c>
      <c r="E519" s="248">
        <f>ROUND(D519*(1+'Adaos RESELLER'!$C$118),2)</f>
        <v>146.9</v>
      </c>
      <c r="F519" s="248">
        <f>IF(Select!$E$23=1,C519,IF(Select!$E$23=2,D519,IF(Select!$E$23=3,E519)))</f>
        <v>146.9</v>
      </c>
      <c r="G519" s="77">
        <f t="shared" si="37"/>
        <v>189.12860000000001</v>
      </c>
      <c r="H519" s="77">
        <f t="shared" si="36"/>
        <v>189.13</v>
      </c>
    </row>
    <row r="520" spans="1:8">
      <c r="A520" s="77" t="s">
        <v>2217</v>
      </c>
      <c r="B520" s="249">
        <v>198.22</v>
      </c>
      <c r="C520" s="248">
        <f>ROUND(B520*(1-'Disc Dep'!$C$118),2)</f>
        <v>158.58000000000001</v>
      </c>
      <c r="D520" s="248">
        <f>ROUND(C520*(1+'Adaos Distr'!$C$118),2)</f>
        <v>158.58000000000001</v>
      </c>
      <c r="E520" s="248">
        <f>ROUND(D520*(1+'Adaos RESELLER'!$C$118),2)</f>
        <v>158.58000000000001</v>
      </c>
      <c r="F520" s="248">
        <f>IF(Select!$E$23=1,C520,IF(Select!$E$23=2,D520,IF(Select!$E$23=3,E520)))</f>
        <v>158.58000000000001</v>
      </c>
      <c r="G520" s="77">
        <f t="shared" si="37"/>
        <v>204.16660000000002</v>
      </c>
      <c r="H520" s="77">
        <f t="shared" si="36"/>
        <v>204.17</v>
      </c>
    </row>
    <row r="521" spans="1:8">
      <c r="A521" s="77" t="s">
        <v>2218</v>
      </c>
      <c r="B521" s="249">
        <v>196.88</v>
      </c>
      <c r="C521" s="248">
        <f>ROUND(B521*(1-'Disc Dep'!$C$118),2)</f>
        <v>157.5</v>
      </c>
      <c r="D521" s="248">
        <f>ROUND(C521*(1+'Adaos Distr'!$C$118),2)</f>
        <v>157.5</v>
      </c>
      <c r="E521" s="248">
        <f>ROUND(D521*(1+'Adaos RESELLER'!$C$118),2)</f>
        <v>157.5</v>
      </c>
      <c r="F521" s="248">
        <f>IF(Select!$E$23=1,C521,IF(Select!$E$23=2,D521,IF(Select!$E$23=3,E521)))</f>
        <v>157.5</v>
      </c>
      <c r="G521" s="77">
        <f t="shared" si="37"/>
        <v>202.78640000000001</v>
      </c>
      <c r="H521" s="77">
        <f t="shared" si="36"/>
        <v>202.79</v>
      </c>
    </row>
    <row r="522" spans="1:8">
      <c r="A522" s="77" t="s">
        <v>2219</v>
      </c>
      <c r="B522" s="249">
        <v>214.1</v>
      </c>
      <c r="C522" s="248">
        <f>ROUND(B522*(1-'Disc Dep'!$C$118),2)</f>
        <v>171.28</v>
      </c>
      <c r="D522" s="248">
        <f>ROUND(C522*(1+'Adaos Distr'!$C$118),2)</f>
        <v>171.28</v>
      </c>
      <c r="E522" s="248">
        <f>ROUND(D522*(1+'Adaos RESELLER'!$C$118),2)</f>
        <v>171.28</v>
      </c>
      <c r="F522" s="248">
        <f>IF(Select!$E$23=1,C522,IF(Select!$E$23=2,D522,IF(Select!$E$23=3,E522)))</f>
        <v>171.28</v>
      </c>
      <c r="G522" s="77">
        <f t="shared" si="37"/>
        <v>220.523</v>
      </c>
      <c r="H522" s="77">
        <f t="shared" si="36"/>
        <v>220.52</v>
      </c>
    </row>
    <row r="523" spans="1:8">
      <c r="A523" s="77" t="s">
        <v>2220</v>
      </c>
      <c r="B523" s="249">
        <v>228.47</v>
      </c>
      <c r="C523" s="248">
        <f>ROUND(B523*(1-'Disc Dep'!$C$118),2)</f>
        <v>182.78</v>
      </c>
      <c r="D523" s="248">
        <f>ROUND(C523*(1+'Adaos Distr'!$C$118),2)</f>
        <v>182.78</v>
      </c>
      <c r="E523" s="248">
        <f>ROUND(D523*(1+'Adaos RESELLER'!$C$118),2)</f>
        <v>182.78</v>
      </c>
      <c r="F523" s="248">
        <f>IF(Select!$E$23=1,C523,IF(Select!$E$23=2,D523,IF(Select!$E$23=3,E523)))</f>
        <v>182.78</v>
      </c>
      <c r="G523" s="77">
        <f t="shared" si="37"/>
        <v>235.32410000000002</v>
      </c>
      <c r="H523" s="77">
        <f t="shared" si="36"/>
        <v>235.32</v>
      </c>
    </row>
    <row r="524" spans="1:8">
      <c r="A524" s="77" t="s">
        <v>2221</v>
      </c>
      <c r="B524" s="249">
        <v>257.39</v>
      </c>
      <c r="C524" s="248">
        <f>ROUND(B524*(1-'Disc Dep'!$C$118),2)</f>
        <v>205.91</v>
      </c>
      <c r="D524" s="248">
        <f>ROUND(C524*(1+'Adaos Distr'!$C$118),2)</f>
        <v>205.91</v>
      </c>
      <c r="E524" s="248">
        <f>ROUND(D524*(1+'Adaos RESELLER'!$C$118),2)</f>
        <v>205.91</v>
      </c>
      <c r="F524" s="248">
        <f>IF(Select!$E$23=1,C524,IF(Select!$E$23=2,D524,IF(Select!$E$23=3,E524)))</f>
        <v>205.91</v>
      </c>
      <c r="G524" s="77">
        <f t="shared" si="37"/>
        <v>265.11169999999998</v>
      </c>
      <c r="H524" s="77">
        <f t="shared" si="36"/>
        <v>265.11</v>
      </c>
    </row>
    <row r="525" spans="1:8">
      <c r="C525" s="248">
        <f>ROUND(B525*(1-'Disc Dep'!$C$118),2)</f>
        <v>0</v>
      </c>
      <c r="D525" s="248">
        <f>ROUND(C525*(1+'Adaos Distr'!$C$118),2)</f>
        <v>0</v>
      </c>
      <c r="E525" s="248">
        <f>ROUND(D525*(1+'Adaos RESELLER'!$C$118),2)</f>
        <v>0</v>
      </c>
      <c r="F525" s="248">
        <f>IF(Select!$E$23=1,C525,IF(Select!$E$23=2,D525,IF(Select!$E$23=3,E525)))</f>
        <v>0</v>
      </c>
      <c r="G525" s="77">
        <f t="shared" si="37"/>
        <v>0</v>
      </c>
      <c r="H525" s="77">
        <f t="shared" si="36"/>
        <v>0</v>
      </c>
    </row>
    <row r="526" spans="1:8">
      <c r="A526" s="77" t="s">
        <v>2222</v>
      </c>
      <c r="B526" s="249">
        <v>62.12</v>
      </c>
      <c r="C526" s="248">
        <f>ROUND(B526*(1-'Disc Dep'!$C$118),2)</f>
        <v>49.7</v>
      </c>
      <c r="D526" s="248">
        <f>ROUND(C526*(1+'Adaos Distr'!$C$118),2)</f>
        <v>49.7</v>
      </c>
      <c r="E526" s="248">
        <f>ROUND(D526*(1+'Adaos RESELLER'!$C$118),2)</f>
        <v>49.7</v>
      </c>
      <c r="F526" s="248">
        <f>IF(Select!$E$23=1,C526,IF(Select!$E$23=2,D526,IF(Select!$E$23=3,E526)))</f>
        <v>49.7</v>
      </c>
      <c r="G526" s="77">
        <f t="shared" si="37"/>
        <v>63.983599999999996</v>
      </c>
      <c r="H526" s="77">
        <f t="shared" si="36"/>
        <v>63.98</v>
      </c>
    </row>
    <row r="527" spans="1:8">
      <c r="A527" s="77" t="s">
        <v>2223</v>
      </c>
      <c r="B527" s="249">
        <v>64.33</v>
      </c>
      <c r="C527" s="248">
        <f>ROUND(B527*(1-'Disc Dep'!$C$118),2)</f>
        <v>51.46</v>
      </c>
      <c r="D527" s="248">
        <f>ROUND(C527*(1+'Adaos Distr'!$C$118),2)</f>
        <v>51.46</v>
      </c>
      <c r="E527" s="248">
        <f>ROUND(D527*(1+'Adaos RESELLER'!$C$118),2)</f>
        <v>51.46</v>
      </c>
      <c r="F527" s="248">
        <f>IF(Select!$E$23=1,C527,IF(Select!$E$23=2,D527,IF(Select!$E$23=3,E527)))</f>
        <v>51.46</v>
      </c>
      <c r="G527" s="77">
        <f t="shared" si="37"/>
        <v>66.259900000000002</v>
      </c>
      <c r="H527" s="77">
        <f t="shared" si="36"/>
        <v>66.260000000000005</v>
      </c>
    </row>
    <row r="528" spans="1:8">
      <c r="A528" s="77" t="s">
        <v>2224</v>
      </c>
      <c r="B528" s="249">
        <v>73.739999999999995</v>
      </c>
      <c r="C528" s="248">
        <f>ROUND(B528*(1-'Disc Dep'!$C$118),2)</f>
        <v>58.99</v>
      </c>
      <c r="D528" s="248">
        <f>ROUND(C528*(1+'Adaos Distr'!$C$118),2)</f>
        <v>58.99</v>
      </c>
      <c r="E528" s="248">
        <f>ROUND(D528*(1+'Adaos RESELLER'!$C$118),2)</f>
        <v>58.99</v>
      </c>
      <c r="F528" s="248">
        <f>IF(Select!$E$23=1,C528,IF(Select!$E$23=2,D528,IF(Select!$E$23=3,E528)))</f>
        <v>58.99</v>
      </c>
      <c r="G528" s="77">
        <f t="shared" si="37"/>
        <v>75.952199999999991</v>
      </c>
      <c r="H528" s="77">
        <f t="shared" si="36"/>
        <v>75.95</v>
      </c>
    </row>
    <row r="529" spans="1:8">
      <c r="A529" s="77" t="s">
        <v>2225</v>
      </c>
      <c r="B529" s="249">
        <v>75.540000000000006</v>
      </c>
      <c r="C529" s="248">
        <f>ROUND(B529*(1-'Disc Dep'!$C$118),2)</f>
        <v>60.43</v>
      </c>
      <c r="D529" s="248">
        <f>ROUND(C529*(1+'Adaos Distr'!$C$118),2)</f>
        <v>60.43</v>
      </c>
      <c r="E529" s="248">
        <f>ROUND(D529*(1+'Adaos RESELLER'!$C$118),2)</f>
        <v>60.43</v>
      </c>
      <c r="F529" s="248">
        <f>IF(Select!$E$23=1,C529,IF(Select!$E$23=2,D529,IF(Select!$E$23=3,E529)))</f>
        <v>60.43</v>
      </c>
      <c r="G529" s="77">
        <f t="shared" si="37"/>
        <v>77.806200000000004</v>
      </c>
      <c r="H529" s="77">
        <f t="shared" si="36"/>
        <v>77.81</v>
      </c>
    </row>
    <row r="530" spans="1:8">
      <c r="A530" s="77" t="s">
        <v>2226</v>
      </c>
      <c r="B530" s="249">
        <v>78.64</v>
      </c>
      <c r="C530" s="248">
        <f>ROUND(B530*(1-'Disc Dep'!$C$118),2)</f>
        <v>62.91</v>
      </c>
      <c r="D530" s="248">
        <f>ROUND(C530*(1+'Adaos Distr'!$C$118),2)</f>
        <v>62.91</v>
      </c>
      <c r="E530" s="248">
        <f>ROUND(D530*(1+'Adaos RESELLER'!$C$118),2)</f>
        <v>62.91</v>
      </c>
      <c r="F530" s="248">
        <f>IF(Select!$E$23=1,C530,IF(Select!$E$23=2,D530,IF(Select!$E$23=3,E530)))</f>
        <v>62.91</v>
      </c>
      <c r="G530" s="77">
        <f t="shared" si="37"/>
        <v>80.999200000000002</v>
      </c>
      <c r="H530" s="77">
        <f t="shared" si="36"/>
        <v>81</v>
      </c>
    </row>
    <row r="531" spans="1:8">
      <c r="A531" s="77" t="s">
        <v>2227</v>
      </c>
      <c r="B531" s="249">
        <v>81.19</v>
      </c>
      <c r="C531" s="248">
        <f>ROUND(B531*(1-'Disc Dep'!$C$118),2)</f>
        <v>64.95</v>
      </c>
      <c r="D531" s="248">
        <f>ROUND(C531*(1+'Adaos Distr'!$C$118),2)</f>
        <v>64.95</v>
      </c>
      <c r="E531" s="248">
        <f>ROUND(D531*(1+'Adaos RESELLER'!$C$118),2)</f>
        <v>64.95</v>
      </c>
      <c r="F531" s="248">
        <f>IF(Select!$E$23=1,C531,IF(Select!$E$23=2,D531,IF(Select!$E$23=3,E531)))</f>
        <v>64.95</v>
      </c>
      <c r="G531" s="77">
        <f t="shared" si="37"/>
        <v>83.625699999999995</v>
      </c>
      <c r="H531" s="77">
        <f t="shared" si="36"/>
        <v>83.63</v>
      </c>
    </row>
    <row r="532" spans="1:8">
      <c r="A532" s="77" t="s">
        <v>2228</v>
      </c>
      <c r="B532" s="249">
        <v>91.38</v>
      </c>
      <c r="C532" s="248">
        <f>ROUND(B532*(1-'Disc Dep'!$C$118),2)</f>
        <v>73.099999999999994</v>
      </c>
      <c r="D532" s="248">
        <f>ROUND(C532*(1+'Adaos Distr'!$C$118),2)</f>
        <v>73.099999999999994</v>
      </c>
      <c r="E532" s="248">
        <f>ROUND(D532*(1+'Adaos RESELLER'!$C$118),2)</f>
        <v>73.099999999999994</v>
      </c>
      <c r="F532" s="248">
        <f>IF(Select!$E$23=1,C532,IF(Select!$E$23=2,D532,IF(Select!$E$23=3,E532)))</f>
        <v>73.099999999999994</v>
      </c>
      <c r="G532" s="77">
        <f t="shared" si="37"/>
        <v>94.121399999999994</v>
      </c>
      <c r="H532" s="77">
        <f t="shared" si="36"/>
        <v>94.12</v>
      </c>
    </row>
    <row r="533" spans="1:8">
      <c r="C533" s="248">
        <f>ROUND(B533*(1-'Disc Dep'!$C$118),2)</f>
        <v>0</v>
      </c>
      <c r="D533" s="248">
        <f>ROUND(C533*(1+'Adaos Distr'!$C$118),2)</f>
        <v>0</v>
      </c>
      <c r="E533" s="248">
        <f>ROUND(D533*(1+'Adaos RESELLER'!$C$118),2)</f>
        <v>0</v>
      </c>
      <c r="F533" s="248">
        <f>IF(Select!$E$23=1,C533,IF(Select!$E$23=2,D533,IF(Select!$E$23=3,E533)))</f>
        <v>0</v>
      </c>
      <c r="G533" s="77">
        <f t="shared" si="37"/>
        <v>0</v>
      </c>
      <c r="H533" s="77">
        <f t="shared" si="36"/>
        <v>0</v>
      </c>
    </row>
    <row r="534" spans="1:8">
      <c r="A534" s="147" t="s">
        <v>2377</v>
      </c>
      <c r="B534" s="249">
        <v>10.37</v>
      </c>
      <c r="C534" s="248">
        <f>ROUND(B534*(1-'Disc Dep'!$C$120),2)</f>
        <v>7.67</v>
      </c>
      <c r="D534" s="248">
        <f>ROUND(C534*(1+'Adaos Distr'!$C$120),2)</f>
        <v>7.67</v>
      </c>
      <c r="E534" s="248">
        <f>ROUND(D534*(1+'Adaos RESELLER'!$C$120),2)</f>
        <v>7.67</v>
      </c>
      <c r="F534" s="248">
        <f>IF(Select!$E$23=1,C534,IF(Select!$E$23=2,D534,IF(Select!$E$23=3,E534)))</f>
        <v>7.67</v>
      </c>
      <c r="G534" s="77">
        <f t="shared" si="37"/>
        <v>10.681099999999999</v>
      </c>
      <c r="H534" s="77">
        <f t="shared" si="36"/>
        <v>10.68</v>
      </c>
    </row>
    <row r="535" spans="1:8">
      <c r="A535" s="147" t="s">
        <v>2378</v>
      </c>
      <c r="B535" s="249">
        <v>12.03</v>
      </c>
      <c r="C535" s="248">
        <f>ROUND(B535*(1-'Disc Dep'!$C$120),2)</f>
        <v>8.9</v>
      </c>
      <c r="D535" s="248">
        <f>ROUND(C535*(1+'Adaos Distr'!$C$120),2)</f>
        <v>8.9</v>
      </c>
      <c r="E535" s="248">
        <f>ROUND(D535*(1+'Adaos RESELLER'!$C$120),2)</f>
        <v>8.9</v>
      </c>
      <c r="F535" s="248">
        <f>IF(Select!$E$23=1,C535,IF(Select!$E$23=2,D535,IF(Select!$E$23=3,E535)))</f>
        <v>8.9</v>
      </c>
      <c r="G535" s="77">
        <f t="shared" ref="G535:G591" si="38">B535*1.03</f>
        <v>12.3909</v>
      </c>
      <c r="H535" s="77">
        <f t="shared" si="36"/>
        <v>12.39</v>
      </c>
    </row>
    <row r="536" spans="1:8">
      <c r="A536" s="147" t="s">
        <v>2403</v>
      </c>
      <c r="B536" s="249">
        <v>11.09</v>
      </c>
      <c r="C536" s="248">
        <f>ROUND(B536*(1-'Disc Dep'!$C$120),2)</f>
        <v>8.2100000000000009</v>
      </c>
      <c r="D536" s="248">
        <f>ROUND(C536*(1+'Adaos Distr'!$C$120),2)</f>
        <v>8.2100000000000009</v>
      </c>
      <c r="E536" s="248">
        <f>ROUND(D536*(1+'Adaos RESELLER'!$C$120),2)</f>
        <v>8.2100000000000009</v>
      </c>
      <c r="F536" s="248">
        <f>IF(Select!$E$23=1,C536,IF(Select!$E$23=2,D536,IF(Select!$E$23=3,E536)))</f>
        <v>8.2100000000000009</v>
      </c>
      <c r="G536" s="77">
        <f t="shared" si="38"/>
        <v>11.422700000000001</v>
      </c>
      <c r="H536" s="77">
        <f t="shared" si="36"/>
        <v>11.42</v>
      </c>
    </row>
    <row r="537" spans="1:8" s="77" customFormat="1">
      <c r="A537" s="147" t="s">
        <v>2413</v>
      </c>
      <c r="B537" s="249">
        <v>11.09</v>
      </c>
      <c r="C537" s="248">
        <f>ROUND(B537*(1-'Disc Dep'!$C$120),2)</f>
        <v>8.2100000000000009</v>
      </c>
      <c r="D537" s="248">
        <f>ROUND(C537*(1+'Adaos Distr'!$C$120),2)</f>
        <v>8.2100000000000009</v>
      </c>
      <c r="E537" s="248">
        <f>ROUND(D537*(1+'Adaos RESELLER'!$C$120),2)</f>
        <v>8.2100000000000009</v>
      </c>
      <c r="F537" s="248">
        <f>IF(Select!$E$23=1,C537,IF(Select!$E$23=2,D537,IF(Select!$E$23=3,E537)))</f>
        <v>8.2100000000000009</v>
      </c>
      <c r="G537" s="77">
        <f t="shared" si="38"/>
        <v>11.422700000000001</v>
      </c>
      <c r="H537" s="77">
        <f t="shared" si="36"/>
        <v>11.42</v>
      </c>
    </row>
    <row r="538" spans="1:8" s="77" customFormat="1">
      <c r="A538" s="147" t="s">
        <v>2414</v>
      </c>
      <c r="B538" s="249">
        <v>11.09</v>
      </c>
      <c r="C538" s="248">
        <f>ROUND(B538*(1-'Disc Dep'!$C$120),2)</f>
        <v>8.2100000000000009</v>
      </c>
      <c r="D538" s="248">
        <f>ROUND(C538*(1+'Adaos Distr'!$C$120),2)</f>
        <v>8.2100000000000009</v>
      </c>
      <c r="E538" s="248">
        <f>ROUND(D538*(1+'Adaos RESELLER'!$C$120),2)</f>
        <v>8.2100000000000009</v>
      </c>
      <c r="F538" s="248">
        <f>IF(Select!$E$23=1,C538,IF(Select!$E$23=2,D538,IF(Select!$E$23=3,E538)))</f>
        <v>8.2100000000000009</v>
      </c>
      <c r="G538" s="77">
        <f t="shared" si="38"/>
        <v>11.422700000000001</v>
      </c>
      <c r="H538" s="77">
        <f t="shared" si="36"/>
        <v>11.42</v>
      </c>
    </row>
    <row r="539" spans="1:8" s="77" customFormat="1">
      <c r="A539" s="147" t="s">
        <v>2415</v>
      </c>
      <c r="B539" s="249">
        <v>11.09</v>
      </c>
      <c r="C539" s="248">
        <f>ROUND(B539*(1-'Disc Dep'!$C$120),2)</f>
        <v>8.2100000000000009</v>
      </c>
      <c r="D539" s="248">
        <f>ROUND(C539*(1+'Adaos Distr'!$C$120),2)</f>
        <v>8.2100000000000009</v>
      </c>
      <c r="E539" s="248">
        <f>ROUND(D539*(1+'Adaos RESELLER'!$C$120),2)</f>
        <v>8.2100000000000009</v>
      </c>
      <c r="F539" s="248">
        <f>IF(Select!$E$23=1,C539,IF(Select!$E$23=2,D539,IF(Select!$E$23=3,E539)))</f>
        <v>8.2100000000000009</v>
      </c>
      <c r="G539" s="77">
        <f t="shared" si="38"/>
        <v>11.422700000000001</v>
      </c>
      <c r="H539" s="77">
        <f t="shared" si="36"/>
        <v>11.42</v>
      </c>
    </row>
    <row r="540" spans="1:8">
      <c r="A540" s="147" t="s">
        <v>2408</v>
      </c>
      <c r="B540" s="249">
        <v>10.37</v>
      </c>
      <c r="C540" s="248">
        <f>ROUND(B540*(1-'Disc Dep'!$C$120),2)</f>
        <v>7.67</v>
      </c>
      <c r="D540" s="248">
        <f>ROUND(C540*(1+'Adaos Distr'!$C$120),2)</f>
        <v>7.67</v>
      </c>
      <c r="E540" s="248">
        <f>ROUND(D540*(1+'Adaos RESELLER'!$C$120),2)</f>
        <v>7.67</v>
      </c>
      <c r="F540" s="248">
        <f>IF(Select!$E$23=1,C540,IF(Select!$E$23=2,D540,IF(Select!$E$23=3,E540)))</f>
        <v>7.67</v>
      </c>
      <c r="G540" s="77">
        <f t="shared" si="38"/>
        <v>10.681099999999999</v>
      </c>
      <c r="H540" s="77">
        <f t="shared" si="36"/>
        <v>10.68</v>
      </c>
    </row>
    <row r="541" spans="1:8" s="77" customFormat="1">
      <c r="A541" s="147" t="s">
        <v>2416</v>
      </c>
      <c r="B541" s="249">
        <v>10.37</v>
      </c>
      <c r="C541" s="248">
        <f>ROUND(B541*(1-'Disc Dep'!$C$120),2)</f>
        <v>7.67</v>
      </c>
      <c r="D541" s="248">
        <f>ROUND(C541*(1+'Adaos Distr'!$C$120),2)</f>
        <v>7.67</v>
      </c>
      <c r="E541" s="248">
        <f>ROUND(D541*(1+'Adaos RESELLER'!$C$120),2)</f>
        <v>7.67</v>
      </c>
      <c r="F541" s="248">
        <f>IF(Select!$E$23=1,C541,IF(Select!$E$23=2,D541,IF(Select!$E$23=3,E541)))</f>
        <v>7.67</v>
      </c>
      <c r="G541" s="77">
        <f t="shared" si="38"/>
        <v>10.681099999999999</v>
      </c>
      <c r="H541" s="77">
        <f t="shared" si="36"/>
        <v>10.68</v>
      </c>
    </row>
    <row r="542" spans="1:8" s="77" customFormat="1">
      <c r="A542" s="147" t="s">
        <v>2417</v>
      </c>
      <c r="B542" s="249">
        <v>10.37</v>
      </c>
      <c r="C542" s="248">
        <f>ROUND(B542*(1-'Disc Dep'!$C$120),2)</f>
        <v>7.67</v>
      </c>
      <c r="D542" s="248">
        <f>ROUND(C542*(1+'Adaos Distr'!$C$120),2)</f>
        <v>7.67</v>
      </c>
      <c r="E542" s="248">
        <f>ROUND(D542*(1+'Adaos RESELLER'!$C$120),2)</f>
        <v>7.67</v>
      </c>
      <c r="F542" s="248">
        <f>IF(Select!$E$23=1,C542,IF(Select!$E$23=2,D542,IF(Select!$E$23=3,E542)))</f>
        <v>7.67</v>
      </c>
      <c r="G542" s="77">
        <f t="shared" si="38"/>
        <v>10.681099999999999</v>
      </c>
      <c r="H542" s="77">
        <f t="shared" si="36"/>
        <v>10.68</v>
      </c>
    </row>
    <row r="543" spans="1:8" s="77" customFormat="1">
      <c r="A543" s="147" t="s">
        <v>2418</v>
      </c>
      <c r="B543" s="249">
        <v>10.37</v>
      </c>
      <c r="C543" s="248">
        <f>ROUND(B543*(1-'Disc Dep'!$C$120),2)</f>
        <v>7.67</v>
      </c>
      <c r="D543" s="248">
        <f>ROUND(C543*(1+'Adaos Distr'!$C$120),2)</f>
        <v>7.67</v>
      </c>
      <c r="E543" s="248">
        <f>ROUND(D543*(1+'Adaos RESELLER'!$C$120),2)</f>
        <v>7.67</v>
      </c>
      <c r="F543" s="248">
        <f>IF(Select!$E$23=1,C543,IF(Select!$E$23=2,D543,IF(Select!$E$23=3,E543)))</f>
        <v>7.67</v>
      </c>
      <c r="G543" s="77">
        <f t="shared" si="38"/>
        <v>10.681099999999999</v>
      </c>
      <c r="H543" s="77">
        <f t="shared" si="36"/>
        <v>10.68</v>
      </c>
    </row>
    <row r="544" spans="1:8">
      <c r="A544" s="147" t="s">
        <v>2379</v>
      </c>
      <c r="B544" s="249">
        <v>10.78</v>
      </c>
      <c r="C544" s="248">
        <f>ROUND(B544*(1-'Disc Dep'!$C$120),2)</f>
        <v>7.98</v>
      </c>
      <c r="D544" s="248">
        <f>ROUND(C544*(1+'Adaos Distr'!$C$120),2)</f>
        <v>7.98</v>
      </c>
      <c r="E544" s="248">
        <f>ROUND(D544*(1+'Adaos RESELLER'!$C$120),2)</f>
        <v>7.98</v>
      </c>
      <c r="F544" s="248">
        <f>IF(Select!$E$23=1,C544,IF(Select!$E$23=2,D544,IF(Select!$E$23=3,E544)))</f>
        <v>7.98</v>
      </c>
      <c r="G544" s="77">
        <f t="shared" si="38"/>
        <v>11.103399999999999</v>
      </c>
      <c r="H544" s="77">
        <f t="shared" si="36"/>
        <v>11.1</v>
      </c>
    </row>
    <row r="545" spans="1:8">
      <c r="A545" s="147" t="s">
        <v>2381</v>
      </c>
      <c r="B545" s="249">
        <v>10.37</v>
      </c>
      <c r="C545" s="248">
        <f>ROUND(B545*(1-'Disc Dep'!$C$120),2)</f>
        <v>7.67</v>
      </c>
      <c r="D545" s="248">
        <f>ROUND(C545*(1+'Adaos Distr'!$C$120),2)</f>
        <v>7.67</v>
      </c>
      <c r="E545" s="248">
        <f>ROUND(D545*(1+'Adaos RESELLER'!$C$120),2)</f>
        <v>7.67</v>
      </c>
      <c r="F545" s="248">
        <f>IF(Select!$E$23=1,C545,IF(Select!$E$23=2,D545,IF(Select!$E$23=3,E545)))</f>
        <v>7.67</v>
      </c>
      <c r="G545" s="77">
        <f t="shared" si="38"/>
        <v>10.681099999999999</v>
      </c>
      <c r="H545" s="77">
        <f t="shared" si="36"/>
        <v>10.68</v>
      </c>
    </row>
    <row r="546" spans="1:8">
      <c r="A546" s="147" t="s">
        <v>2382</v>
      </c>
      <c r="B546" s="249">
        <v>12.03</v>
      </c>
      <c r="C546" s="248">
        <f>ROUND(B546*(1-'Disc Dep'!$C$120),2)</f>
        <v>8.9</v>
      </c>
      <c r="D546" s="248">
        <f>ROUND(C546*(1+'Adaos Distr'!$C$120),2)</f>
        <v>8.9</v>
      </c>
      <c r="E546" s="248">
        <f>ROUND(D546*(1+'Adaos RESELLER'!$C$120),2)</f>
        <v>8.9</v>
      </c>
      <c r="F546" s="248">
        <f>IF(Select!$E$23=1,C546,IF(Select!$E$23=2,D546,IF(Select!$E$23=3,E546)))</f>
        <v>8.9</v>
      </c>
      <c r="G546" s="77">
        <f t="shared" si="38"/>
        <v>12.3909</v>
      </c>
      <c r="H546" s="77">
        <f t="shared" si="36"/>
        <v>12.39</v>
      </c>
    </row>
    <row r="547" spans="1:8">
      <c r="A547" s="147" t="s">
        <v>2404</v>
      </c>
      <c r="B547" s="249">
        <v>11.09</v>
      </c>
      <c r="C547" s="248">
        <f>ROUND(B547*(1-'Disc Dep'!$C$120),2)</f>
        <v>8.2100000000000009</v>
      </c>
      <c r="D547" s="248">
        <f>ROUND(C547*(1+'Adaos Distr'!$C$120),2)</f>
        <v>8.2100000000000009</v>
      </c>
      <c r="E547" s="248">
        <f>ROUND(D547*(1+'Adaos RESELLER'!$C$120),2)</f>
        <v>8.2100000000000009</v>
      </c>
      <c r="F547" s="248">
        <f>IF(Select!$E$23=1,C547,IF(Select!$E$23=2,D547,IF(Select!$E$23=3,E547)))</f>
        <v>8.2100000000000009</v>
      </c>
      <c r="G547" s="77">
        <f t="shared" si="38"/>
        <v>11.422700000000001</v>
      </c>
      <c r="H547" s="77">
        <f t="shared" si="36"/>
        <v>11.42</v>
      </c>
    </row>
    <row r="548" spans="1:8" s="77" customFormat="1">
      <c r="A548" s="147" t="s">
        <v>2419</v>
      </c>
      <c r="B548" s="249">
        <v>11.09</v>
      </c>
      <c r="C548" s="248">
        <f>ROUND(B548*(1-'Disc Dep'!$C$120),2)</f>
        <v>8.2100000000000009</v>
      </c>
      <c r="D548" s="248">
        <f>ROUND(C548*(1+'Adaos Distr'!$C$120),2)</f>
        <v>8.2100000000000009</v>
      </c>
      <c r="E548" s="248">
        <f>ROUND(D548*(1+'Adaos RESELLER'!$C$120),2)</f>
        <v>8.2100000000000009</v>
      </c>
      <c r="F548" s="248">
        <f>IF(Select!$E$23=1,C548,IF(Select!$E$23=2,D548,IF(Select!$E$23=3,E548)))</f>
        <v>8.2100000000000009</v>
      </c>
      <c r="G548" s="77">
        <f t="shared" si="38"/>
        <v>11.422700000000001</v>
      </c>
      <c r="H548" s="77">
        <f t="shared" si="36"/>
        <v>11.42</v>
      </c>
    </row>
    <row r="549" spans="1:8" s="77" customFormat="1">
      <c r="A549" s="147" t="s">
        <v>2420</v>
      </c>
      <c r="B549" s="249">
        <v>11.09</v>
      </c>
      <c r="C549" s="248">
        <f>ROUND(B549*(1-'Disc Dep'!$C$120),2)</f>
        <v>8.2100000000000009</v>
      </c>
      <c r="D549" s="248">
        <f>ROUND(C549*(1+'Adaos Distr'!$C$120),2)</f>
        <v>8.2100000000000009</v>
      </c>
      <c r="E549" s="248">
        <f>ROUND(D549*(1+'Adaos RESELLER'!$C$120),2)</f>
        <v>8.2100000000000009</v>
      </c>
      <c r="F549" s="248">
        <f>IF(Select!$E$23=1,C549,IF(Select!$E$23=2,D549,IF(Select!$E$23=3,E549)))</f>
        <v>8.2100000000000009</v>
      </c>
      <c r="G549" s="77">
        <f t="shared" si="38"/>
        <v>11.422700000000001</v>
      </c>
      <c r="H549" s="77">
        <f t="shared" si="36"/>
        <v>11.42</v>
      </c>
    </row>
    <row r="550" spans="1:8" s="77" customFormat="1">
      <c r="A550" s="147" t="s">
        <v>2421</v>
      </c>
      <c r="B550" s="249">
        <v>11.09</v>
      </c>
      <c r="C550" s="248">
        <f>ROUND(B550*(1-'Disc Dep'!$C$120),2)</f>
        <v>8.2100000000000009</v>
      </c>
      <c r="D550" s="248">
        <f>ROUND(C550*(1+'Adaos Distr'!$C$120),2)</f>
        <v>8.2100000000000009</v>
      </c>
      <c r="E550" s="248">
        <f>ROUND(D550*(1+'Adaos RESELLER'!$C$120),2)</f>
        <v>8.2100000000000009</v>
      </c>
      <c r="F550" s="248">
        <f>IF(Select!$E$23=1,C550,IF(Select!$E$23=2,D550,IF(Select!$E$23=3,E550)))</f>
        <v>8.2100000000000009</v>
      </c>
      <c r="G550" s="77">
        <f t="shared" si="38"/>
        <v>11.422700000000001</v>
      </c>
      <c r="H550" s="77">
        <f t="shared" si="36"/>
        <v>11.42</v>
      </c>
    </row>
    <row r="551" spans="1:8">
      <c r="A551" s="147" t="s">
        <v>2409</v>
      </c>
      <c r="B551" s="249">
        <v>10.37</v>
      </c>
      <c r="C551" s="248">
        <f>ROUND(B551*(1-'Disc Dep'!$C$120),2)</f>
        <v>7.67</v>
      </c>
      <c r="D551" s="248">
        <f>ROUND(C551*(1+'Adaos Distr'!$C$120),2)</f>
        <v>7.67</v>
      </c>
      <c r="E551" s="248">
        <f>ROUND(D551*(1+'Adaos RESELLER'!$C$120),2)</f>
        <v>7.67</v>
      </c>
      <c r="F551" s="248">
        <f>IF(Select!$E$23=1,C551,IF(Select!$E$23=2,D551,IF(Select!$E$23=3,E551)))</f>
        <v>7.67</v>
      </c>
      <c r="G551" s="77">
        <f t="shared" si="38"/>
        <v>10.681099999999999</v>
      </c>
      <c r="H551" s="77">
        <f t="shared" si="36"/>
        <v>10.68</v>
      </c>
    </row>
    <row r="552" spans="1:8" s="77" customFormat="1">
      <c r="A552" s="147" t="s">
        <v>2422</v>
      </c>
      <c r="B552" s="249">
        <v>10.37</v>
      </c>
      <c r="C552" s="248">
        <f>ROUND(B552*(1-'Disc Dep'!$C$120),2)</f>
        <v>7.67</v>
      </c>
      <c r="D552" s="248">
        <f>ROUND(C552*(1+'Adaos Distr'!$C$120),2)</f>
        <v>7.67</v>
      </c>
      <c r="E552" s="248">
        <f>ROUND(D552*(1+'Adaos RESELLER'!$C$120),2)</f>
        <v>7.67</v>
      </c>
      <c r="F552" s="248">
        <f>IF(Select!$E$23=1,C552,IF(Select!$E$23=2,D552,IF(Select!$E$23=3,E552)))</f>
        <v>7.67</v>
      </c>
      <c r="G552" s="77">
        <f t="shared" si="38"/>
        <v>10.681099999999999</v>
      </c>
      <c r="H552" s="77">
        <f t="shared" si="36"/>
        <v>10.68</v>
      </c>
    </row>
    <row r="553" spans="1:8" s="77" customFormat="1">
      <c r="A553" s="147" t="s">
        <v>2423</v>
      </c>
      <c r="B553" s="249">
        <v>10.37</v>
      </c>
      <c r="C553" s="248">
        <f>ROUND(B553*(1-'Disc Dep'!$C$120),2)</f>
        <v>7.67</v>
      </c>
      <c r="D553" s="248">
        <f>ROUND(C553*(1+'Adaos Distr'!$C$120),2)</f>
        <v>7.67</v>
      </c>
      <c r="E553" s="248">
        <f>ROUND(D553*(1+'Adaos RESELLER'!$C$120),2)</f>
        <v>7.67</v>
      </c>
      <c r="F553" s="248">
        <f>IF(Select!$E$23=1,C553,IF(Select!$E$23=2,D553,IF(Select!$E$23=3,E553)))</f>
        <v>7.67</v>
      </c>
      <c r="G553" s="77">
        <f t="shared" si="38"/>
        <v>10.681099999999999</v>
      </c>
      <c r="H553" s="77">
        <f t="shared" si="36"/>
        <v>10.68</v>
      </c>
    </row>
    <row r="554" spans="1:8" s="77" customFormat="1">
      <c r="A554" s="147" t="s">
        <v>2424</v>
      </c>
      <c r="B554" s="249">
        <v>10.37</v>
      </c>
      <c r="C554" s="248">
        <f>ROUND(B554*(1-'Disc Dep'!$C$120),2)</f>
        <v>7.67</v>
      </c>
      <c r="D554" s="248">
        <f>ROUND(C554*(1+'Adaos Distr'!$C$120),2)</f>
        <v>7.67</v>
      </c>
      <c r="E554" s="248">
        <f>ROUND(D554*(1+'Adaos RESELLER'!$C$120),2)</f>
        <v>7.67</v>
      </c>
      <c r="F554" s="248">
        <f>IF(Select!$E$23=1,C554,IF(Select!$E$23=2,D554,IF(Select!$E$23=3,E554)))</f>
        <v>7.67</v>
      </c>
      <c r="G554" s="77">
        <f t="shared" si="38"/>
        <v>10.681099999999999</v>
      </c>
      <c r="H554" s="77">
        <f t="shared" si="36"/>
        <v>10.68</v>
      </c>
    </row>
    <row r="555" spans="1:8">
      <c r="A555" s="147" t="s">
        <v>2383</v>
      </c>
      <c r="B555" s="249">
        <v>10.78</v>
      </c>
      <c r="C555" s="248">
        <f>ROUND(B555*(1-'Disc Dep'!$C$120),2)</f>
        <v>7.98</v>
      </c>
      <c r="D555" s="248">
        <f>ROUND(C555*(1+'Adaos Distr'!$C$120),2)</f>
        <v>7.98</v>
      </c>
      <c r="E555" s="248">
        <f>ROUND(D555*(1+'Adaos RESELLER'!$C$120),2)</f>
        <v>7.98</v>
      </c>
      <c r="F555" s="248">
        <f>IF(Select!$E$23=1,C555,IF(Select!$E$23=2,D555,IF(Select!$E$23=3,E555)))</f>
        <v>7.98</v>
      </c>
      <c r="G555" s="77">
        <f t="shared" si="38"/>
        <v>11.103399999999999</v>
      </c>
      <c r="H555" s="77">
        <f t="shared" si="36"/>
        <v>11.1</v>
      </c>
    </row>
    <row r="556" spans="1:8">
      <c r="A556" s="147" t="s">
        <v>2384</v>
      </c>
      <c r="B556" s="249">
        <v>10.7</v>
      </c>
      <c r="C556" s="248">
        <f>ROUND(B556*(1-'Disc Dep'!$C$120),2)</f>
        <v>7.92</v>
      </c>
      <c r="D556" s="248">
        <f>ROUND(C556*(1+'Adaos Distr'!$C$120),2)</f>
        <v>7.92</v>
      </c>
      <c r="E556" s="248">
        <f>ROUND(D556*(1+'Adaos RESELLER'!$C$120),2)</f>
        <v>7.92</v>
      </c>
      <c r="F556" s="248">
        <f>IF(Select!$E$23=1,C556,IF(Select!$E$23=2,D556,IF(Select!$E$23=3,E556)))</f>
        <v>7.92</v>
      </c>
      <c r="G556" s="77">
        <f t="shared" si="38"/>
        <v>11.020999999999999</v>
      </c>
      <c r="H556" s="77">
        <f t="shared" si="36"/>
        <v>11.02</v>
      </c>
    </row>
    <row r="557" spans="1:8">
      <c r="A557" s="147" t="s">
        <v>2385</v>
      </c>
      <c r="B557" s="249">
        <v>12.36</v>
      </c>
      <c r="C557" s="248">
        <f>ROUND(B557*(1-'Disc Dep'!$C$120),2)</f>
        <v>9.15</v>
      </c>
      <c r="D557" s="248">
        <f>ROUND(C557*(1+'Adaos Distr'!$C$120),2)</f>
        <v>9.15</v>
      </c>
      <c r="E557" s="248">
        <f>ROUND(D557*(1+'Adaos RESELLER'!$C$120),2)</f>
        <v>9.15</v>
      </c>
      <c r="F557" s="248">
        <f>IF(Select!$E$23=1,C557,IF(Select!$E$23=2,D557,IF(Select!$E$23=3,E557)))</f>
        <v>9.15</v>
      </c>
      <c r="G557" s="77">
        <f t="shared" si="38"/>
        <v>12.7308</v>
      </c>
      <c r="H557" s="77">
        <f t="shared" si="36"/>
        <v>12.73</v>
      </c>
    </row>
    <row r="558" spans="1:8">
      <c r="A558" s="147" t="s">
        <v>2405</v>
      </c>
      <c r="B558" s="249">
        <v>11.44</v>
      </c>
      <c r="C558" s="248">
        <f>ROUND(B558*(1-'Disc Dep'!$C$120),2)</f>
        <v>8.4700000000000006</v>
      </c>
      <c r="D558" s="248">
        <f>ROUND(C558*(1+'Adaos Distr'!$C$120),2)</f>
        <v>8.4700000000000006</v>
      </c>
      <c r="E558" s="248">
        <f>ROUND(D558*(1+'Adaos RESELLER'!$C$120),2)</f>
        <v>8.4700000000000006</v>
      </c>
      <c r="F558" s="248">
        <f>IF(Select!$E$23=1,C558,IF(Select!$E$23=2,D558,IF(Select!$E$23=3,E558)))</f>
        <v>8.4700000000000006</v>
      </c>
      <c r="G558" s="77">
        <f t="shared" si="38"/>
        <v>11.783199999999999</v>
      </c>
      <c r="H558" s="77">
        <f t="shared" si="36"/>
        <v>11.78</v>
      </c>
    </row>
    <row r="559" spans="1:8" s="77" customFormat="1">
      <c r="A559" s="147" t="s">
        <v>2425</v>
      </c>
      <c r="B559" s="249">
        <v>11.44</v>
      </c>
      <c r="C559" s="248">
        <f>ROUND(B559*(1-'Disc Dep'!$C$120),2)</f>
        <v>8.4700000000000006</v>
      </c>
      <c r="D559" s="248">
        <f>ROUND(C559*(1+'Adaos Distr'!$C$120),2)</f>
        <v>8.4700000000000006</v>
      </c>
      <c r="E559" s="248">
        <f>ROUND(D559*(1+'Adaos RESELLER'!$C$120),2)</f>
        <v>8.4700000000000006</v>
      </c>
      <c r="F559" s="248">
        <f>IF(Select!$E$23=1,C559,IF(Select!$E$23=2,D559,IF(Select!$E$23=3,E559)))</f>
        <v>8.4700000000000006</v>
      </c>
      <c r="G559" s="77">
        <f t="shared" si="38"/>
        <v>11.783199999999999</v>
      </c>
      <c r="H559" s="77">
        <f t="shared" si="36"/>
        <v>11.78</v>
      </c>
    </row>
    <row r="560" spans="1:8" s="77" customFormat="1">
      <c r="A560" s="147" t="s">
        <v>2426</v>
      </c>
      <c r="B560" s="249">
        <v>11.44</v>
      </c>
      <c r="C560" s="248">
        <f>ROUND(B560*(1-'Disc Dep'!$C$120),2)</f>
        <v>8.4700000000000006</v>
      </c>
      <c r="D560" s="248">
        <f>ROUND(C560*(1+'Adaos Distr'!$C$120),2)</f>
        <v>8.4700000000000006</v>
      </c>
      <c r="E560" s="248">
        <f>ROUND(D560*(1+'Adaos RESELLER'!$C$120),2)</f>
        <v>8.4700000000000006</v>
      </c>
      <c r="F560" s="248">
        <f>IF(Select!$E$23=1,C560,IF(Select!$E$23=2,D560,IF(Select!$E$23=3,E560)))</f>
        <v>8.4700000000000006</v>
      </c>
      <c r="G560" s="77">
        <f t="shared" si="38"/>
        <v>11.783199999999999</v>
      </c>
      <c r="H560" s="77">
        <f t="shared" si="36"/>
        <v>11.78</v>
      </c>
    </row>
    <row r="561" spans="1:8" s="77" customFormat="1">
      <c r="A561" s="147" t="s">
        <v>2427</v>
      </c>
      <c r="B561" s="249">
        <v>11.44</v>
      </c>
      <c r="C561" s="248">
        <f>ROUND(B561*(1-'Disc Dep'!$C$120),2)</f>
        <v>8.4700000000000006</v>
      </c>
      <c r="D561" s="248">
        <f>ROUND(C561*(1+'Adaos Distr'!$C$120),2)</f>
        <v>8.4700000000000006</v>
      </c>
      <c r="E561" s="248">
        <f>ROUND(D561*(1+'Adaos RESELLER'!$C$120),2)</f>
        <v>8.4700000000000006</v>
      </c>
      <c r="F561" s="248">
        <f>IF(Select!$E$23=1,C561,IF(Select!$E$23=2,D561,IF(Select!$E$23=3,E561)))</f>
        <v>8.4700000000000006</v>
      </c>
      <c r="G561" s="77">
        <f t="shared" si="38"/>
        <v>11.783199999999999</v>
      </c>
      <c r="H561" s="77">
        <f t="shared" si="36"/>
        <v>11.78</v>
      </c>
    </row>
    <row r="562" spans="1:8">
      <c r="A562" s="147" t="s">
        <v>2410</v>
      </c>
      <c r="B562" s="249">
        <v>10.7</v>
      </c>
      <c r="C562" s="248">
        <f>ROUND(B562*(1-'Disc Dep'!$C$120),2)</f>
        <v>7.92</v>
      </c>
      <c r="D562" s="248">
        <f>ROUND(C562*(1+'Adaos Distr'!$C$120),2)</f>
        <v>7.92</v>
      </c>
      <c r="E562" s="248">
        <f>ROUND(D562*(1+'Adaos RESELLER'!$C$120),2)</f>
        <v>7.92</v>
      </c>
      <c r="F562" s="248">
        <f>IF(Select!$E$23=1,C562,IF(Select!$E$23=2,D562,IF(Select!$E$23=3,E562)))</f>
        <v>7.92</v>
      </c>
      <c r="G562" s="77">
        <f t="shared" si="38"/>
        <v>11.020999999999999</v>
      </c>
      <c r="H562" s="77">
        <f t="shared" si="36"/>
        <v>11.02</v>
      </c>
    </row>
    <row r="563" spans="1:8" s="77" customFormat="1">
      <c r="A563" s="147" t="s">
        <v>2428</v>
      </c>
      <c r="B563" s="249">
        <v>10.7</v>
      </c>
      <c r="C563" s="248">
        <f>ROUND(B563*(1-'Disc Dep'!$C$120),2)</f>
        <v>7.92</v>
      </c>
      <c r="D563" s="248">
        <f>ROUND(C563*(1+'Adaos Distr'!$C$120),2)</f>
        <v>7.92</v>
      </c>
      <c r="E563" s="248">
        <f>ROUND(D563*(1+'Adaos RESELLER'!$C$120),2)</f>
        <v>7.92</v>
      </c>
      <c r="F563" s="248">
        <f>IF(Select!$E$23=1,C563,IF(Select!$E$23=2,D563,IF(Select!$E$23=3,E563)))</f>
        <v>7.92</v>
      </c>
      <c r="G563" s="77">
        <f t="shared" si="38"/>
        <v>11.020999999999999</v>
      </c>
      <c r="H563" s="77">
        <f t="shared" ref="H563:H628" si="39">ROUND(G563,2)</f>
        <v>11.02</v>
      </c>
    </row>
    <row r="564" spans="1:8" s="77" customFormat="1">
      <c r="A564" s="147" t="s">
        <v>2429</v>
      </c>
      <c r="B564" s="249">
        <v>10.7</v>
      </c>
      <c r="C564" s="248">
        <f>ROUND(B564*(1-'Disc Dep'!$C$120),2)</f>
        <v>7.92</v>
      </c>
      <c r="D564" s="248">
        <f>ROUND(C564*(1+'Adaos Distr'!$C$120),2)</f>
        <v>7.92</v>
      </c>
      <c r="E564" s="248">
        <f>ROUND(D564*(1+'Adaos RESELLER'!$C$120),2)</f>
        <v>7.92</v>
      </c>
      <c r="F564" s="248">
        <f>IF(Select!$E$23=1,C564,IF(Select!$E$23=2,D564,IF(Select!$E$23=3,E564)))</f>
        <v>7.92</v>
      </c>
      <c r="G564" s="77">
        <f t="shared" si="38"/>
        <v>11.020999999999999</v>
      </c>
      <c r="H564" s="77">
        <f t="shared" si="39"/>
        <v>11.02</v>
      </c>
    </row>
    <row r="565" spans="1:8" s="77" customFormat="1">
      <c r="A565" s="147" t="s">
        <v>2430</v>
      </c>
      <c r="B565" s="249">
        <v>10.7</v>
      </c>
      <c r="C565" s="248">
        <f>ROUND(B565*(1-'Disc Dep'!$C$120),2)</f>
        <v>7.92</v>
      </c>
      <c r="D565" s="248">
        <f>ROUND(C565*(1+'Adaos Distr'!$C$120),2)</f>
        <v>7.92</v>
      </c>
      <c r="E565" s="248">
        <f>ROUND(D565*(1+'Adaos RESELLER'!$C$120),2)</f>
        <v>7.92</v>
      </c>
      <c r="F565" s="248">
        <f>IF(Select!$E$23=1,C565,IF(Select!$E$23=2,D565,IF(Select!$E$23=3,E565)))</f>
        <v>7.92</v>
      </c>
      <c r="G565" s="77">
        <f t="shared" si="38"/>
        <v>11.020999999999999</v>
      </c>
      <c r="H565" s="77">
        <f t="shared" si="39"/>
        <v>11.02</v>
      </c>
    </row>
    <row r="566" spans="1:8">
      <c r="A566" s="147" t="s">
        <v>2386</v>
      </c>
      <c r="B566" s="249">
        <v>11.02</v>
      </c>
      <c r="C566" s="248">
        <f>ROUND(B566*(1-'Disc Dep'!$C$120),2)</f>
        <v>8.15</v>
      </c>
      <c r="D566" s="248">
        <f>ROUND(C566*(1+'Adaos Distr'!$C$120),2)</f>
        <v>8.15</v>
      </c>
      <c r="E566" s="248">
        <f>ROUND(D566*(1+'Adaos RESELLER'!$C$120),2)</f>
        <v>8.15</v>
      </c>
      <c r="F566" s="248">
        <f>IF(Select!$E$23=1,C566,IF(Select!$E$23=2,D566,IF(Select!$E$23=3,E566)))</f>
        <v>8.15</v>
      </c>
      <c r="G566" s="77">
        <f t="shared" si="38"/>
        <v>11.3506</v>
      </c>
      <c r="H566" s="77">
        <f t="shared" si="39"/>
        <v>11.35</v>
      </c>
    </row>
    <row r="567" spans="1:8">
      <c r="A567" s="147" t="s">
        <v>2387</v>
      </c>
      <c r="B567" s="249">
        <v>14.54</v>
      </c>
      <c r="C567" s="248">
        <f>ROUND(B567*(1-'Disc Dep'!$C$120),2)</f>
        <v>10.76</v>
      </c>
      <c r="D567" s="248">
        <f>ROUND(C567*(1+'Adaos Distr'!$C$120),2)</f>
        <v>10.76</v>
      </c>
      <c r="E567" s="248">
        <f>ROUND(D567*(1+'Adaos RESELLER'!$C$120),2)</f>
        <v>10.76</v>
      </c>
      <c r="F567" s="248">
        <f>IF(Select!$E$23=1,C567,IF(Select!$E$23=2,D567,IF(Select!$E$23=3,E567)))</f>
        <v>10.76</v>
      </c>
      <c r="G567" s="77">
        <f t="shared" si="38"/>
        <v>14.976199999999999</v>
      </c>
      <c r="H567" s="77">
        <f t="shared" si="39"/>
        <v>14.98</v>
      </c>
    </row>
    <row r="568" spans="1:8">
      <c r="A568" s="147" t="s">
        <v>2388</v>
      </c>
      <c r="B568" s="249">
        <v>16.2</v>
      </c>
      <c r="C568" s="248">
        <f>ROUND(B568*(1-'Disc Dep'!$C$120),2)</f>
        <v>11.99</v>
      </c>
      <c r="D568" s="248">
        <f>ROUND(C568*(1+'Adaos Distr'!$C$120),2)</f>
        <v>11.99</v>
      </c>
      <c r="E568" s="248">
        <f>ROUND(D568*(1+'Adaos RESELLER'!$C$120),2)</f>
        <v>11.99</v>
      </c>
      <c r="F568" s="248">
        <f>IF(Select!$E$23=1,C568,IF(Select!$E$23=2,D568,IF(Select!$E$23=3,E568)))</f>
        <v>11.99</v>
      </c>
      <c r="G568" s="77">
        <f t="shared" si="38"/>
        <v>16.686</v>
      </c>
      <c r="H568" s="77">
        <f t="shared" si="39"/>
        <v>16.690000000000001</v>
      </c>
    </row>
    <row r="569" spans="1:8">
      <c r="A569" s="147" t="s">
        <v>2406</v>
      </c>
      <c r="B569" s="249">
        <v>15.56</v>
      </c>
      <c r="C569" s="248">
        <f>ROUND(B569*(1-'Disc Dep'!$C$120),2)</f>
        <v>11.51</v>
      </c>
      <c r="D569" s="248">
        <f>ROUND(C569*(1+'Adaos Distr'!$C$120),2)</f>
        <v>11.51</v>
      </c>
      <c r="E569" s="248">
        <f>ROUND(D569*(1+'Adaos RESELLER'!$C$120),2)</f>
        <v>11.51</v>
      </c>
      <c r="F569" s="248">
        <f>IF(Select!$E$23=1,C569,IF(Select!$E$23=2,D569,IF(Select!$E$23=3,E569)))</f>
        <v>11.51</v>
      </c>
      <c r="G569" s="77">
        <f t="shared" si="38"/>
        <v>16.026800000000001</v>
      </c>
      <c r="H569" s="77">
        <f t="shared" si="39"/>
        <v>16.03</v>
      </c>
    </row>
    <row r="570" spans="1:8" s="77" customFormat="1">
      <c r="A570" s="147" t="s">
        <v>2431</v>
      </c>
      <c r="B570" s="249">
        <v>15.56</v>
      </c>
      <c r="C570" s="248">
        <f>ROUND(B570*(1-'Disc Dep'!$C$120),2)</f>
        <v>11.51</v>
      </c>
      <c r="D570" s="248">
        <f>ROUND(C570*(1+'Adaos Distr'!$C$120),2)</f>
        <v>11.51</v>
      </c>
      <c r="E570" s="248">
        <f>ROUND(D570*(1+'Adaos RESELLER'!$C$120),2)</f>
        <v>11.51</v>
      </c>
      <c r="F570" s="248">
        <f>IF(Select!$E$23=1,C570,IF(Select!$E$23=2,D570,IF(Select!$E$23=3,E570)))</f>
        <v>11.51</v>
      </c>
      <c r="G570" s="77">
        <f t="shared" si="38"/>
        <v>16.026800000000001</v>
      </c>
      <c r="H570" s="77">
        <f t="shared" si="39"/>
        <v>16.03</v>
      </c>
    </row>
    <row r="571" spans="1:8" s="77" customFormat="1">
      <c r="A571" s="147" t="s">
        <v>2432</v>
      </c>
      <c r="B571" s="249">
        <v>15.56</v>
      </c>
      <c r="C571" s="248">
        <f>ROUND(B571*(1-'Disc Dep'!$C$120),2)</f>
        <v>11.51</v>
      </c>
      <c r="D571" s="248">
        <f>ROUND(C571*(1+'Adaos Distr'!$C$120),2)</f>
        <v>11.51</v>
      </c>
      <c r="E571" s="248">
        <f>ROUND(D571*(1+'Adaos RESELLER'!$C$120),2)</f>
        <v>11.51</v>
      </c>
      <c r="F571" s="248">
        <f>IF(Select!$E$23=1,C571,IF(Select!$E$23=2,D571,IF(Select!$E$23=3,E571)))</f>
        <v>11.51</v>
      </c>
      <c r="G571" s="77">
        <f t="shared" si="38"/>
        <v>16.026800000000001</v>
      </c>
      <c r="H571" s="77">
        <f t="shared" si="39"/>
        <v>16.03</v>
      </c>
    </row>
    <row r="572" spans="1:8" s="77" customFormat="1">
      <c r="A572" s="147" t="s">
        <v>2433</v>
      </c>
      <c r="B572" s="249">
        <v>15.56</v>
      </c>
      <c r="C572" s="248">
        <f>ROUND(B572*(1-'Disc Dep'!$C$120),2)</f>
        <v>11.51</v>
      </c>
      <c r="D572" s="248">
        <f>ROUND(C572*(1+'Adaos Distr'!$C$120),2)</f>
        <v>11.51</v>
      </c>
      <c r="E572" s="248">
        <f>ROUND(D572*(1+'Adaos RESELLER'!$C$120),2)</f>
        <v>11.51</v>
      </c>
      <c r="F572" s="248">
        <f>IF(Select!$E$23=1,C572,IF(Select!$E$23=2,D572,IF(Select!$E$23=3,E572)))</f>
        <v>11.51</v>
      </c>
      <c r="G572" s="77">
        <f t="shared" si="38"/>
        <v>16.026800000000001</v>
      </c>
      <c r="H572" s="77">
        <f t="shared" si="39"/>
        <v>16.03</v>
      </c>
    </row>
    <row r="573" spans="1:8">
      <c r="A573" s="147" t="s">
        <v>2411</v>
      </c>
      <c r="B573" s="249">
        <v>14.54</v>
      </c>
      <c r="C573" s="248">
        <f>ROUND(B573*(1-'Disc Dep'!$C$120),2)</f>
        <v>10.76</v>
      </c>
      <c r="D573" s="248">
        <f>ROUND(C573*(1+'Adaos Distr'!$C$120),2)</f>
        <v>10.76</v>
      </c>
      <c r="E573" s="248">
        <f>ROUND(D573*(1+'Adaos RESELLER'!$C$120),2)</f>
        <v>10.76</v>
      </c>
      <c r="F573" s="248">
        <f>IF(Select!$E$23=1,C573,IF(Select!$E$23=2,D573,IF(Select!$E$23=3,E573)))</f>
        <v>10.76</v>
      </c>
      <c r="G573" s="77">
        <f t="shared" si="38"/>
        <v>14.976199999999999</v>
      </c>
      <c r="H573" s="77">
        <f t="shared" si="39"/>
        <v>14.98</v>
      </c>
    </row>
    <row r="574" spans="1:8" s="77" customFormat="1">
      <c r="A574" s="147" t="s">
        <v>2434</v>
      </c>
      <c r="B574" s="249">
        <v>14.54</v>
      </c>
      <c r="C574" s="248">
        <f>ROUND(B574*(1-'Disc Dep'!$C$120),2)</f>
        <v>10.76</v>
      </c>
      <c r="D574" s="248">
        <f>ROUND(C574*(1+'Adaos Distr'!$C$120),2)</f>
        <v>10.76</v>
      </c>
      <c r="E574" s="248">
        <f>ROUND(D574*(1+'Adaos RESELLER'!$C$120),2)</f>
        <v>10.76</v>
      </c>
      <c r="F574" s="248">
        <f>IF(Select!$E$23=1,C574,IF(Select!$E$23=2,D574,IF(Select!$E$23=3,E574)))</f>
        <v>10.76</v>
      </c>
      <c r="G574" s="77">
        <f t="shared" si="38"/>
        <v>14.976199999999999</v>
      </c>
      <c r="H574" s="77">
        <f t="shared" si="39"/>
        <v>14.98</v>
      </c>
    </row>
    <row r="575" spans="1:8" s="77" customFormat="1">
      <c r="A575" s="147" t="s">
        <v>2435</v>
      </c>
      <c r="B575" s="249">
        <v>14.54</v>
      </c>
      <c r="C575" s="248">
        <f>ROUND(B575*(1-'Disc Dep'!$C$120),2)</f>
        <v>10.76</v>
      </c>
      <c r="D575" s="248">
        <f>ROUND(C575*(1+'Adaos Distr'!$C$120),2)</f>
        <v>10.76</v>
      </c>
      <c r="E575" s="248">
        <f>ROUND(D575*(1+'Adaos RESELLER'!$C$120),2)</f>
        <v>10.76</v>
      </c>
      <c r="F575" s="248">
        <f>IF(Select!$E$23=1,C575,IF(Select!$E$23=2,D575,IF(Select!$E$23=3,E575)))</f>
        <v>10.76</v>
      </c>
      <c r="G575" s="77">
        <f t="shared" si="38"/>
        <v>14.976199999999999</v>
      </c>
      <c r="H575" s="77">
        <f t="shared" si="39"/>
        <v>14.98</v>
      </c>
    </row>
    <row r="576" spans="1:8" s="77" customFormat="1">
      <c r="A576" s="147" t="s">
        <v>2436</v>
      </c>
      <c r="B576" s="249">
        <v>14.54</v>
      </c>
      <c r="C576" s="248">
        <f>ROUND(B576*(1-'Disc Dep'!$C$120),2)</f>
        <v>10.76</v>
      </c>
      <c r="D576" s="248">
        <f>ROUND(C576*(1+'Adaos Distr'!$C$120),2)</f>
        <v>10.76</v>
      </c>
      <c r="E576" s="248">
        <f>ROUND(D576*(1+'Adaos RESELLER'!$C$120),2)</f>
        <v>10.76</v>
      </c>
      <c r="F576" s="248">
        <f>IF(Select!$E$23=1,C576,IF(Select!$E$23=2,D576,IF(Select!$E$23=3,E576)))</f>
        <v>10.76</v>
      </c>
      <c r="G576" s="77">
        <f t="shared" si="38"/>
        <v>14.976199999999999</v>
      </c>
      <c r="H576" s="77">
        <f t="shared" si="39"/>
        <v>14.98</v>
      </c>
    </row>
    <row r="577" spans="1:8">
      <c r="A577" s="147" t="s">
        <v>2389</v>
      </c>
      <c r="B577" s="249">
        <v>14.11</v>
      </c>
      <c r="C577" s="248">
        <f>ROUND(B577*(1-'Disc Dep'!$C$120),2)</f>
        <v>10.44</v>
      </c>
      <c r="D577" s="248">
        <f>ROUND(C577*(1+'Adaos Distr'!$C$120),2)</f>
        <v>10.44</v>
      </c>
      <c r="E577" s="248">
        <f>ROUND(D577*(1+'Adaos RESELLER'!$C$120),2)</f>
        <v>10.44</v>
      </c>
      <c r="F577" s="248">
        <f>IF(Select!$E$23=1,C577,IF(Select!$E$23=2,D577,IF(Select!$E$23=3,E577)))</f>
        <v>10.44</v>
      </c>
      <c r="G577" s="77">
        <f t="shared" si="38"/>
        <v>14.533300000000001</v>
      </c>
      <c r="H577" s="77">
        <f t="shared" si="39"/>
        <v>14.53</v>
      </c>
    </row>
    <row r="578" spans="1:8">
      <c r="A578" s="147" t="s">
        <v>2390</v>
      </c>
      <c r="B578" s="249">
        <v>12.83</v>
      </c>
      <c r="C578" s="248">
        <f>ROUND(B578*(1-'Disc Dep'!$C$120),2)</f>
        <v>9.49</v>
      </c>
      <c r="D578" s="248">
        <f>ROUND(C578*(1+'Adaos Distr'!$C$120),2)</f>
        <v>9.49</v>
      </c>
      <c r="E578" s="248">
        <f>ROUND(D578*(1+'Adaos RESELLER'!$C$120),2)</f>
        <v>9.49</v>
      </c>
      <c r="F578" s="248">
        <f>IF(Select!$E$23=1,C578,IF(Select!$E$23=2,D578,IF(Select!$E$23=3,E578)))</f>
        <v>9.49</v>
      </c>
      <c r="G578" s="77">
        <f t="shared" si="38"/>
        <v>13.2149</v>
      </c>
      <c r="H578" s="77">
        <f>B578</f>
        <v>12.83</v>
      </c>
    </row>
    <row r="579" spans="1:8">
      <c r="A579" s="147" t="s">
        <v>2391</v>
      </c>
      <c r="B579" s="249">
        <v>14.49</v>
      </c>
      <c r="C579" s="248">
        <f>ROUND(B579*(1-'Disc Dep'!$C$120),2)</f>
        <v>10.72</v>
      </c>
      <c r="D579" s="248">
        <f>ROUND(C579*(1+'Adaos Distr'!$C$120),2)</f>
        <v>10.72</v>
      </c>
      <c r="E579" s="248">
        <f>ROUND(D579*(1+'Adaos RESELLER'!$C$120),2)</f>
        <v>10.72</v>
      </c>
      <c r="F579" s="248">
        <f>IF(Select!$E$23=1,C579,IF(Select!$E$23=2,D579,IF(Select!$E$23=3,E579)))</f>
        <v>10.72</v>
      </c>
      <c r="G579" s="77">
        <f t="shared" si="38"/>
        <v>14.924700000000001</v>
      </c>
      <c r="H579" s="77">
        <f t="shared" ref="H579:H588" si="40">B579</f>
        <v>14.49</v>
      </c>
    </row>
    <row r="580" spans="1:8">
      <c r="A580" s="147" t="s">
        <v>2407</v>
      </c>
      <c r="B580" s="249">
        <v>13.73</v>
      </c>
      <c r="C580" s="248">
        <f>ROUND(B580*(1-'Disc Dep'!$C$120),2)</f>
        <v>10.16</v>
      </c>
      <c r="D580" s="248">
        <f>ROUND(C580*(1+'Adaos Distr'!$C$120),2)</f>
        <v>10.16</v>
      </c>
      <c r="E580" s="248">
        <f>ROUND(D580*(1+'Adaos RESELLER'!$C$120),2)</f>
        <v>10.16</v>
      </c>
      <c r="F580" s="248">
        <f>IF(Select!$E$23=1,C580,IF(Select!$E$23=2,D580,IF(Select!$E$23=3,E580)))</f>
        <v>10.16</v>
      </c>
      <c r="G580" s="77">
        <f t="shared" si="38"/>
        <v>14.141900000000001</v>
      </c>
      <c r="H580" s="77">
        <f t="shared" si="40"/>
        <v>13.73</v>
      </c>
    </row>
    <row r="581" spans="1:8" s="77" customFormat="1">
      <c r="A581" s="147" t="s">
        <v>2437</v>
      </c>
      <c r="B581" s="249">
        <v>13.73</v>
      </c>
      <c r="C581" s="248">
        <f>ROUND(B581*(1-'Disc Dep'!$C$120),2)</f>
        <v>10.16</v>
      </c>
      <c r="D581" s="248">
        <f>ROUND(C581*(1+'Adaos Distr'!$C$120),2)</f>
        <v>10.16</v>
      </c>
      <c r="E581" s="248">
        <f>ROUND(D581*(1+'Adaos RESELLER'!$C$120),2)</f>
        <v>10.16</v>
      </c>
      <c r="F581" s="248">
        <f>IF(Select!$E$23=1,C581,IF(Select!$E$23=2,D581,IF(Select!$E$23=3,E581)))</f>
        <v>10.16</v>
      </c>
      <c r="G581" s="77">
        <f t="shared" si="38"/>
        <v>14.141900000000001</v>
      </c>
      <c r="H581" s="77">
        <f t="shared" si="40"/>
        <v>13.73</v>
      </c>
    </row>
    <row r="582" spans="1:8" s="77" customFormat="1">
      <c r="A582" s="147" t="s">
        <v>2438</v>
      </c>
      <c r="B582" s="249">
        <v>13.73</v>
      </c>
      <c r="C582" s="248">
        <f>ROUND(B582*(1-'Disc Dep'!$C$120),2)</f>
        <v>10.16</v>
      </c>
      <c r="D582" s="248">
        <f>ROUND(C582*(1+'Adaos Distr'!$C$120),2)</f>
        <v>10.16</v>
      </c>
      <c r="E582" s="248">
        <f>ROUND(D582*(1+'Adaos RESELLER'!$C$120),2)</f>
        <v>10.16</v>
      </c>
      <c r="F582" s="248">
        <f>IF(Select!$E$23=1,C582,IF(Select!$E$23=2,D582,IF(Select!$E$23=3,E582)))</f>
        <v>10.16</v>
      </c>
      <c r="G582" s="77">
        <f t="shared" si="38"/>
        <v>14.141900000000001</v>
      </c>
      <c r="H582" s="77">
        <f t="shared" si="40"/>
        <v>13.73</v>
      </c>
    </row>
    <row r="583" spans="1:8" s="77" customFormat="1">
      <c r="A583" s="147" t="s">
        <v>2439</v>
      </c>
      <c r="B583" s="249">
        <v>13.73</v>
      </c>
      <c r="C583" s="248">
        <f>ROUND(B583*(1-'Disc Dep'!$C$120),2)</f>
        <v>10.16</v>
      </c>
      <c r="D583" s="248">
        <f>ROUND(C583*(1+'Adaos Distr'!$C$120),2)</f>
        <v>10.16</v>
      </c>
      <c r="E583" s="248">
        <f>ROUND(D583*(1+'Adaos RESELLER'!$C$120),2)</f>
        <v>10.16</v>
      </c>
      <c r="F583" s="248">
        <f>IF(Select!$E$23=1,C583,IF(Select!$E$23=2,D583,IF(Select!$E$23=3,E583)))</f>
        <v>10.16</v>
      </c>
      <c r="G583" s="77">
        <f t="shared" si="38"/>
        <v>14.141900000000001</v>
      </c>
      <c r="H583" s="77">
        <f t="shared" si="40"/>
        <v>13.73</v>
      </c>
    </row>
    <row r="584" spans="1:8">
      <c r="A584" s="147" t="s">
        <v>2412</v>
      </c>
      <c r="B584" s="249">
        <v>12.83</v>
      </c>
      <c r="C584" s="248">
        <f>ROUND(B584*(1-'Disc Dep'!$C$120),2)</f>
        <v>9.49</v>
      </c>
      <c r="D584" s="248">
        <f>ROUND(C584*(1+'Adaos Distr'!$C$120),2)</f>
        <v>9.49</v>
      </c>
      <c r="E584" s="248">
        <f>ROUND(D584*(1+'Adaos RESELLER'!$C$120),2)</f>
        <v>9.49</v>
      </c>
      <c r="F584" s="248">
        <f>IF(Select!$E$23=1,C584,IF(Select!$E$23=2,D584,IF(Select!$E$23=3,E584)))</f>
        <v>9.49</v>
      </c>
      <c r="G584" s="77">
        <f t="shared" si="38"/>
        <v>13.2149</v>
      </c>
      <c r="H584" s="77">
        <f t="shared" si="40"/>
        <v>12.83</v>
      </c>
    </row>
    <row r="585" spans="1:8" s="77" customFormat="1">
      <c r="A585" s="147" t="s">
        <v>2440</v>
      </c>
      <c r="B585" s="249">
        <v>12.83</v>
      </c>
      <c r="C585" s="248">
        <f>ROUND(B585*(1-'Disc Dep'!$C$120),2)</f>
        <v>9.49</v>
      </c>
      <c r="D585" s="248">
        <f>ROUND(C585*(1+'Adaos Distr'!$C$120),2)</f>
        <v>9.49</v>
      </c>
      <c r="E585" s="248">
        <f>ROUND(D585*(1+'Adaos RESELLER'!$C$120),2)</f>
        <v>9.49</v>
      </c>
      <c r="F585" s="248">
        <f>IF(Select!$E$23=1,C585,IF(Select!$E$23=2,D585,IF(Select!$E$23=3,E585)))</f>
        <v>9.49</v>
      </c>
      <c r="G585" s="77">
        <f t="shared" si="38"/>
        <v>13.2149</v>
      </c>
      <c r="H585" s="77">
        <f t="shared" si="40"/>
        <v>12.83</v>
      </c>
    </row>
    <row r="586" spans="1:8" s="77" customFormat="1">
      <c r="A586" s="147" t="s">
        <v>2441</v>
      </c>
      <c r="B586" s="249">
        <v>12.83</v>
      </c>
      <c r="C586" s="248">
        <f>ROUND(B586*(1-'Disc Dep'!$C$120),2)</f>
        <v>9.49</v>
      </c>
      <c r="D586" s="248">
        <f>ROUND(C586*(1+'Adaos Distr'!$C$120),2)</f>
        <v>9.49</v>
      </c>
      <c r="E586" s="248">
        <f>ROUND(D586*(1+'Adaos RESELLER'!$C$120),2)</f>
        <v>9.49</v>
      </c>
      <c r="F586" s="248">
        <f>IF(Select!$E$23=1,C586,IF(Select!$E$23=2,D586,IF(Select!$E$23=3,E586)))</f>
        <v>9.49</v>
      </c>
      <c r="G586" s="77">
        <f t="shared" si="38"/>
        <v>13.2149</v>
      </c>
      <c r="H586" s="77">
        <f t="shared" si="40"/>
        <v>12.83</v>
      </c>
    </row>
    <row r="587" spans="1:8" s="77" customFormat="1">
      <c r="A587" s="147" t="s">
        <v>2442</v>
      </c>
      <c r="B587" s="249">
        <v>12.83</v>
      </c>
      <c r="C587" s="248">
        <f>ROUND(B587*(1-'Disc Dep'!$C$120),2)</f>
        <v>9.49</v>
      </c>
      <c r="D587" s="248">
        <f>ROUND(C587*(1+'Adaos Distr'!$C$120),2)</f>
        <v>9.49</v>
      </c>
      <c r="E587" s="248">
        <f>ROUND(D587*(1+'Adaos RESELLER'!$C$120),2)</f>
        <v>9.49</v>
      </c>
      <c r="F587" s="248">
        <f>IF(Select!$E$23=1,C587,IF(Select!$E$23=2,D587,IF(Select!$E$23=3,E587)))</f>
        <v>9.49</v>
      </c>
      <c r="G587" s="77">
        <f t="shared" si="38"/>
        <v>13.2149</v>
      </c>
      <c r="H587" s="77">
        <f t="shared" si="40"/>
        <v>12.83</v>
      </c>
    </row>
    <row r="588" spans="1:8">
      <c r="A588" s="147" t="s">
        <v>2392</v>
      </c>
      <c r="B588" s="249">
        <v>13.44</v>
      </c>
      <c r="C588" s="248">
        <f>ROUND(B588*(1-'Disc Dep'!$C$120),2)</f>
        <v>9.9499999999999993</v>
      </c>
      <c r="D588" s="248">
        <f>ROUND(C588*(1+'Adaos Distr'!$C$120),2)</f>
        <v>9.9499999999999993</v>
      </c>
      <c r="E588" s="248">
        <f>ROUND(D588*(1+'Adaos RESELLER'!$C$120),2)</f>
        <v>9.9499999999999993</v>
      </c>
      <c r="F588" s="248">
        <f>IF(Select!$E$23=1,C588,IF(Select!$E$23=2,D588,IF(Select!$E$23=3,E588)))</f>
        <v>9.9499999999999993</v>
      </c>
      <c r="G588" s="77">
        <f t="shared" si="38"/>
        <v>13.8432</v>
      </c>
      <c r="H588" s="77">
        <f t="shared" si="40"/>
        <v>13.44</v>
      </c>
    </row>
    <row r="589" spans="1:8" s="77" customFormat="1">
      <c r="A589" s="147" t="s">
        <v>2393</v>
      </c>
      <c r="B589" s="249">
        <v>10.17</v>
      </c>
      <c r="C589" s="248">
        <f>ROUND(B589*(1-'Disc Dep'!$C$120),2)</f>
        <v>7.53</v>
      </c>
      <c r="D589" s="248">
        <f>ROUND(C589*(1+'Adaos Distr'!$C$120),2)</f>
        <v>7.53</v>
      </c>
      <c r="E589" s="248">
        <f>ROUND(D589*(1+'Adaos RESELLER'!$C$120),2)</f>
        <v>7.53</v>
      </c>
      <c r="F589" s="248">
        <f>IF(Select!$E$23=1,C589,IF(Select!$E$23=2,D589,IF(Select!$E$23=3,E589)))</f>
        <v>7.53</v>
      </c>
      <c r="G589" s="77">
        <f t="shared" si="38"/>
        <v>10.475099999999999</v>
      </c>
      <c r="H589" s="77">
        <f t="shared" si="39"/>
        <v>10.48</v>
      </c>
    </row>
    <row r="590" spans="1:8">
      <c r="A590" s="147" t="s">
        <v>2395</v>
      </c>
      <c r="B590" s="249">
        <v>17.239999999999998</v>
      </c>
      <c r="C590" s="248">
        <f>ROUND(B590*(1-'Disc Dep'!$C$120),2)</f>
        <v>12.76</v>
      </c>
      <c r="D590" s="248">
        <f>ROUND(C590*(1+'Adaos Distr'!$C$120),2)</f>
        <v>12.76</v>
      </c>
      <c r="E590" s="248">
        <f>ROUND(D590*(1+'Adaos RESELLER'!$C$120),2)</f>
        <v>12.76</v>
      </c>
      <c r="F590" s="248">
        <f>IF(Select!$E$23=1,C590,IF(Select!$E$23=2,D590,IF(Select!$E$23=3,E590)))</f>
        <v>12.76</v>
      </c>
      <c r="G590" s="77">
        <f t="shared" si="38"/>
        <v>17.757199999999997</v>
      </c>
      <c r="H590" s="77">
        <f t="shared" si="39"/>
        <v>17.760000000000002</v>
      </c>
    </row>
    <row r="591" spans="1:8">
      <c r="A591" s="147" t="s">
        <v>2394</v>
      </c>
      <c r="B591" s="249">
        <v>17.239999999999998</v>
      </c>
      <c r="C591" s="248">
        <f>ROUND(B591*(1-'Disc Dep'!$C$120),2)</f>
        <v>12.76</v>
      </c>
      <c r="D591" s="248">
        <f>ROUND(C591*(1+'Adaos Distr'!$C$120),2)</f>
        <v>12.76</v>
      </c>
      <c r="E591" s="248">
        <f>ROUND(D591*(1+'Adaos RESELLER'!$C$120),2)</f>
        <v>12.76</v>
      </c>
      <c r="F591" s="248">
        <f>IF(Select!$E$23=1,C591,IF(Select!$E$23=2,D591,IF(Select!$E$23=3,E591)))</f>
        <v>12.76</v>
      </c>
      <c r="G591" s="77">
        <f t="shared" si="38"/>
        <v>17.757199999999997</v>
      </c>
      <c r="H591" s="77">
        <f t="shared" si="39"/>
        <v>17.760000000000002</v>
      </c>
    </row>
    <row r="592" spans="1:8" s="77" customFormat="1">
      <c r="A592" s="147" t="s">
        <v>2606</v>
      </c>
      <c r="B592" s="249">
        <f>B590</f>
        <v>17.239999999999998</v>
      </c>
      <c r="C592" s="248">
        <f>ROUND(B592*(1-'Disc Dep'!$C$120),2)</f>
        <v>12.76</v>
      </c>
      <c r="D592" s="248">
        <f>ROUND(C592*(1+'Adaos Distr'!$C$120),2)</f>
        <v>12.76</v>
      </c>
      <c r="E592" s="248">
        <f>ROUND(D592*(1+'Adaos RESELLER'!$C$120),2)</f>
        <v>12.76</v>
      </c>
      <c r="F592" s="248">
        <f>IF(Select!$E$23=1,C592,IF(Select!$E$23=2,D592,IF(Select!$E$23=3,E592)))</f>
        <v>12.76</v>
      </c>
    </row>
    <row r="593" spans="1:8" s="77" customFormat="1">
      <c r="A593" s="147" t="s">
        <v>2607</v>
      </c>
      <c r="B593" s="249">
        <f>B592</f>
        <v>17.239999999999998</v>
      </c>
      <c r="C593" s="248">
        <f>ROUND(B593*(1-'Disc Dep'!$C$120),2)</f>
        <v>12.76</v>
      </c>
      <c r="D593" s="248">
        <f>ROUND(C593*(1+'Adaos Distr'!$C$120),2)</f>
        <v>12.76</v>
      </c>
      <c r="E593" s="248">
        <f>ROUND(D593*(1+'Adaos RESELLER'!$C$120),2)</f>
        <v>12.76</v>
      </c>
      <c r="F593" s="248">
        <f>IF(Select!$E$23=1,C593,IF(Select!$E$23=2,D593,IF(Select!$E$23=3,E593)))</f>
        <v>12.76</v>
      </c>
    </row>
    <row r="594" spans="1:8">
      <c r="C594" s="248">
        <f>ROUND(B594*(1-'Disc Dep'!$C$120),2)</f>
        <v>0</v>
      </c>
      <c r="D594" s="248">
        <f>ROUND(C594*(1+'Adaos Distr'!$C$120),2)</f>
        <v>0</v>
      </c>
      <c r="E594" s="248">
        <f>ROUND(D594*(1+'Adaos RESELLER'!$C$120),2)</f>
        <v>0</v>
      </c>
      <c r="F594" s="248">
        <f>IF(Select!$E$23=1,C594,IF(Select!$E$23=2,D594,IF(Select!$E$23=3,E594)))</f>
        <v>0</v>
      </c>
      <c r="G594" s="77">
        <f t="shared" ref="G594:G595" si="41">B594*1.03</f>
        <v>0</v>
      </c>
      <c r="H594" s="77">
        <f t="shared" si="39"/>
        <v>0</v>
      </c>
    </row>
    <row r="595" spans="1:8">
      <c r="A595" t="s">
        <v>2444</v>
      </c>
      <c r="B595" s="249">
        <v>8.5399999999999991</v>
      </c>
      <c r="C595" s="248">
        <f>ROUND(B595*(1-'Disc Dep'!$C$121),2)</f>
        <v>6.32</v>
      </c>
      <c r="D595" s="248">
        <f>ROUND(C595*(1+'Adaos Distr'!$C$121),2)</f>
        <v>6.32</v>
      </c>
      <c r="E595" s="248">
        <f>ROUND(D595*(1+'Adaos RESELLER'!$C$121),2)</f>
        <v>6.32</v>
      </c>
      <c r="F595" s="248">
        <f>IF(Select!$E$23=1,C595,IF(Select!$E$23=2,D595,IF(Select!$E$23=3,E595)))</f>
        <v>6.32</v>
      </c>
      <c r="G595" s="77">
        <f t="shared" si="41"/>
        <v>8.7961999999999989</v>
      </c>
      <c r="H595" s="77">
        <f t="shared" si="39"/>
        <v>8.8000000000000007</v>
      </c>
    </row>
    <row r="596" spans="1:8">
      <c r="A596" t="s">
        <v>2445</v>
      </c>
      <c r="B596" s="249">
        <v>6.41</v>
      </c>
      <c r="C596" s="248">
        <f>ROUND(B596*(1-'Disc Dep'!$C$121),2)</f>
        <v>4.74</v>
      </c>
      <c r="D596" s="248">
        <f>ROUND(C596*(1+'Adaos Distr'!$C$121),2)</f>
        <v>4.74</v>
      </c>
      <c r="E596" s="248">
        <f>ROUND(D596*(1+'Adaos RESELLER'!$C$121),2)</f>
        <v>4.74</v>
      </c>
      <c r="F596" s="248">
        <f>IF(Select!$E$23=1,C596,IF(Select!$E$23=2,D596,IF(Select!$E$23=3,E596)))</f>
        <v>4.74</v>
      </c>
      <c r="G596" s="77">
        <f t="shared" ref="G596:G659" si="42">B596*1.03</f>
        <v>6.6023000000000005</v>
      </c>
      <c r="H596" s="77">
        <f t="shared" si="39"/>
        <v>6.6</v>
      </c>
    </row>
    <row r="597" spans="1:8">
      <c r="A597" t="s">
        <v>2446</v>
      </c>
      <c r="B597" s="249">
        <v>8.5399999999999991</v>
      </c>
      <c r="C597" s="248">
        <f>ROUND(B597*(1-'Disc Dep'!$C$121),2)</f>
        <v>6.32</v>
      </c>
      <c r="D597" s="248">
        <f>ROUND(C597*(1+'Adaos Distr'!$C$121),2)</f>
        <v>6.32</v>
      </c>
      <c r="E597" s="248">
        <f>ROUND(D597*(1+'Adaos RESELLER'!$C$121),2)</f>
        <v>6.32</v>
      </c>
      <c r="F597" s="248">
        <f>IF(Select!$E$23=1,C597,IF(Select!$E$23=2,D597,IF(Select!$E$23=3,E597)))</f>
        <v>6.32</v>
      </c>
      <c r="G597" s="77">
        <f t="shared" si="42"/>
        <v>8.7961999999999989</v>
      </c>
      <c r="H597" s="77">
        <f t="shared" si="39"/>
        <v>8.8000000000000007</v>
      </c>
    </row>
    <row r="598" spans="1:8">
      <c r="A598" t="s">
        <v>2447</v>
      </c>
      <c r="B598" s="249">
        <v>6.41</v>
      </c>
      <c r="C598" s="248">
        <f>ROUND(B598*(1-'Disc Dep'!$C$121),2)</f>
        <v>4.74</v>
      </c>
      <c r="D598" s="248">
        <f>ROUND(C598*(1+'Adaos Distr'!$C$121),2)</f>
        <v>4.74</v>
      </c>
      <c r="E598" s="248">
        <f>ROUND(D598*(1+'Adaos RESELLER'!$C$121),2)</f>
        <v>4.74</v>
      </c>
      <c r="F598" s="248">
        <f>IF(Select!$E$23=1,C598,IF(Select!$E$23=2,D598,IF(Select!$E$23=3,E598)))</f>
        <v>4.74</v>
      </c>
      <c r="G598" s="77">
        <f t="shared" si="42"/>
        <v>6.6023000000000005</v>
      </c>
      <c r="H598" s="77">
        <f t="shared" si="39"/>
        <v>6.6</v>
      </c>
    </row>
    <row r="599" spans="1:8">
      <c r="A599" t="s">
        <v>2448</v>
      </c>
      <c r="B599" s="249">
        <v>6.41</v>
      </c>
      <c r="C599" s="248">
        <f>ROUND(B599*(1-'Disc Dep'!$C$121),2)</f>
        <v>4.74</v>
      </c>
      <c r="D599" s="248">
        <f>ROUND(C599*(1+'Adaos Distr'!$C$121),2)</f>
        <v>4.74</v>
      </c>
      <c r="E599" s="248">
        <f>ROUND(D599*(1+'Adaos RESELLER'!$C$121),2)</f>
        <v>4.74</v>
      </c>
      <c r="F599" s="248">
        <f>IF(Select!$E$23=1,C599,IF(Select!$E$23=2,D599,IF(Select!$E$23=3,E599)))</f>
        <v>4.74</v>
      </c>
      <c r="G599" s="77">
        <f t="shared" si="42"/>
        <v>6.6023000000000005</v>
      </c>
      <c r="H599" s="77">
        <f t="shared" si="39"/>
        <v>6.6</v>
      </c>
    </row>
    <row r="600" spans="1:8">
      <c r="A600" t="s">
        <v>2449</v>
      </c>
      <c r="B600" s="249">
        <v>8.5500000000000007</v>
      </c>
      <c r="C600" s="248">
        <f>ROUND(B600*(1-'Disc Dep'!$C$121),2)</f>
        <v>6.33</v>
      </c>
      <c r="D600" s="248">
        <f>ROUND(C600*(1+'Adaos Distr'!$C$121),2)</f>
        <v>6.33</v>
      </c>
      <c r="E600" s="248">
        <f>ROUND(D600*(1+'Adaos RESELLER'!$C$121),2)</f>
        <v>6.33</v>
      </c>
      <c r="F600" s="248">
        <f>IF(Select!$E$23=1,C600,IF(Select!$E$23=2,D600,IF(Select!$E$23=3,E600)))</f>
        <v>6.33</v>
      </c>
      <c r="G600" s="77">
        <f t="shared" si="42"/>
        <v>8.8065000000000015</v>
      </c>
      <c r="H600" s="77">
        <f t="shared" si="39"/>
        <v>8.81</v>
      </c>
    </row>
    <row r="601" spans="1:8">
      <c r="A601" t="s">
        <v>2450</v>
      </c>
      <c r="B601" s="249">
        <v>4.93</v>
      </c>
      <c r="C601" s="248">
        <f>ROUND(B601*(1-'Disc Dep'!$C$121),2)</f>
        <v>3.65</v>
      </c>
      <c r="D601" s="248">
        <f>ROUND(C601*(1+'Adaos Distr'!$C$121),2)</f>
        <v>3.65</v>
      </c>
      <c r="E601" s="248">
        <f>ROUND(D601*(1+'Adaos RESELLER'!$C$121),2)</f>
        <v>3.65</v>
      </c>
      <c r="F601" s="248">
        <f>IF(Select!$E$23=1,C601,IF(Select!$E$23=2,D601,IF(Select!$E$23=3,E601)))</f>
        <v>3.65</v>
      </c>
      <c r="G601" s="77">
        <f t="shared" si="42"/>
        <v>5.0778999999999996</v>
      </c>
      <c r="H601" s="77">
        <f t="shared" si="39"/>
        <v>5.08</v>
      </c>
    </row>
    <row r="602" spans="1:8">
      <c r="A602" t="s">
        <v>2451</v>
      </c>
      <c r="B602" s="249">
        <v>1.65</v>
      </c>
      <c r="C602" s="248">
        <f>ROUND(B602*(1-'Disc Dep'!$C$121),2)</f>
        <v>1.22</v>
      </c>
      <c r="D602" s="248">
        <f>ROUND(C602*(1+'Adaos Distr'!$C$121),2)</f>
        <v>1.22</v>
      </c>
      <c r="E602" s="248">
        <f>ROUND(D602*(1+'Adaos RESELLER'!$C$121),2)</f>
        <v>1.22</v>
      </c>
      <c r="F602" s="248">
        <f>IF(Select!$E$23=1,C602,IF(Select!$E$23=2,D602,IF(Select!$E$23=3,E602)))</f>
        <v>1.22</v>
      </c>
      <c r="G602" s="77">
        <f t="shared" si="42"/>
        <v>1.6995</v>
      </c>
      <c r="H602" s="77">
        <f t="shared" si="39"/>
        <v>1.7</v>
      </c>
    </row>
    <row r="603" spans="1:8">
      <c r="A603" t="s">
        <v>2452</v>
      </c>
      <c r="B603" s="249">
        <v>1.1299999999999999</v>
      </c>
      <c r="C603" s="248">
        <f>ROUND(B603*(1-'Disc Dep'!$C$121),2)</f>
        <v>0.84</v>
      </c>
      <c r="D603" s="248">
        <f>ROUND(C603*(1+'Adaos Distr'!$C$121),2)</f>
        <v>0.84</v>
      </c>
      <c r="E603" s="248">
        <f>ROUND(D603*(1+'Adaos RESELLER'!$C$121),2)</f>
        <v>0.84</v>
      </c>
      <c r="F603" s="248">
        <f>IF(Select!$E$23=1,C603,IF(Select!$E$23=2,D603,IF(Select!$E$23=3,E603)))</f>
        <v>0.84</v>
      </c>
      <c r="G603" s="77">
        <f t="shared" si="42"/>
        <v>1.1638999999999999</v>
      </c>
      <c r="H603" s="77">
        <f t="shared" si="39"/>
        <v>1.1599999999999999</v>
      </c>
    </row>
    <row r="604" spans="1:8">
      <c r="A604" t="s">
        <v>2453</v>
      </c>
      <c r="B604" s="249">
        <v>6.41</v>
      </c>
      <c r="C604" s="248">
        <f>ROUND(B604*(1-'Disc Dep'!$C$121),2)</f>
        <v>4.74</v>
      </c>
      <c r="D604" s="248">
        <f>ROUND(C604*(1+'Adaos Distr'!$C$121),2)</f>
        <v>4.74</v>
      </c>
      <c r="E604" s="248">
        <f>ROUND(D604*(1+'Adaos RESELLER'!$C$121),2)</f>
        <v>4.74</v>
      </c>
      <c r="F604" s="248">
        <f>IF(Select!$E$23=1,C604,IF(Select!$E$23=2,D604,IF(Select!$E$23=3,E604)))</f>
        <v>4.74</v>
      </c>
      <c r="G604" s="77">
        <f t="shared" si="42"/>
        <v>6.6023000000000005</v>
      </c>
      <c r="H604" s="77">
        <f t="shared" si="39"/>
        <v>6.6</v>
      </c>
    </row>
    <row r="605" spans="1:8">
      <c r="A605" t="s">
        <v>2454</v>
      </c>
      <c r="B605" s="249">
        <v>8.4</v>
      </c>
      <c r="C605" s="248">
        <f>ROUND(B605*(1-'Disc Dep'!$C$121),2)</f>
        <v>6.22</v>
      </c>
      <c r="D605" s="248">
        <f>ROUND(C605*(1+'Adaos Distr'!$C$121),2)</f>
        <v>6.22</v>
      </c>
      <c r="E605" s="248">
        <f>ROUND(D605*(1+'Adaos RESELLER'!$C$121),2)</f>
        <v>6.22</v>
      </c>
      <c r="F605" s="248">
        <f>IF(Select!$E$23=1,C605,IF(Select!$E$23=2,D605,IF(Select!$E$23=3,E605)))</f>
        <v>6.22</v>
      </c>
      <c r="G605" s="77">
        <f t="shared" si="42"/>
        <v>8.652000000000001</v>
      </c>
      <c r="H605" s="77">
        <f t="shared" si="39"/>
        <v>8.65</v>
      </c>
    </row>
    <row r="606" spans="1:8">
      <c r="A606" t="s">
        <v>2455</v>
      </c>
      <c r="B606" s="249">
        <v>2.44</v>
      </c>
      <c r="C606" s="248">
        <f>ROUND(B606*(1-'Disc Dep'!$C$121),2)</f>
        <v>1.81</v>
      </c>
      <c r="D606" s="248">
        <f>ROUND(C606*(1+'Adaos Distr'!$C$121),2)</f>
        <v>1.81</v>
      </c>
      <c r="E606" s="248">
        <f>ROUND(D606*(1+'Adaos RESELLER'!$C$121),2)</f>
        <v>1.81</v>
      </c>
      <c r="F606" s="248">
        <f>IF(Select!$E$23=1,C606,IF(Select!$E$23=2,D606,IF(Select!$E$23=3,E606)))</f>
        <v>1.81</v>
      </c>
      <c r="G606" s="77">
        <f t="shared" si="42"/>
        <v>2.5131999999999999</v>
      </c>
      <c r="H606" s="77">
        <f t="shared" si="39"/>
        <v>2.5099999999999998</v>
      </c>
    </row>
    <row r="607" spans="1:8">
      <c r="A607" t="s">
        <v>2456</v>
      </c>
      <c r="B607" s="249">
        <v>4.43</v>
      </c>
      <c r="C607" s="248">
        <f>ROUND(B607*(1-'Disc Dep'!$C$121),2)</f>
        <v>3.28</v>
      </c>
      <c r="D607" s="248">
        <f>ROUND(C607*(1+'Adaos Distr'!$C$121),2)</f>
        <v>3.28</v>
      </c>
      <c r="E607" s="248">
        <f>ROUND(D607*(1+'Adaos RESELLER'!$C$121),2)</f>
        <v>3.28</v>
      </c>
      <c r="F607" s="248">
        <f>IF(Select!$E$23=1,C607,IF(Select!$E$23=2,D607,IF(Select!$E$23=3,E607)))</f>
        <v>3.28</v>
      </c>
      <c r="G607" s="77">
        <f t="shared" si="42"/>
        <v>4.5629</v>
      </c>
      <c r="H607" s="77">
        <f t="shared" si="39"/>
        <v>4.5599999999999996</v>
      </c>
    </row>
    <row r="608" spans="1:8">
      <c r="A608" t="s">
        <v>2457</v>
      </c>
      <c r="B608" s="249">
        <v>10.55</v>
      </c>
      <c r="C608" s="248">
        <f>ROUND(B608*(1-'Disc Dep'!$C$113),2)</f>
        <v>8.44</v>
      </c>
      <c r="D608" s="248">
        <f>ROUND(C608*(1+'Adaos Distr'!$C$113),2)</f>
        <v>8.44</v>
      </c>
      <c r="E608" s="248">
        <f>ROUND(D608*(1+'Adaos RESELLER'!$C$113),2)</f>
        <v>8.44</v>
      </c>
      <c r="F608" s="248">
        <f>IF(Select!$E$23=1,C608,IF(Select!$E$23=2,D608,IF(Select!$E$23=3,E608)))</f>
        <v>8.44</v>
      </c>
      <c r="G608" s="77">
        <f t="shared" si="42"/>
        <v>10.8665</v>
      </c>
      <c r="H608" s="77">
        <f t="shared" si="39"/>
        <v>10.87</v>
      </c>
    </row>
    <row r="609" spans="1:8">
      <c r="A609" t="s">
        <v>2458</v>
      </c>
      <c r="B609" s="249">
        <v>14.12</v>
      </c>
      <c r="C609" s="248">
        <f>ROUND(B609*(1-'Disc Dep'!$C$113),2)</f>
        <v>11.3</v>
      </c>
      <c r="D609" s="248">
        <f>ROUND(C609*(1+'Adaos Distr'!$C$113),2)</f>
        <v>11.3</v>
      </c>
      <c r="E609" s="248">
        <f>ROUND(D609*(1+'Adaos RESELLER'!$C$113),2)</f>
        <v>11.3</v>
      </c>
      <c r="F609" s="248">
        <f>IF(Select!$E$23=1,C609,IF(Select!$E$23=2,D609,IF(Select!$E$23=3,E609)))</f>
        <v>11.3</v>
      </c>
      <c r="G609" s="77">
        <f t="shared" si="42"/>
        <v>14.5436</v>
      </c>
      <c r="H609" s="77">
        <f t="shared" si="39"/>
        <v>14.54</v>
      </c>
    </row>
    <row r="610" spans="1:8">
      <c r="A610" t="s">
        <v>2459</v>
      </c>
      <c r="B610" s="249">
        <v>10.93</v>
      </c>
      <c r="C610" s="248">
        <f>ROUND(B610*(1-'Disc Dep'!$C$113),2)</f>
        <v>8.74</v>
      </c>
      <c r="D610" s="248">
        <f>ROUND(C610*(1+'Adaos Distr'!$C$113),2)</f>
        <v>8.74</v>
      </c>
      <c r="E610" s="248">
        <f>ROUND(D610*(1+'Adaos RESELLER'!$C$113),2)</f>
        <v>8.74</v>
      </c>
      <c r="F610" s="248">
        <f>IF(Select!$E$23=1,C610,IF(Select!$E$23=2,D610,IF(Select!$E$23=3,E610)))</f>
        <v>8.74</v>
      </c>
      <c r="G610" s="77">
        <f t="shared" si="42"/>
        <v>11.257899999999999</v>
      </c>
      <c r="H610" s="77">
        <f t="shared" si="39"/>
        <v>11.26</v>
      </c>
    </row>
    <row r="611" spans="1:8">
      <c r="A611" t="s">
        <v>2460</v>
      </c>
      <c r="B611" s="249">
        <v>3.16</v>
      </c>
      <c r="C611" s="248">
        <f>ROUND(B611*(1-'Disc Dep'!$C$113),2)</f>
        <v>2.5299999999999998</v>
      </c>
      <c r="D611" s="248">
        <f>ROUND(C611*(1+'Adaos Distr'!$C$113),2)</f>
        <v>2.5299999999999998</v>
      </c>
      <c r="E611" s="248">
        <f>ROUND(D611*(1+'Adaos RESELLER'!$C$113),2)</f>
        <v>2.5299999999999998</v>
      </c>
      <c r="F611" s="248">
        <f>IF(Select!$E$23=1,C611,IF(Select!$E$23=2,D611,IF(Select!$E$23=3,E611)))</f>
        <v>2.5299999999999998</v>
      </c>
      <c r="G611" s="77">
        <f t="shared" si="42"/>
        <v>3.2548000000000004</v>
      </c>
      <c r="H611" s="77">
        <f t="shared" si="39"/>
        <v>3.25</v>
      </c>
    </row>
    <row r="612" spans="1:8">
      <c r="A612" t="s">
        <v>2461</v>
      </c>
      <c r="B612" s="249">
        <v>1.24</v>
      </c>
      <c r="C612" s="248">
        <f>ROUND(B612*(1-'Disc Dep'!$C$113),2)</f>
        <v>0.99</v>
      </c>
      <c r="D612" s="248">
        <f>ROUND(C612*(1+'Adaos Distr'!$C$113),2)</f>
        <v>0.99</v>
      </c>
      <c r="E612" s="248">
        <f>ROUND(D612*(1+'Adaos RESELLER'!$C$113),2)</f>
        <v>0.99</v>
      </c>
      <c r="F612" s="248">
        <f>IF(Select!$E$23=1,C612,IF(Select!$E$23=2,D612,IF(Select!$E$23=3,E612)))</f>
        <v>0.99</v>
      </c>
      <c r="G612" s="77">
        <f t="shared" si="42"/>
        <v>1.2772000000000001</v>
      </c>
      <c r="H612" s="77">
        <f t="shared" si="39"/>
        <v>1.28</v>
      </c>
    </row>
    <row r="613" spans="1:8">
      <c r="A613" t="s">
        <v>2462</v>
      </c>
      <c r="B613" s="249">
        <v>1.69</v>
      </c>
      <c r="C613" s="248">
        <f>ROUND(B613*(1-'Disc Dep'!$C$113),2)</f>
        <v>1.35</v>
      </c>
      <c r="D613" s="248">
        <f>ROUND(C613*(1+'Adaos Distr'!$C$113),2)</f>
        <v>1.35</v>
      </c>
      <c r="E613" s="248">
        <f>ROUND(D613*(1+'Adaos RESELLER'!$C$113),2)</f>
        <v>1.35</v>
      </c>
      <c r="F613" s="248">
        <f>IF(Select!$E$23=1,C613,IF(Select!$E$23=2,D613,IF(Select!$E$23=3,E613)))</f>
        <v>1.35</v>
      </c>
      <c r="G613" s="77">
        <f t="shared" si="42"/>
        <v>1.7406999999999999</v>
      </c>
      <c r="H613" s="77">
        <f t="shared" si="39"/>
        <v>1.74</v>
      </c>
    </row>
    <row r="614" spans="1:8">
      <c r="A614" t="s">
        <v>2463</v>
      </c>
      <c r="B614" s="249">
        <v>0.36</v>
      </c>
      <c r="C614" s="248">
        <f>ROUND(B614*(1-'Disc Dep'!$C$113),2)</f>
        <v>0.28999999999999998</v>
      </c>
      <c r="D614" s="248">
        <f>ROUND(C614*(1+'Adaos Distr'!$C$113),2)</f>
        <v>0.28999999999999998</v>
      </c>
      <c r="E614" s="248">
        <f>ROUND(D614*(1+'Adaos RESELLER'!$C$113),2)</f>
        <v>0.28999999999999998</v>
      </c>
      <c r="F614" s="248">
        <f>IF(Select!$E$23=1,C614,IF(Select!$E$23=2,D614,IF(Select!$E$23=3,E614)))</f>
        <v>0.28999999999999998</v>
      </c>
      <c r="G614" s="77">
        <f t="shared" si="42"/>
        <v>0.37080000000000002</v>
      </c>
      <c r="H614" s="77">
        <f t="shared" si="39"/>
        <v>0.37</v>
      </c>
    </row>
    <row r="615" spans="1:8">
      <c r="A615" t="s">
        <v>2464</v>
      </c>
      <c r="B615" s="249">
        <v>0.49</v>
      </c>
      <c r="C615" s="248">
        <f>ROUND(B615*(1-'Disc Dep'!$C$113),2)</f>
        <v>0.39</v>
      </c>
      <c r="D615" s="248">
        <f>ROUND(C615*(1+'Adaos Distr'!$C$113),2)</f>
        <v>0.39</v>
      </c>
      <c r="E615" s="248">
        <f>ROUND(D615*(1+'Adaos RESELLER'!$C$113),2)</f>
        <v>0.39</v>
      </c>
      <c r="F615" s="248">
        <f>IF(Select!$E$23=1,C615,IF(Select!$E$23=2,D615,IF(Select!$E$23=3,E615)))</f>
        <v>0.39</v>
      </c>
      <c r="G615" s="77">
        <f t="shared" si="42"/>
        <v>0.50470000000000004</v>
      </c>
      <c r="H615" s="77">
        <f t="shared" si="39"/>
        <v>0.5</v>
      </c>
    </row>
    <row r="616" spans="1:8">
      <c r="B616" s="249">
        <v>0</v>
      </c>
      <c r="C616" s="248">
        <f>ROUND(B616*(1-'Disc Dep'!$C$121),2)</f>
        <v>0</v>
      </c>
      <c r="D616" s="248">
        <f>ROUND(C616*(1+'Adaos Distr'!$C$121),2)</f>
        <v>0</v>
      </c>
      <c r="E616" s="248">
        <f>ROUND(D616*(1+'Adaos RESELLER'!$C$121),2)</f>
        <v>0</v>
      </c>
      <c r="F616" s="248">
        <f>IF(Select!$E$23=1,C616,IF(Select!$E$23=2,D616,IF(Select!$E$23=3,E616)))</f>
        <v>0</v>
      </c>
      <c r="G616" s="77">
        <f t="shared" si="42"/>
        <v>0</v>
      </c>
      <c r="H616" s="77">
        <f t="shared" si="39"/>
        <v>0</v>
      </c>
    </row>
    <row r="617" spans="1:8">
      <c r="A617" t="s">
        <v>2465</v>
      </c>
      <c r="B617" s="249">
        <v>8.5500000000000007</v>
      </c>
      <c r="C617" s="248">
        <f>ROUND(B617*(1-'Disc Dep'!$C$121),2)</f>
        <v>6.33</v>
      </c>
      <c r="D617" s="248">
        <f>ROUND(C617*(1+'Adaos Distr'!$C$121),2)</f>
        <v>6.33</v>
      </c>
      <c r="E617" s="248">
        <f>ROUND(D617*(1+'Adaos RESELLER'!$C$121),2)</f>
        <v>6.33</v>
      </c>
      <c r="F617" s="248">
        <f>IF(Select!$E$23=1,C617,IF(Select!$E$23=2,D617,IF(Select!$E$23=3,E617)))</f>
        <v>6.33</v>
      </c>
      <c r="G617" s="77">
        <f t="shared" si="42"/>
        <v>8.8065000000000015</v>
      </c>
      <c r="H617" s="77">
        <f t="shared" si="39"/>
        <v>8.81</v>
      </c>
    </row>
    <row r="618" spans="1:8">
      <c r="A618" t="s">
        <v>2466</v>
      </c>
      <c r="B618" s="249">
        <v>6.41</v>
      </c>
      <c r="C618" s="248">
        <f>ROUND(B618*(1-'Disc Dep'!$C$121),2)</f>
        <v>4.74</v>
      </c>
      <c r="D618" s="248">
        <f>ROUND(C618*(1+'Adaos Distr'!$C$121),2)</f>
        <v>4.74</v>
      </c>
      <c r="E618" s="248">
        <f>ROUND(D618*(1+'Adaos RESELLER'!$C$121),2)</f>
        <v>4.74</v>
      </c>
      <c r="F618" s="248">
        <f>IF(Select!$E$23=1,C618,IF(Select!$E$23=2,D618,IF(Select!$E$23=3,E618)))</f>
        <v>4.74</v>
      </c>
      <c r="G618" s="77">
        <f t="shared" si="42"/>
        <v>6.6023000000000005</v>
      </c>
      <c r="H618" s="77">
        <f t="shared" si="39"/>
        <v>6.6</v>
      </c>
    </row>
    <row r="619" spans="1:8">
      <c r="A619" t="s">
        <v>2467</v>
      </c>
      <c r="B619" s="249">
        <v>8.5399999999999991</v>
      </c>
      <c r="C619" s="248">
        <f>ROUND(B619*(1-'Disc Dep'!$C$121),2)</f>
        <v>6.32</v>
      </c>
      <c r="D619" s="248">
        <f>ROUND(C619*(1+'Adaos Distr'!$C$121),2)</f>
        <v>6.32</v>
      </c>
      <c r="E619" s="248">
        <f>ROUND(D619*(1+'Adaos RESELLER'!$C$121),2)</f>
        <v>6.32</v>
      </c>
      <c r="F619" s="248">
        <f>IF(Select!$E$23=1,C619,IF(Select!$E$23=2,D619,IF(Select!$E$23=3,E619)))</f>
        <v>6.32</v>
      </c>
      <c r="G619" s="77">
        <f t="shared" si="42"/>
        <v>8.7961999999999989</v>
      </c>
      <c r="H619" s="77">
        <f t="shared" si="39"/>
        <v>8.8000000000000007</v>
      </c>
    </row>
    <row r="620" spans="1:8">
      <c r="A620" t="s">
        <v>2468</v>
      </c>
      <c r="B620" s="249">
        <v>6.41</v>
      </c>
      <c r="C620" s="248">
        <f>ROUND(B620*(1-'Disc Dep'!$C$121),2)</f>
        <v>4.74</v>
      </c>
      <c r="D620" s="248">
        <f>ROUND(C620*(1+'Adaos Distr'!$C$121),2)</f>
        <v>4.74</v>
      </c>
      <c r="E620" s="248">
        <f>ROUND(D620*(1+'Adaos RESELLER'!$C$121),2)</f>
        <v>4.74</v>
      </c>
      <c r="F620" s="248">
        <f>IF(Select!$E$23=1,C620,IF(Select!$E$23=2,D620,IF(Select!$E$23=3,E620)))</f>
        <v>4.74</v>
      </c>
      <c r="G620" s="77">
        <f t="shared" si="42"/>
        <v>6.6023000000000005</v>
      </c>
      <c r="H620" s="77">
        <f t="shared" si="39"/>
        <v>6.6</v>
      </c>
    </row>
    <row r="621" spans="1:8">
      <c r="A621" t="s">
        <v>2469</v>
      </c>
      <c r="B621" s="249">
        <v>6.41</v>
      </c>
      <c r="C621" s="248">
        <f>ROUND(B621*(1-'Disc Dep'!$C$121),2)</f>
        <v>4.74</v>
      </c>
      <c r="D621" s="248">
        <f>ROUND(C621*(1+'Adaos Distr'!$C$121),2)</f>
        <v>4.74</v>
      </c>
      <c r="E621" s="248">
        <f>ROUND(D621*(1+'Adaos RESELLER'!$C$121),2)</f>
        <v>4.74</v>
      </c>
      <c r="F621" s="248">
        <f>IF(Select!$E$23=1,C621,IF(Select!$E$23=2,D621,IF(Select!$E$23=3,E621)))</f>
        <v>4.74</v>
      </c>
      <c r="G621" s="77">
        <f t="shared" si="42"/>
        <v>6.6023000000000005</v>
      </c>
      <c r="H621" s="77">
        <f t="shared" si="39"/>
        <v>6.6</v>
      </c>
    </row>
    <row r="622" spans="1:8">
      <c r="A622" t="s">
        <v>2470</v>
      </c>
      <c r="B622" s="249">
        <v>8.5500000000000007</v>
      </c>
      <c r="C622" s="248">
        <f>ROUND(B622*(1-'Disc Dep'!$C$121),2)</f>
        <v>6.33</v>
      </c>
      <c r="D622" s="248">
        <f>ROUND(C622*(1+'Adaos Distr'!$C$121),2)</f>
        <v>6.33</v>
      </c>
      <c r="E622" s="248">
        <f>ROUND(D622*(1+'Adaos RESELLER'!$C$121),2)</f>
        <v>6.33</v>
      </c>
      <c r="F622" s="248">
        <f>IF(Select!$E$23=1,C622,IF(Select!$E$23=2,D622,IF(Select!$E$23=3,E622)))</f>
        <v>6.33</v>
      </c>
      <c r="G622" s="77">
        <f t="shared" si="42"/>
        <v>8.8065000000000015</v>
      </c>
      <c r="H622" s="77">
        <f t="shared" si="39"/>
        <v>8.81</v>
      </c>
    </row>
    <row r="623" spans="1:8">
      <c r="A623" t="s">
        <v>2471</v>
      </c>
      <c r="B623" s="249">
        <v>4.93</v>
      </c>
      <c r="C623" s="248">
        <f>ROUND(B623*(1-'Disc Dep'!$C$121),2)</f>
        <v>3.65</v>
      </c>
      <c r="D623" s="248">
        <f>ROUND(C623*(1+'Adaos Distr'!$C$121),2)</f>
        <v>3.65</v>
      </c>
      <c r="E623" s="248">
        <f>ROUND(D623*(1+'Adaos RESELLER'!$C$121),2)</f>
        <v>3.65</v>
      </c>
      <c r="F623" s="248">
        <f>IF(Select!$E$23=1,C623,IF(Select!$E$23=2,D623,IF(Select!$E$23=3,E623)))</f>
        <v>3.65</v>
      </c>
      <c r="G623" s="77">
        <f t="shared" si="42"/>
        <v>5.0778999999999996</v>
      </c>
      <c r="H623" s="77">
        <f t="shared" si="39"/>
        <v>5.08</v>
      </c>
    </row>
    <row r="624" spans="1:8">
      <c r="A624" t="s">
        <v>2472</v>
      </c>
      <c r="B624" s="249">
        <v>1.65</v>
      </c>
      <c r="C624" s="248">
        <f>ROUND(B624*(1-'Disc Dep'!$C$121),2)</f>
        <v>1.22</v>
      </c>
      <c r="D624" s="248">
        <f>ROUND(C624*(1+'Adaos Distr'!$C$121),2)</f>
        <v>1.22</v>
      </c>
      <c r="E624" s="248">
        <f>ROUND(D624*(1+'Adaos RESELLER'!$C$121),2)</f>
        <v>1.22</v>
      </c>
      <c r="F624" s="248">
        <f>IF(Select!$E$23=1,C624,IF(Select!$E$23=2,D624,IF(Select!$E$23=3,E624)))</f>
        <v>1.22</v>
      </c>
      <c r="G624" s="77">
        <f t="shared" si="42"/>
        <v>1.6995</v>
      </c>
      <c r="H624" s="77">
        <f t="shared" si="39"/>
        <v>1.7</v>
      </c>
    </row>
    <row r="625" spans="1:8">
      <c r="A625" t="s">
        <v>2473</v>
      </c>
      <c r="B625" s="249">
        <v>1.1299999999999999</v>
      </c>
      <c r="C625" s="248">
        <f>ROUND(B625*(1-'Disc Dep'!$C$121),2)</f>
        <v>0.84</v>
      </c>
      <c r="D625" s="248">
        <f>ROUND(C625*(1+'Adaos Distr'!$C$121),2)</f>
        <v>0.84</v>
      </c>
      <c r="E625" s="248">
        <f>ROUND(D625*(1+'Adaos RESELLER'!$C$121),2)</f>
        <v>0.84</v>
      </c>
      <c r="F625" s="248">
        <f>IF(Select!$E$23=1,C625,IF(Select!$E$23=2,D625,IF(Select!$E$23=3,E625)))</f>
        <v>0.84</v>
      </c>
      <c r="G625" s="77">
        <f t="shared" si="42"/>
        <v>1.1638999999999999</v>
      </c>
      <c r="H625" s="77">
        <f t="shared" si="39"/>
        <v>1.1599999999999999</v>
      </c>
    </row>
    <row r="626" spans="1:8">
      <c r="A626" t="s">
        <v>2474</v>
      </c>
      <c r="B626" s="249">
        <v>6.41</v>
      </c>
      <c r="C626" s="248">
        <f>ROUND(B626*(1-'Disc Dep'!$C$121),2)</f>
        <v>4.74</v>
      </c>
      <c r="D626" s="248">
        <f>ROUND(C626*(1+'Adaos Distr'!$C$121),2)</f>
        <v>4.74</v>
      </c>
      <c r="E626" s="248">
        <f>ROUND(D626*(1+'Adaos RESELLER'!$C$121),2)</f>
        <v>4.74</v>
      </c>
      <c r="F626" s="248">
        <f>IF(Select!$E$23=1,C626,IF(Select!$E$23=2,D626,IF(Select!$E$23=3,E626)))</f>
        <v>4.74</v>
      </c>
      <c r="G626" s="77">
        <f t="shared" si="42"/>
        <v>6.6023000000000005</v>
      </c>
      <c r="H626" s="77">
        <f t="shared" si="39"/>
        <v>6.6</v>
      </c>
    </row>
    <row r="627" spans="1:8">
      <c r="A627" t="s">
        <v>2475</v>
      </c>
      <c r="B627" s="249">
        <v>8.4</v>
      </c>
      <c r="C627" s="248">
        <f>ROUND(B627*(1-'Disc Dep'!$C$121),2)</f>
        <v>6.22</v>
      </c>
      <c r="D627" s="248">
        <f>ROUND(C627*(1+'Adaos Distr'!$C$121),2)</f>
        <v>6.22</v>
      </c>
      <c r="E627" s="248">
        <f>ROUND(D627*(1+'Adaos RESELLER'!$C$121),2)</f>
        <v>6.22</v>
      </c>
      <c r="F627" s="248">
        <f>IF(Select!$E$23=1,C627,IF(Select!$E$23=2,D627,IF(Select!$E$23=3,E627)))</f>
        <v>6.22</v>
      </c>
      <c r="G627" s="77">
        <f t="shared" si="42"/>
        <v>8.652000000000001</v>
      </c>
      <c r="H627" s="77">
        <f t="shared" si="39"/>
        <v>8.65</v>
      </c>
    </row>
    <row r="628" spans="1:8">
      <c r="A628" t="s">
        <v>2476</v>
      </c>
      <c r="B628" s="249">
        <v>2.44</v>
      </c>
      <c r="C628" s="248">
        <f>ROUND(B628*(1-'Disc Dep'!$C$121),2)</f>
        <v>1.81</v>
      </c>
      <c r="D628" s="248">
        <f>ROUND(C628*(1+'Adaos Distr'!$C$121),2)</f>
        <v>1.81</v>
      </c>
      <c r="E628" s="248">
        <f>ROUND(D628*(1+'Adaos RESELLER'!$C$121),2)</f>
        <v>1.81</v>
      </c>
      <c r="F628" s="248">
        <f>IF(Select!$E$23=1,C628,IF(Select!$E$23=2,D628,IF(Select!$E$23=3,E628)))</f>
        <v>1.81</v>
      </c>
      <c r="G628" s="77">
        <f t="shared" si="42"/>
        <v>2.5131999999999999</v>
      </c>
      <c r="H628" s="77">
        <f t="shared" si="39"/>
        <v>2.5099999999999998</v>
      </c>
    </row>
    <row r="629" spans="1:8">
      <c r="A629" t="s">
        <v>2477</v>
      </c>
      <c r="B629" s="249">
        <v>4.43</v>
      </c>
      <c r="C629" s="248">
        <f>ROUND(B629*(1-'Disc Dep'!$C$121),2)</f>
        <v>3.28</v>
      </c>
      <c r="D629" s="248">
        <f>ROUND(C629*(1+'Adaos Distr'!$C$121),2)</f>
        <v>3.28</v>
      </c>
      <c r="E629" s="248">
        <f>ROUND(D629*(1+'Adaos RESELLER'!$C$121),2)</f>
        <v>3.28</v>
      </c>
      <c r="F629" s="248">
        <f>IF(Select!$E$23=1,C629,IF(Select!$E$23=2,D629,IF(Select!$E$23=3,E629)))</f>
        <v>3.28</v>
      </c>
      <c r="G629" s="77">
        <f t="shared" si="42"/>
        <v>4.5629</v>
      </c>
      <c r="H629" s="77">
        <f t="shared" ref="H629:H692" si="43">ROUND(G629,2)</f>
        <v>4.5599999999999996</v>
      </c>
    </row>
    <row r="630" spans="1:8">
      <c r="A630" t="s">
        <v>2478</v>
      </c>
      <c r="B630" s="249">
        <v>10.55</v>
      </c>
      <c r="C630" s="248">
        <f>ROUND(B630*(1-'Disc Dep'!$C$113),2)</f>
        <v>8.44</v>
      </c>
      <c r="D630" s="248">
        <f>ROUND(C630*(1+'Adaos Distr'!$C$113),2)</f>
        <v>8.44</v>
      </c>
      <c r="E630" s="248">
        <f>ROUND(D630*(1+'Adaos RESELLER'!$C$113),2)</f>
        <v>8.44</v>
      </c>
      <c r="F630" s="248">
        <f>IF(Select!$E$23=1,C630,IF(Select!$E$23=2,D630,IF(Select!$E$23=3,E630)))</f>
        <v>8.44</v>
      </c>
      <c r="G630" s="77">
        <f t="shared" si="42"/>
        <v>10.8665</v>
      </c>
      <c r="H630" s="77">
        <f t="shared" si="43"/>
        <v>10.87</v>
      </c>
    </row>
    <row r="631" spans="1:8">
      <c r="A631" t="s">
        <v>2479</v>
      </c>
      <c r="B631" s="249">
        <v>14.12</v>
      </c>
      <c r="C631" s="248">
        <f>ROUND(B631*(1-'Disc Dep'!$C$113),2)</f>
        <v>11.3</v>
      </c>
      <c r="D631" s="248">
        <f>ROUND(C631*(1+'Adaos Distr'!$C$113),2)</f>
        <v>11.3</v>
      </c>
      <c r="E631" s="248">
        <f>ROUND(D631*(1+'Adaos RESELLER'!$C$113),2)</f>
        <v>11.3</v>
      </c>
      <c r="F631" s="248">
        <f>IF(Select!$E$23=1,C631,IF(Select!$E$23=2,D631,IF(Select!$E$23=3,E631)))</f>
        <v>11.3</v>
      </c>
      <c r="G631" s="77">
        <f t="shared" si="42"/>
        <v>14.5436</v>
      </c>
      <c r="H631" s="77">
        <f t="shared" si="43"/>
        <v>14.54</v>
      </c>
    </row>
    <row r="632" spans="1:8">
      <c r="A632" t="s">
        <v>2480</v>
      </c>
      <c r="B632" s="249">
        <v>10.93</v>
      </c>
      <c r="C632" s="248">
        <f>ROUND(B632*(1-'Disc Dep'!$C$113),2)</f>
        <v>8.74</v>
      </c>
      <c r="D632" s="248">
        <f>ROUND(C632*(1+'Adaos Distr'!$C$113),2)</f>
        <v>8.74</v>
      </c>
      <c r="E632" s="248">
        <f>ROUND(D632*(1+'Adaos RESELLER'!$C$113),2)</f>
        <v>8.74</v>
      </c>
      <c r="F632" s="248">
        <f>IF(Select!$E$23=1,C632,IF(Select!$E$23=2,D632,IF(Select!$E$23=3,E632)))</f>
        <v>8.74</v>
      </c>
      <c r="G632" s="77">
        <f t="shared" si="42"/>
        <v>11.257899999999999</v>
      </c>
      <c r="H632" s="77">
        <f t="shared" si="43"/>
        <v>11.26</v>
      </c>
    </row>
    <row r="633" spans="1:8">
      <c r="A633" t="s">
        <v>2481</v>
      </c>
      <c r="B633" s="249">
        <v>3.16</v>
      </c>
      <c r="C633" s="248">
        <f>ROUND(B633*(1-'Disc Dep'!$C$113),2)</f>
        <v>2.5299999999999998</v>
      </c>
      <c r="D633" s="248">
        <f>ROUND(C633*(1+'Adaos Distr'!$C$113),2)</f>
        <v>2.5299999999999998</v>
      </c>
      <c r="E633" s="248">
        <f>ROUND(D633*(1+'Adaos RESELLER'!$C$113),2)</f>
        <v>2.5299999999999998</v>
      </c>
      <c r="F633" s="248">
        <f>IF(Select!$E$23=1,C633,IF(Select!$E$23=2,D633,IF(Select!$E$23=3,E633)))</f>
        <v>2.5299999999999998</v>
      </c>
      <c r="G633" s="77">
        <f t="shared" si="42"/>
        <v>3.2548000000000004</v>
      </c>
      <c r="H633" s="77">
        <f t="shared" si="43"/>
        <v>3.25</v>
      </c>
    </row>
    <row r="634" spans="1:8">
      <c r="A634" t="s">
        <v>2482</v>
      </c>
      <c r="B634" s="249">
        <v>1.24</v>
      </c>
      <c r="C634" s="248">
        <f>ROUND(B634*(1-'Disc Dep'!$C$113),2)</f>
        <v>0.99</v>
      </c>
      <c r="D634" s="248">
        <f>ROUND(C634*(1+'Adaos Distr'!$C$113),2)</f>
        <v>0.99</v>
      </c>
      <c r="E634" s="248">
        <f>ROUND(D634*(1+'Adaos RESELLER'!$C$113),2)</f>
        <v>0.99</v>
      </c>
      <c r="F634" s="248">
        <f>IF(Select!$E$23=1,C634,IF(Select!$E$23=2,D634,IF(Select!$E$23=3,E634)))</f>
        <v>0.99</v>
      </c>
      <c r="G634" s="77">
        <f t="shared" si="42"/>
        <v>1.2772000000000001</v>
      </c>
      <c r="H634" s="77">
        <f t="shared" si="43"/>
        <v>1.28</v>
      </c>
    </row>
    <row r="635" spans="1:8">
      <c r="A635" t="s">
        <v>2483</v>
      </c>
      <c r="B635" s="249">
        <v>1.69</v>
      </c>
      <c r="C635" s="248">
        <f>ROUND(B635*(1-'Disc Dep'!$C$113),2)</f>
        <v>1.35</v>
      </c>
      <c r="D635" s="248">
        <f>ROUND(C635*(1+'Adaos Distr'!$C$113),2)</f>
        <v>1.35</v>
      </c>
      <c r="E635" s="248">
        <f>ROUND(D635*(1+'Adaos RESELLER'!$C$113),2)</f>
        <v>1.35</v>
      </c>
      <c r="F635" s="248">
        <f>IF(Select!$E$23=1,C635,IF(Select!$E$23=2,D635,IF(Select!$E$23=3,E635)))</f>
        <v>1.35</v>
      </c>
      <c r="G635" s="77">
        <f t="shared" si="42"/>
        <v>1.7406999999999999</v>
      </c>
      <c r="H635" s="77">
        <f t="shared" si="43"/>
        <v>1.74</v>
      </c>
    </row>
    <row r="636" spans="1:8">
      <c r="A636" t="s">
        <v>2484</v>
      </c>
      <c r="B636" s="249">
        <v>0.36</v>
      </c>
      <c r="C636" s="248">
        <f>ROUND(B636*(1-'Disc Dep'!$C$113),2)</f>
        <v>0.28999999999999998</v>
      </c>
      <c r="D636" s="248">
        <f>ROUND(C636*(1+'Adaos Distr'!$C$113),2)</f>
        <v>0.28999999999999998</v>
      </c>
      <c r="E636" s="248">
        <f>ROUND(D636*(1+'Adaos RESELLER'!$C$113),2)</f>
        <v>0.28999999999999998</v>
      </c>
      <c r="F636" s="248">
        <f>IF(Select!$E$23=1,C636,IF(Select!$E$23=2,D636,IF(Select!$E$23=3,E636)))</f>
        <v>0.28999999999999998</v>
      </c>
      <c r="G636" s="77">
        <f t="shared" si="42"/>
        <v>0.37080000000000002</v>
      </c>
      <c r="H636" s="77">
        <f t="shared" si="43"/>
        <v>0.37</v>
      </c>
    </row>
    <row r="637" spans="1:8">
      <c r="A637" t="s">
        <v>2485</v>
      </c>
      <c r="B637" s="249">
        <v>0.49</v>
      </c>
      <c r="C637" s="248">
        <f>ROUND(B637*(1-'Disc Dep'!$C$113),2)</f>
        <v>0.39</v>
      </c>
      <c r="D637" s="248">
        <f>ROUND(C637*(1+'Adaos Distr'!$C$113),2)</f>
        <v>0.39</v>
      </c>
      <c r="E637" s="248">
        <f>ROUND(D637*(1+'Adaos RESELLER'!$C$113),2)</f>
        <v>0.39</v>
      </c>
      <c r="F637" s="248">
        <f>IF(Select!$E$23=1,C637,IF(Select!$E$23=2,D637,IF(Select!$E$23=3,E637)))</f>
        <v>0.39</v>
      </c>
      <c r="G637" s="77">
        <f t="shared" si="42"/>
        <v>0.50470000000000004</v>
      </c>
      <c r="H637" s="77">
        <f t="shared" si="43"/>
        <v>0.5</v>
      </c>
    </row>
    <row r="638" spans="1:8">
      <c r="B638" s="249">
        <v>0</v>
      </c>
      <c r="C638" s="248">
        <f>ROUND(B638*(1-'Disc Dep'!$C$121),2)</f>
        <v>0</v>
      </c>
      <c r="D638" s="248">
        <f>ROUND(C638*(1+'Adaos Distr'!$C$121),2)</f>
        <v>0</v>
      </c>
      <c r="E638" s="248">
        <f>ROUND(D638*(1+'Adaos RESELLER'!$C$121),2)</f>
        <v>0</v>
      </c>
      <c r="F638" s="248">
        <f>IF(Select!$E$23=1,C638,IF(Select!$E$23=2,D638,IF(Select!$E$23=3,E638)))</f>
        <v>0</v>
      </c>
      <c r="G638" s="77">
        <f t="shared" si="42"/>
        <v>0</v>
      </c>
      <c r="H638" s="77">
        <f t="shared" si="43"/>
        <v>0</v>
      </c>
    </row>
    <row r="639" spans="1:8">
      <c r="A639" t="s">
        <v>2486</v>
      </c>
      <c r="B639" s="249">
        <v>8.31</v>
      </c>
      <c r="C639" s="248">
        <f>ROUND(B639*(1-'Disc Dep'!$C$121),2)</f>
        <v>6.15</v>
      </c>
      <c r="D639" s="248">
        <f>ROUND(C639*(1+'Adaos Distr'!$C$121),2)</f>
        <v>6.15</v>
      </c>
      <c r="E639" s="248">
        <f>ROUND(D639*(1+'Adaos RESELLER'!$C$121),2)</f>
        <v>6.15</v>
      </c>
      <c r="F639" s="248">
        <f>IF(Select!$E$23=1,C639,IF(Select!$E$23=2,D639,IF(Select!$E$23=3,E639)))</f>
        <v>6.15</v>
      </c>
      <c r="G639" s="77">
        <f t="shared" si="42"/>
        <v>8.5593000000000004</v>
      </c>
      <c r="H639" s="77">
        <f t="shared" si="43"/>
        <v>8.56</v>
      </c>
    </row>
    <row r="640" spans="1:8">
      <c r="A640" t="s">
        <v>2487</v>
      </c>
      <c r="B640" s="249">
        <v>6.23</v>
      </c>
      <c r="C640" s="248">
        <f>ROUND(B640*(1-'Disc Dep'!$C$121),2)</f>
        <v>4.6100000000000003</v>
      </c>
      <c r="D640" s="248">
        <f>ROUND(C640*(1+'Adaos Distr'!$C$121),2)</f>
        <v>4.6100000000000003</v>
      </c>
      <c r="E640" s="248">
        <f>ROUND(D640*(1+'Adaos RESELLER'!$C$121),2)</f>
        <v>4.6100000000000003</v>
      </c>
      <c r="F640" s="248">
        <f>IF(Select!$E$23=1,C640,IF(Select!$E$23=2,D640,IF(Select!$E$23=3,E640)))</f>
        <v>4.6100000000000003</v>
      </c>
      <c r="G640" s="77">
        <f t="shared" si="42"/>
        <v>6.4169000000000009</v>
      </c>
      <c r="H640" s="77">
        <f t="shared" si="43"/>
        <v>6.42</v>
      </c>
    </row>
    <row r="641" spans="1:8">
      <c r="A641" t="s">
        <v>2488</v>
      </c>
      <c r="B641" s="249">
        <v>8.31</v>
      </c>
      <c r="C641" s="248">
        <f>ROUND(B641*(1-'Disc Dep'!$C$121),2)</f>
        <v>6.15</v>
      </c>
      <c r="D641" s="248">
        <f>ROUND(C641*(1+'Adaos Distr'!$C$121),2)</f>
        <v>6.15</v>
      </c>
      <c r="E641" s="248">
        <f>ROUND(D641*(1+'Adaos RESELLER'!$C$121),2)</f>
        <v>6.15</v>
      </c>
      <c r="F641" s="248">
        <f>IF(Select!$E$23=1,C641,IF(Select!$E$23=2,D641,IF(Select!$E$23=3,E641)))</f>
        <v>6.15</v>
      </c>
      <c r="G641" s="77">
        <f t="shared" si="42"/>
        <v>8.5593000000000004</v>
      </c>
      <c r="H641" s="77">
        <f t="shared" si="43"/>
        <v>8.56</v>
      </c>
    </row>
    <row r="642" spans="1:8">
      <c r="A642" t="s">
        <v>2489</v>
      </c>
      <c r="B642" s="249">
        <v>6.23</v>
      </c>
      <c r="C642" s="248">
        <f>ROUND(B642*(1-'Disc Dep'!$C$121),2)</f>
        <v>4.6100000000000003</v>
      </c>
      <c r="D642" s="248">
        <f>ROUND(C642*(1+'Adaos Distr'!$C$121),2)</f>
        <v>4.6100000000000003</v>
      </c>
      <c r="E642" s="248">
        <f>ROUND(D642*(1+'Adaos RESELLER'!$C$121),2)</f>
        <v>4.6100000000000003</v>
      </c>
      <c r="F642" s="248">
        <f>IF(Select!$E$23=1,C642,IF(Select!$E$23=2,D642,IF(Select!$E$23=3,E642)))</f>
        <v>4.6100000000000003</v>
      </c>
      <c r="G642" s="77">
        <f t="shared" si="42"/>
        <v>6.4169000000000009</v>
      </c>
      <c r="H642" s="77">
        <f t="shared" si="43"/>
        <v>6.42</v>
      </c>
    </row>
    <row r="643" spans="1:8">
      <c r="A643" t="s">
        <v>2490</v>
      </c>
      <c r="B643" s="249">
        <v>6.23</v>
      </c>
      <c r="C643" s="248">
        <f>ROUND(B643*(1-'Disc Dep'!$C$121),2)</f>
        <v>4.6100000000000003</v>
      </c>
      <c r="D643" s="248">
        <f>ROUND(C643*(1+'Adaos Distr'!$C$121),2)</f>
        <v>4.6100000000000003</v>
      </c>
      <c r="E643" s="248">
        <f>ROUND(D643*(1+'Adaos RESELLER'!$C$121),2)</f>
        <v>4.6100000000000003</v>
      </c>
      <c r="F643" s="248">
        <f>IF(Select!$E$23=1,C643,IF(Select!$E$23=2,D643,IF(Select!$E$23=3,E643)))</f>
        <v>4.6100000000000003</v>
      </c>
      <c r="G643" s="77">
        <f t="shared" si="42"/>
        <v>6.4169000000000009</v>
      </c>
      <c r="H643" s="77">
        <f t="shared" si="43"/>
        <v>6.42</v>
      </c>
    </row>
    <row r="644" spans="1:8">
      <c r="A644" t="s">
        <v>2491</v>
      </c>
      <c r="B644" s="249">
        <v>8.31</v>
      </c>
      <c r="C644" s="248">
        <f>ROUND(B644*(1-'Disc Dep'!$C$121),2)</f>
        <v>6.15</v>
      </c>
      <c r="D644" s="248">
        <f>ROUND(C644*(1+'Adaos Distr'!$C$121),2)</f>
        <v>6.15</v>
      </c>
      <c r="E644" s="248">
        <f>ROUND(D644*(1+'Adaos RESELLER'!$C$121),2)</f>
        <v>6.15</v>
      </c>
      <c r="F644" s="248">
        <f>IF(Select!$E$23=1,C644,IF(Select!$E$23=2,D644,IF(Select!$E$23=3,E644)))</f>
        <v>6.15</v>
      </c>
      <c r="G644" s="77">
        <f t="shared" si="42"/>
        <v>8.5593000000000004</v>
      </c>
      <c r="H644" s="77">
        <f t="shared" si="43"/>
        <v>8.56</v>
      </c>
    </row>
    <row r="645" spans="1:8">
      <c r="A645" t="s">
        <v>2492</v>
      </c>
      <c r="B645" s="249">
        <v>4.93</v>
      </c>
      <c r="C645" s="248">
        <f>ROUND(B645*(1-'Disc Dep'!$C$121),2)</f>
        <v>3.65</v>
      </c>
      <c r="D645" s="248">
        <f>ROUND(C645*(1+'Adaos Distr'!$C$121),2)</f>
        <v>3.65</v>
      </c>
      <c r="E645" s="248">
        <f>ROUND(D645*(1+'Adaos RESELLER'!$C$121),2)</f>
        <v>3.65</v>
      </c>
      <c r="F645" s="248">
        <f>IF(Select!$E$23=1,C645,IF(Select!$E$23=2,D645,IF(Select!$E$23=3,E645)))</f>
        <v>3.65</v>
      </c>
      <c r="G645" s="77">
        <f t="shared" si="42"/>
        <v>5.0778999999999996</v>
      </c>
      <c r="H645" s="77">
        <f t="shared" si="43"/>
        <v>5.08</v>
      </c>
    </row>
    <row r="646" spans="1:8">
      <c r="A646" t="s">
        <v>2493</v>
      </c>
      <c r="B646" s="249">
        <v>1.65</v>
      </c>
      <c r="C646" s="248">
        <f>ROUND(B646*(1-'Disc Dep'!$C$121),2)</f>
        <v>1.22</v>
      </c>
      <c r="D646" s="248">
        <f>ROUND(C646*(1+'Adaos Distr'!$C$121),2)</f>
        <v>1.22</v>
      </c>
      <c r="E646" s="248">
        <f>ROUND(D646*(1+'Adaos RESELLER'!$C$121),2)</f>
        <v>1.22</v>
      </c>
      <c r="F646" s="248">
        <f>IF(Select!$E$23=1,C646,IF(Select!$E$23=2,D646,IF(Select!$E$23=3,E646)))</f>
        <v>1.22</v>
      </c>
      <c r="G646" s="77">
        <f t="shared" si="42"/>
        <v>1.6995</v>
      </c>
      <c r="H646" s="77">
        <f t="shared" si="43"/>
        <v>1.7</v>
      </c>
    </row>
    <row r="647" spans="1:8">
      <c r="A647" t="s">
        <v>2494</v>
      </c>
      <c r="B647" s="249">
        <v>1.1299999999999999</v>
      </c>
      <c r="C647" s="248">
        <f>ROUND(B647*(1-'Disc Dep'!$C$121),2)</f>
        <v>0.84</v>
      </c>
      <c r="D647" s="248">
        <f>ROUND(C647*(1+'Adaos Distr'!$C$121),2)</f>
        <v>0.84</v>
      </c>
      <c r="E647" s="248">
        <f>ROUND(D647*(1+'Adaos RESELLER'!$C$121),2)</f>
        <v>0.84</v>
      </c>
      <c r="F647" s="248">
        <f>IF(Select!$E$23=1,C647,IF(Select!$E$23=2,D647,IF(Select!$E$23=3,E647)))</f>
        <v>0.84</v>
      </c>
      <c r="G647" s="77">
        <f t="shared" si="42"/>
        <v>1.1638999999999999</v>
      </c>
      <c r="H647" s="77">
        <f t="shared" si="43"/>
        <v>1.1599999999999999</v>
      </c>
    </row>
    <row r="648" spans="1:8">
      <c r="A648" t="s">
        <v>2495</v>
      </c>
      <c r="B648" s="249">
        <v>6.23</v>
      </c>
      <c r="C648" s="248">
        <f>ROUND(B648*(1-'Disc Dep'!$C$121),2)</f>
        <v>4.6100000000000003</v>
      </c>
      <c r="D648" s="248">
        <f>ROUND(C648*(1+'Adaos Distr'!$C$121),2)</f>
        <v>4.6100000000000003</v>
      </c>
      <c r="E648" s="248">
        <f>ROUND(D648*(1+'Adaos RESELLER'!$C$121),2)</f>
        <v>4.6100000000000003</v>
      </c>
      <c r="F648" s="248">
        <f>IF(Select!$E$23=1,C648,IF(Select!$E$23=2,D648,IF(Select!$E$23=3,E648)))</f>
        <v>4.6100000000000003</v>
      </c>
      <c r="G648" s="77">
        <f t="shared" si="42"/>
        <v>6.4169000000000009</v>
      </c>
      <c r="H648" s="77">
        <f t="shared" si="43"/>
        <v>6.42</v>
      </c>
    </row>
    <row r="649" spans="1:8">
      <c r="A649" t="s">
        <v>2496</v>
      </c>
      <c r="B649" s="249">
        <v>8.4</v>
      </c>
      <c r="C649" s="248">
        <f>ROUND(B649*(1-'Disc Dep'!$C$121),2)</f>
        <v>6.22</v>
      </c>
      <c r="D649" s="248">
        <f>ROUND(C649*(1+'Adaos Distr'!$C$121),2)</f>
        <v>6.22</v>
      </c>
      <c r="E649" s="248">
        <f>ROUND(D649*(1+'Adaos RESELLER'!$C$121),2)</f>
        <v>6.22</v>
      </c>
      <c r="F649" s="248">
        <f>IF(Select!$E$23=1,C649,IF(Select!$E$23=2,D649,IF(Select!$E$23=3,E649)))</f>
        <v>6.22</v>
      </c>
      <c r="G649" s="77">
        <f t="shared" si="42"/>
        <v>8.652000000000001</v>
      </c>
      <c r="H649" s="77">
        <f t="shared" si="43"/>
        <v>8.65</v>
      </c>
    </row>
    <row r="650" spans="1:8">
      <c r="A650" t="s">
        <v>2497</v>
      </c>
      <c r="B650" s="249">
        <v>2.44</v>
      </c>
      <c r="C650" s="248">
        <f>ROUND(B650*(1-'Disc Dep'!$C$121),2)</f>
        <v>1.81</v>
      </c>
      <c r="D650" s="248">
        <f>ROUND(C650*(1+'Adaos Distr'!$C$121),2)</f>
        <v>1.81</v>
      </c>
      <c r="E650" s="248">
        <f>ROUND(D650*(1+'Adaos RESELLER'!$C$121),2)</f>
        <v>1.81</v>
      </c>
      <c r="F650" s="248">
        <f>IF(Select!$E$23=1,C650,IF(Select!$E$23=2,D650,IF(Select!$E$23=3,E650)))</f>
        <v>1.81</v>
      </c>
      <c r="G650" s="77">
        <f t="shared" si="42"/>
        <v>2.5131999999999999</v>
      </c>
      <c r="H650" s="77">
        <f t="shared" si="43"/>
        <v>2.5099999999999998</v>
      </c>
    </row>
    <row r="651" spans="1:8">
      <c r="A651" t="s">
        <v>2498</v>
      </c>
      <c r="B651" s="249">
        <v>4.43</v>
      </c>
      <c r="C651" s="248">
        <f>ROUND(B651*(1-'Disc Dep'!$C$121),2)</f>
        <v>3.28</v>
      </c>
      <c r="D651" s="248">
        <f>ROUND(C651*(1+'Adaos Distr'!$C$121),2)</f>
        <v>3.28</v>
      </c>
      <c r="E651" s="248">
        <f>ROUND(D651*(1+'Adaos RESELLER'!$C$121),2)</f>
        <v>3.28</v>
      </c>
      <c r="F651" s="248">
        <f>IF(Select!$E$23=1,C651,IF(Select!$E$23=2,D651,IF(Select!$E$23=3,E651)))</f>
        <v>3.28</v>
      </c>
      <c r="G651" s="77">
        <f t="shared" si="42"/>
        <v>4.5629</v>
      </c>
      <c r="H651" s="77">
        <f t="shared" si="43"/>
        <v>4.5599999999999996</v>
      </c>
    </row>
    <row r="652" spans="1:8">
      <c r="A652" t="s">
        <v>2499</v>
      </c>
      <c r="B652" s="249">
        <v>10.55</v>
      </c>
      <c r="C652" s="248">
        <f>ROUND(B652*(1-'Disc Dep'!$C$113),2)</f>
        <v>8.44</v>
      </c>
      <c r="D652" s="248">
        <f>ROUND(C652*(1+'Adaos Distr'!$C$113),2)</f>
        <v>8.44</v>
      </c>
      <c r="E652" s="248">
        <f>ROUND(D652*(1+'Adaos RESELLER'!$C$113),2)</f>
        <v>8.44</v>
      </c>
      <c r="F652" s="248">
        <f>IF(Select!$E$23=1,C652,IF(Select!$E$23=2,D652,IF(Select!$E$23=3,E652)))</f>
        <v>8.44</v>
      </c>
      <c r="G652" s="77">
        <f t="shared" si="42"/>
        <v>10.8665</v>
      </c>
      <c r="H652" s="77">
        <f t="shared" si="43"/>
        <v>10.87</v>
      </c>
    </row>
    <row r="653" spans="1:8">
      <c r="A653" t="s">
        <v>2500</v>
      </c>
      <c r="B653" s="249">
        <v>14.12</v>
      </c>
      <c r="C653" s="248">
        <f>ROUND(B653*(1-'Disc Dep'!$C$113),2)</f>
        <v>11.3</v>
      </c>
      <c r="D653" s="248">
        <f>ROUND(C653*(1+'Adaos Distr'!$C$113),2)</f>
        <v>11.3</v>
      </c>
      <c r="E653" s="248">
        <f>ROUND(D653*(1+'Adaos RESELLER'!$C$113),2)</f>
        <v>11.3</v>
      </c>
      <c r="F653" s="248">
        <f>IF(Select!$E$23=1,C653,IF(Select!$E$23=2,D653,IF(Select!$E$23=3,E653)))</f>
        <v>11.3</v>
      </c>
      <c r="G653" s="77">
        <f t="shared" si="42"/>
        <v>14.5436</v>
      </c>
      <c r="H653" s="77">
        <f t="shared" si="43"/>
        <v>14.54</v>
      </c>
    </row>
    <row r="654" spans="1:8">
      <c r="A654" t="s">
        <v>2501</v>
      </c>
      <c r="B654" s="249">
        <v>10.93</v>
      </c>
      <c r="C654" s="248">
        <f>ROUND(B654*(1-'Disc Dep'!$C$113),2)</f>
        <v>8.74</v>
      </c>
      <c r="D654" s="248">
        <f>ROUND(C654*(1+'Adaos Distr'!$C$113),2)</f>
        <v>8.74</v>
      </c>
      <c r="E654" s="248">
        <f>ROUND(D654*(1+'Adaos RESELLER'!$C$113),2)</f>
        <v>8.74</v>
      </c>
      <c r="F654" s="248">
        <f>IF(Select!$E$23=1,C654,IF(Select!$E$23=2,D654,IF(Select!$E$23=3,E654)))</f>
        <v>8.74</v>
      </c>
      <c r="G654" s="77">
        <f t="shared" si="42"/>
        <v>11.257899999999999</v>
      </c>
      <c r="H654" s="77">
        <f t="shared" si="43"/>
        <v>11.26</v>
      </c>
    </row>
    <row r="655" spans="1:8">
      <c r="A655" t="s">
        <v>2502</v>
      </c>
      <c r="B655" s="249">
        <v>3.16</v>
      </c>
      <c r="C655" s="248">
        <f>ROUND(B655*(1-'Disc Dep'!$C$113),2)</f>
        <v>2.5299999999999998</v>
      </c>
      <c r="D655" s="248">
        <f>ROUND(C655*(1+'Adaos Distr'!$C$113),2)</f>
        <v>2.5299999999999998</v>
      </c>
      <c r="E655" s="248">
        <f>ROUND(D655*(1+'Adaos RESELLER'!$C$113),2)</f>
        <v>2.5299999999999998</v>
      </c>
      <c r="F655" s="248">
        <f>IF(Select!$E$23=1,C655,IF(Select!$E$23=2,D655,IF(Select!$E$23=3,E655)))</f>
        <v>2.5299999999999998</v>
      </c>
      <c r="G655" s="77">
        <f t="shared" si="42"/>
        <v>3.2548000000000004</v>
      </c>
      <c r="H655" s="77">
        <f t="shared" si="43"/>
        <v>3.25</v>
      </c>
    </row>
    <row r="656" spans="1:8">
      <c r="A656" t="s">
        <v>2503</v>
      </c>
      <c r="B656" s="249">
        <v>1.24</v>
      </c>
      <c r="C656" s="248">
        <f>ROUND(B656*(1-'Disc Dep'!$C$113),2)</f>
        <v>0.99</v>
      </c>
      <c r="D656" s="248">
        <f>ROUND(C656*(1+'Adaos Distr'!$C$113),2)</f>
        <v>0.99</v>
      </c>
      <c r="E656" s="248">
        <f>ROUND(D656*(1+'Adaos RESELLER'!$C$113),2)</f>
        <v>0.99</v>
      </c>
      <c r="F656" s="248">
        <f>IF(Select!$E$23=1,C656,IF(Select!$E$23=2,D656,IF(Select!$E$23=3,E656)))</f>
        <v>0.99</v>
      </c>
      <c r="G656" s="77">
        <f t="shared" si="42"/>
        <v>1.2772000000000001</v>
      </c>
      <c r="H656" s="77">
        <f t="shared" si="43"/>
        <v>1.28</v>
      </c>
    </row>
    <row r="657" spans="1:8">
      <c r="A657" t="s">
        <v>2504</v>
      </c>
      <c r="B657" s="249">
        <v>1.69</v>
      </c>
      <c r="C657" s="248">
        <f>ROUND(B657*(1-'Disc Dep'!$C$113),2)</f>
        <v>1.35</v>
      </c>
      <c r="D657" s="248">
        <f>ROUND(C657*(1+'Adaos Distr'!$C$113),2)</f>
        <v>1.35</v>
      </c>
      <c r="E657" s="248">
        <f>ROUND(D657*(1+'Adaos RESELLER'!$C$113),2)</f>
        <v>1.35</v>
      </c>
      <c r="F657" s="248">
        <f>IF(Select!$E$23=1,C657,IF(Select!$E$23=2,D657,IF(Select!$E$23=3,E657)))</f>
        <v>1.35</v>
      </c>
      <c r="G657" s="77">
        <f t="shared" si="42"/>
        <v>1.7406999999999999</v>
      </c>
      <c r="H657" s="77">
        <f t="shared" si="43"/>
        <v>1.74</v>
      </c>
    </row>
    <row r="658" spans="1:8">
      <c r="A658" t="s">
        <v>2505</v>
      </c>
      <c r="B658" s="249">
        <v>0.36</v>
      </c>
      <c r="C658" s="248">
        <f>ROUND(B658*(1-'Disc Dep'!$C$113),2)</f>
        <v>0.28999999999999998</v>
      </c>
      <c r="D658" s="248">
        <f>ROUND(C658*(1+'Adaos Distr'!$C$113),2)</f>
        <v>0.28999999999999998</v>
      </c>
      <c r="E658" s="248">
        <f>ROUND(D658*(1+'Adaos RESELLER'!$C$113),2)</f>
        <v>0.28999999999999998</v>
      </c>
      <c r="F658" s="248">
        <f>IF(Select!$E$23=1,C658,IF(Select!$E$23=2,D658,IF(Select!$E$23=3,E658)))</f>
        <v>0.28999999999999998</v>
      </c>
      <c r="G658" s="77">
        <f t="shared" si="42"/>
        <v>0.37080000000000002</v>
      </c>
      <c r="H658" s="77">
        <f t="shared" si="43"/>
        <v>0.37</v>
      </c>
    </row>
    <row r="659" spans="1:8">
      <c r="A659" t="s">
        <v>2506</v>
      </c>
      <c r="B659" s="249">
        <v>0.49</v>
      </c>
      <c r="C659" s="248">
        <f>ROUND(B659*(1-'Disc Dep'!$C$113),2)</f>
        <v>0.39</v>
      </c>
      <c r="D659" s="248">
        <f>ROUND(C659*(1+'Adaos Distr'!$C$113),2)</f>
        <v>0.39</v>
      </c>
      <c r="E659" s="248">
        <f>ROUND(D659*(1+'Adaos RESELLER'!$C$113),2)</f>
        <v>0.39</v>
      </c>
      <c r="F659" s="248">
        <f>IF(Select!$E$23=1,C659,IF(Select!$E$23=2,D659,IF(Select!$E$23=3,E659)))</f>
        <v>0.39</v>
      </c>
      <c r="G659" s="77">
        <f t="shared" si="42"/>
        <v>0.50470000000000004</v>
      </c>
      <c r="H659" s="77">
        <f t="shared" si="43"/>
        <v>0.5</v>
      </c>
    </row>
    <row r="660" spans="1:8">
      <c r="B660" s="249">
        <v>0</v>
      </c>
      <c r="C660" s="248">
        <f>ROUND(B660*(1-'Disc Dep'!$C$121),2)</f>
        <v>0</v>
      </c>
      <c r="D660" s="248">
        <f>ROUND(C660*(1+'Adaos Distr'!$C$121),2)</f>
        <v>0</v>
      </c>
      <c r="E660" s="248">
        <f>ROUND(D660*(1+'Adaos RESELLER'!$C$121),2)</f>
        <v>0</v>
      </c>
      <c r="F660" s="248">
        <f>IF(Select!$E$23=1,C660,IF(Select!$E$23=2,D660,IF(Select!$E$23=3,E660)))</f>
        <v>0</v>
      </c>
      <c r="G660" s="77">
        <f t="shared" ref="G660:G723" si="44">B660*1.03</f>
        <v>0</v>
      </c>
      <c r="H660" s="77">
        <f t="shared" si="43"/>
        <v>0</v>
      </c>
    </row>
    <row r="661" spans="1:8">
      <c r="A661" t="s">
        <v>2507</v>
      </c>
      <c r="B661" s="249">
        <v>8.6300000000000008</v>
      </c>
      <c r="C661" s="248">
        <f>ROUND(B661*(1-'Disc Dep'!$C$121),2)</f>
        <v>6.39</v>
      </c>
      <c r="D661" s="248">
        <f>ROUND(C661*(1+'Adaos Distr'!$C$121),2)</f>
        <v>6.39</v>
      </c>
      <c r="E661" s="248">
        <f>ROUND(D661*(1+'Adaos RESELLER'!$C$121),2)</f>
        <v>6.39</v>
      </c>
      <c r="F661" s="248">
        <f>IF(Select!$E$23=1,C661,IF(Select!$E$23=2,D661,IF(Select!$E$23=3,E661)))</f>
        <v>6.39</v>
      </c>
      <c r="G661" s="77">
        <f t="shared" si="44"/>
        <v>8.8889000000000014</v>
      </c>
      <c r="H661" s="77">
        <f t="shared" si="43"/>
        <v>8.89</v>
      </c>
    </row>
    <row r="662" spans="1:8">
      <c r="A662" t="s">
        <v>2508</v>
      </c>
      <c r="B662" s="249">
        <v>6.48</v>
      </c>
      <c r="C662" s="248">
        <f>ROUND(B662*(1-'Disc Dep'!$C$121),2)</f>
        <v>4.8</v>
      </c>
      <c r="D662" s="248">
        <f>ROUND(C662*(1+'Adaos Distr'!$C$121),2)</f>
        <v>4.8</v>
      </c>
      <c r="E662" s="248">
        <f>ROUND(D662*(1+'Adaos RESELLER'!$C$121),2)</f>
        <v>4.8</v>
      </c>
      <c r="F662" s="248">
        <f>IF(Select!$E$23=1,C662,IF(Select!$E$23=2,D662,IF(Select!$E$23=3,E662)))</f>
        <v>4.8</v>
      </c>
      <c r="G662" s="77">
        <f t="shared" si="44"/>
        <v>6.6744000000000003</v>
      </c>
      <c r="H662" s="77">
        <f t="shared" si="43"/>
        <v>6.67</v>
      </c>
    </row>
    <row r="663" spans="1:8">
      <c r="A663" t="s">
        <v>2509</v>
      </c>
      <c r="B663" s="249">
        <v>8.6300000000000008</v>
      </c>
      <c r="C663" s="248">
        <f>ROUND(B663*(1-'Disc Dep'!$C$121),2)</f>
        <v>6.39</v>
      </c>
      <c r="D663" s="248">
        <f>ROUND(C663*(1+'Adaos Distr'!$C$121),2)</f>
        <v>6.39</v>
      </c>
      <c r="E663" s="248">
        <f>ROUND(D663*(1+'Adaos RESELLER'!$C$121),2)</f>
        <v>6.39</v>
      </c>
      <c r="F663" s="248">
        <f>IF(Select!$E$23=1,C663,IF(Select!$E$23=2,D663,IF(Select!$E$23=3,E663)))</f>
        <v>6.39</v>
      </c>
      <c r="G663" s="77">
        <f t="shared" si="44"/>
        <v>8.8889000000000014</v>
      </c>
      <c r="H663" s="77">
        <f t="shared" si="43"/>
        <v>8.89</v>
      </c>
    </row>
    <row r="664" spans="1:8">
      <c r="A664" t="s">
        <v>2510</v>
      </c>
      <c r="B664" s="249">
        <v>6.48</v>
      </c>
      <c r="C664" s="248">
        <f>ROUND(B664*(1-'Disc Dep'!$C$121),2)</f>
        <v>4.8</v>
      </c>
      <c r="D664" s="248">
        <f>ROUND(C664*(1+'Adaos Distr'!$C$121),2)</f>
        <v>4.8</v>
      </c>
      <c r="E664" s="248">
        <f>ROUND(D664*(1+'Adaos RESELLER'!$C$121),2)</f>
        <v>4.8</v>
      </c>
      <c r="F664" s="248">
        <f>IF(Select!$E$23=1,C664,IF(Select!$E$23=2,D664,IF(Select!$E$23=3,E664)))</f>
        <v>4.8</v>
      </c>
      <c r="G664" s="77">
        <f t="shared" si="44"/>
        <v>6.6744000000000003</v>
      </c>
      <c r="H664" s="77">
        <f t="shared" si="43"/>
        <v>6.67</v>
      </c>
    </row>
    <row r="665" spans="1:8">
      <c r="A665" t="s">
        <v>2511</v>
      </c>
      <c r="B665" s="249">
        <v>6.48</v>
      </c>
      <c r="C665" s="248">
        <f>ROUND(B665*(1-'Disc Dep'!$C$121),2)</f>
        <v>4.8</v>
      </c>
      <c r="D665" s="248">
        <f>ROUND(C665*(1+'Adaos Distr'!$C$121),2)</f>
        <v>4.8</v>
      </c>
      <c r="E665" s="248">
        <f>ROUND(D665*(1+'Adaos RESELLER'!$C$121),2)</f>
        <v>4.8</v>
      </c>
      <c r="F665" s="248">
        <f>IF(Select!$E$23=1,C665,IF(Select!$E$23=2,D665,IF(Select!$E$23=3,E665)))</f>
        <v>4.8</v>
      </c>
      <c r="G665" s="77">
        <f t="shared" si="44"/>
        <v>6.6744000000000003</v>
      </c>
      <c r="H665" s="77">
        <f t="shared" si="43"/>
        <v>6.67</v>
      </c>
    </row>
    <row r="666" spans="1:8">
      <c r="A666" t="s">
        <v>2512</v>
      </c>
      <c r="B666" s="249">
        <v>8.6300000000000008</v>
      </c>
      <c r="C666" s="248">
        <f>ROUND(B666*(1-'Disc Dep'!$C$121),2)</f>
        <v>6.39</v>
      </c>
      <c r="D666" s="248">
        <f>ROUND(C666*(1+'Adaos Distr'!$C$121),2)</f>
        <v>6.39</v>
      </c>
      <c r="E666" s="248">
        <f>ROUND(D666*(1+'Adaos RESELLER'!$C$121),2)</f>
        <v>6.39</v>
      </c>
      <c r="F666" s="248">
        <f>IF(Select!$E$23=1,C666,IF(Select!$E$23=2,D666,IF(Select!$E$23=3,E666)))</f>
        <v>6.39</v>
      </c>
      <c r="G666" s="77">
        <f t="shared" si="44"/>
        <v>8.8889000000000014</v>
      </c>
      <c r="H666" s="77">
        <f t="shared" si="43"/>
        <v>8.89</v>
      </c>
    </row>
    <row r="667" spans="1:8">
      <c r="A667" t="s">
        <v>2513</v>
      </c>
      <c r="B667" s="249">
        <v>5.29</v>
      </c>
      <c r="C667" s="248">
        <f>ROUND(B667*(1-'Disc Dep'!$C$121),2)</f>
        <v>3.91</v>
      </c>
      <c r="D667" s="248">
        <f>ROUND(C667*(1+'Adaos Distr'!$C$121),2)</f>
        <v>3.91</v>
      </c>
      <c r="E667" s="248">
        <f>ROUND(D667*(1+'Adaos RESELLER'!$C$121),2)</f>
        <v>3.91</v>
      </c>
      <c r="F667" s="248">
        <f>IF(Select!$E$23=1,C667,IF(Select!$E$23=2,D667,IF(Select!$E$23=3,E667)))</f>
        <v>3.91</v>
      </c>
      <c r="G667" s="77">
        <f t="shared" si="44"/>
        <v>5.4487000000000005</v>
      </c>
      <c r="H667" s="77">
        <f t="shared" si="43"/>
        <v>5.45</v>
      </c>
    </row>
    <row r="668" spans="1:8">
      <c r="A668" t="s">
        <v>2514</v>
      </c>
      <c r="B668" s="249">
        <v>1.83</v>
      </c>
      <c r="C668" s="248">
        <f>ROUND(B668*(1-'Disc Dep'!$C$121),2)</f>
        <v>1.35</v>
      </c>
      <c r="D668" s="248">
        <f>ROUND(C668*(1+'Adaos Distr'!$C$121),2)</f>
        <v>1.35</v>
      </c>
      <c r="E668" s="248">
        <f>ROUND(D668*(1+'Adaos RESELLER'!$C$121),2)</f>
        <v>1.35</v>
      </c>
      <c r="F668" s="248">
        <f>IF(Select!$E$23=1,C668,IF(Select!$E$23=2,D668,IF(Select!$E$23=3,E668)))</f>
        <v>1.35</v>
      </c>
      <c r="G668" s="77">
        <f t="shared" si="44"/>
        <v>1.8849</v>
      </c>
      <c r="H668" s="77">
        <f t="shared" si="43"/>
        <v>1.88</v>
      </c>
    </row>
    <row r="669" spans="1:8">
      <c r="A669" t="s">
        <v>2515</v>
      </c>
      <c r="B669" s="249">
        <v>1.23</v>
      </c>
      <c r="C669" s="248">
        <f>ROUND(B669*(1-'Disc Dep'!$C$121),2)</f>
        <v>0.91</v>
      </c>
      <c r="D669" s="248">
        <f>ROUND(C669*(1+'Adaos Distr'!$C$121),2)</f>
        <v>0.91</v>
      </c>
      <c r="E669" s="248">
        <f>ROUND(D669*(1+'Adaos RESELLER'!$C$121),2)</f>
        <v>0.91</v>
      </c>
      <c r="F669" s="248">
        <f>IF(Select!$E$23=1,C669,IF(Select!$E$23=2,D669,IF(Select!$E$23=3,E669)))</f>
        <v>0.91</v>
      </c>
      <c r="G669" s="77">
        <f t="shared" si="44"/>
        <v>1.2668999999999999</v>
      </c>
      <c r="H669" s="77">
        <f t="shared" si="43"/>
        <v>1.27</v>
      </c>
    </row>
    <row r="670" spans="1:8">
      <c r="A670" t="s">
        <v>2516</v>
      </c>
      <c r="B670" s="249">
        <v>6.48</v>
      </c>
      <c r="C670" s="248">
        <f>ROUND(B670*(1-'Disc Dep'!$C$121),2)</f>
        <v>4.8</v>
      </c>
      <c r="D670" s="248">
        <f>ROUND(C670*(1+'Adaos Distr'!$C$121),2)</f>
        <v>4.8</v>
      </c>
      <c r="E670" s="248">
        <f>ROUND(D670*(1+'Adaos RESELLER'!$C$121),2)</f>
        <v>4.8</v>
      </c>
      <c r="F670" s="248">
        <f>IF(Select!$E$23=1,C670,IF(Select!$E$23=2,D670,IF(Select!$E$23=3,E670)))</f>
        <v>4.8</v>
      </c>
      <c r="G670" s="77">
        <f t="shared" si="44"/>
        <v>6.6744000000000003</v>
      </c>
      <c r="H670" s="77">
        <f t="shared" si="43"/>
        <v>6.67</v>
      </c>
    </row>
    <row r="671" spans="1:8">
      <c r="A671" t="s">
        <v>2517</v>
      </c>
      <c r="B671" s="249">
        <v>9.0299999999999994</v>
      </c>
      <c r="C671" s="248">
        <f>ROUND(B671*(1-'Disc Dep'!$C$121),2)</f>
        <v>6.68</v>
      </c>
      <c r="D671" s="248">
        <f>ROUND(C671*(1+'Adaos Distr'!$C$121),2)</f>
        <v>6.68</v>
      </c>
      <c r="E671" s="248">
        <f>ROUND(D671*(1+'Adaos RESELLER'!$C$121),2)</f>
        <v>6.68</v>
      </c>
      <c r="F671" s="248">
        <f>IF(Select!$E$23=1,C671,IF(Select!$E$23=2,D671,IF(Select!$E$23=3,E671)))</f>
        <v>6.68</v>
      </c>
      <c r="G671" s="77">
        <f t="shared" si="44"/>
        <v>9.3009000000000004</v>
      </c>
      <c r="H671" s="77">
        <f t="shared" si="43"/>
        <v>9.3000000000000007</v>
      </c>
    </row>
    <row r="672" spans="1:8">
      <c r="A672" t="s">
        <v>2518</v>
      </c>
      <c r="B672" s="249">
        <v>2.74</v>
      </c>
      <c r="C672" s="248">
        <f>ROUND(B672*(1-'Disc Dep'!$C$121),2)</f>
        <v>2.0299999999999998</v>
      </c>
      <c r="D672" s="248">
        <f>ROUND(C672*(1+'Adaos Distr'!$C$121),2)</f>
        <v>2.0299999999999998</v>
      </c>
      <c r="E672" s="248">
        <f>ROUND(D672*(1+'Adaos RESELLER'!$C$121),2)</f>
        <v>2.0299999999999998</v>
      </c>
      <c r="F672" s="248">
        <f>IF(Select!$E$23=1,C672,IF(Select!$E$23=2,D672,IF(Select!$E$23=3,E672)))</f>
        <v>2.0299999999999998</v>
      </c>
      <c r="G672" s="77">
        <f t="shared" si="44"/>
        <v>2.8222000000000005</v>
      </c>
      <c r="H672" s="77">
        <f t="shared" si="43"/>
        <v>2.82</v>
      </c>
    </row>
    <row r="673" spans="1:8">
      <c r="A673" t="s">
        <v>2519</v>
      </c>
      <c r="B673" s="249">
        <v>4.43</v>
      </c>
      <c r="C673" s="248">
        <f>ROUND(B673*(1-'Disc Dep'!$C$121),2)</f>
        <v>3.28</v>
      </c>
      <c r="D673" s="248">
        <f>ROUND(C673*(1+'Adaos Distr'!$C$121),2)</f>
        <v>3.28</v>
      </c>
      <c r="E673" s="248">
        <f>ROUND(D673*(1+'Adaos RESELLER'!$C$121),2)</f>
        <v>3.28</v>
      </c>
      <c r="F673" s="248">
        <f>IF(Select!$E$23=1,C673,IF(Select!$E$23=2,D673,IF(Select!$E$23=3,E673)))</f>
        <v>3.28</v>
      </c>
      <c r="G673" s="77">
        <f t="shared" si="44"/>
        <v>4.5629</v>
      </c>
      <c r="H673" s="77">
        <f t="shared" si="43"/>
        <v>4.5599999999999996</v>
      </c>
    </row>
    <row r="674" spans="1:8">
      <c r="A674" t="s">
        <v>2520</v>
      </c>
      <c r="B674" s="249">
        <v>10.55</v>
      </c>
      <c r="C674" s="248">
        <f>ROUND(B674*(1-'Disc Dep'!$C$113),2)</f>
        <v>8.44</v>
      </c>
      <c r="D674" s="248">
        <f>ROUND(C674*(1+'Adaos Distr'!$C$113),2)</f>
        <v>8.44</v>
      </c>
      <c r="E674" s="248">
        <f>ROUND(D674*(1+'Adaos RESELLER'!$C$113),2)</f>
        <v>8.44</v>
      </c>
      <c r="F674" s="248">
        <f>IF(Select!$E$23=1,C674,IF(Select!$E$23=2,D674,IF(Select!$E$23=3,E674)))</f>
        <v>8.44</v>
      </c>
      <c r="G674" s="77">
        <f t="shared" si="44"/>
        <v>10.8665</v>
      </c>
      <c r="H674" s="77">
        <f t="shared" si="43"/>
        <v>10.87</v>
      </c>
    </row>
    <row r="675" spans="1:8">
      <c r="A675" t="s">
        <v>2521</v>
      </c>
      <c r="B675" s="249">
        <v>14.12</v>
      </c>
      <c r="C675" s="248">
        <f>ROUND(B675*(1-'Disc Dep'!$C$113),2)</f>
        <v>11.3</v>
      </c>
      <c r="D675" s="248">
        <f>ROUND(C675*(1+'Adaos Distr'!$C$113),2)</f>
        <v>11.3</v>
      </c>
      <c r="E675" s="248">
        <f>ROUND(D675*(1+'Adaos RESELLER'!$C$113),2)</f>
        <v>11.3</v>
      </c>
      <c r="F675" s="248">
        <f>IF(Select!$E$23=1,C675,IF(Select!$E$23=2,D675,IF(Select!$E$23=3,E675)))</f>
        <v>11.3</v>
      </c>
      <c r="G675" s="77">
        <f t="shared" si="44"/>
        <v>14.5436</v>
      </c>
      <c r="H675" s="77">
        <f t="shared" si="43"/>
        <v>14.54</v>
      </c>
    </row>
    <row r="676" spans="1:8">
      <c r="A676" t="s">
        <v>2522</v>
      </c>
      <c r="B676" s="249">
        <v>10.93</v>
      </c>
      <c r="C676" s="248">
        <f>ROUND(B676*(1-'Disc Dep'!$C$113),2)</f>
        <v>8.74</v>
      </c>
      <c r="D676" s="248">
        <f>ROUND(C676*(1+'Adaos Distr'!$C$113),2)</f>
        <v>8.74</v>
      </c>
      <c r="E676" s="248">
        <f>ROUND(D676*(1+'Adaos RESELLER'!$C$113),2)</f>
        <v>8.74</v>
      </c>
      <c r="F676" s="248">
        <f>IF(Select!$E$23=1,C676,IF(Select!$E$23=2,D676,IF(Select!$E$23=3,E676)))</f>
        <v>8.74</v>
      </c>
      <c r="G676" s="77">
        <f t="shared" si="44"/>
        <v>11.257899999999999</v>
      </c>
      <c r="H676" s="77">
        <f t="shared" si="43"/>
        <v>11.26</v>
      </c>
    </row>
    <row r="677" spans="1:8">
      <c r="A677" t="s">
        <v>2523</v>
      </c>
      <c r="B677" s="249">
        <v>3.16</v>
      </c>
      <c r="C677" s="248">
        <f>ROUND(B677*(1-'Disc Dep'!$C$113),2)</f>
        <v>2.5299999999999998</v>
      </c>
      <c r="D677" s="248">
        <f>ROUND(C677*(1+'Adaos Distr'!$C$113),2)</f>
        <v>2.5299999999999998</v>
      </c>
      <c r="E677" s="248">
        <f>ROUND(D677*(1+'Adaos RESELLER'!$C$113),2)</f>
        <v>2.5299999999999998</v>
      </c>
      <c r="F677" s="248">
        <f>IF(Select!$E$23=1,C677,IF(Select!$E$23=2,D677,IF(Select!$E$23=3,E677)))</f>
        <v>2.5299999999999998</v>
      </c>
      <c r="G677" s="77">
        <f t="shared" si="44"/>
        <v>3.2548000000000004</v>
      </c>
      <c r="H677" s="77">
        <f t="shared" si="43"/>
        <v>3.25</v>
      </c>
    </row>
    <row r="678" spans="1:8">
      <c r="A678" t="s">
        <v>2524</v>
      </c>
      <c r="B678" s="249">
        <v>1.24</v>
      </c>
      <c r="C678" s="248">
        <f>ROUND(B678*(1-'Disc Dep'!$C$113),2)</f>
        <v>0.99</v>
      </c>
      <c r="D678" s="248">
        <f>ROUND(C678*(1+'Adaos Distr'!$C$113),2)</f>
        <v>0.99</v>
      </c>
      <c r="E678" s="248">
        <f>ROUND(D678*(1+'Adaos RESELLER'!$C$113),2)</f>
        <v>0.99</v>
      </c>
      <c r="F678" s="248">
        <f>IF(Select!$E$23=1,C678,IF(Select!$E$23=2,D678,IF(Select!$E$23=3,E678)))</f>
        <v>0.99</v>
      </c>
      <c r="G678" s="77">
        <f t="shared" si="44"/>
        <v>1.2772000000000001</v>
      </c>
      <c r="H678" s="77">
        <f t="shared" si="43"/>
        <v>1.28</v>
      </c>
    </row>
    <row r="679" spans="1:8">
      <c r="A679" t="s">
        <v>2525</v>
      </c>
      <c r="B679" s="249">
        <v>1.69</v>
      </c>
      <c r="C679" s="248">
        <f>ROUND(B679*(1-'Disc Dep'!$C$113),2)</f>
        <v>1.35</v>
      </c>
      <c r="D679" s="248">
        <f>ROUND(C679*(1+'Adaos Distr'!$C$113),2)</f>
        <v>1.35</v>
      </c>
      <c r="E679" s="248">
        <f>ROUND(D679*(1+'Adaos RESELLER'!$C$113),2)</f>
        <v>1.35</v>
      </c>
      <c r="F679" s="248">
        <f>IF(Select!$E$23=1,C679,IF(Select!$E$23=2,D679,IF(Select!$E$23=3,E679)))</f>
        <v>1.35</v>
      </c>
      <c r="G679" s="77">
        <f t="shared" si="44"/>
        <v>1.7406999999999999</v>
      </c>
      <c r="H679" s="77">
        <f t="shared" si="43"/>
        <v>1.74</v>
      </c>
    </row>
    <row r="680" spans="1:8">
      <c r="A680" t="s">
        <v>2526</v>
      </c>
      <c r="B680" s="249">
        <v>0.36</v>
      </c>
      <c r="C680" s="248">
        <f>ROUND(B680*(1-'Disc Dep'!$C$113),2)</f>
        <v>0.28999999999999998</v>
      </c>
      <c r="D680" s="248">
        <f>ROUND(C680*(1+'Adaos Distr'!$C$113),2)</f>
        <v>0.28999999999999998</v>
      </c>
      <c r="E680" s="248">
        <f>ROUND(D680*(1+'Adaos RESELLER'!$C$113),2)</f>
        <v>0.28999999999999998</v>
      </c>
      <c r="F680" s="248">
        <f>IF(Select!$E$23=1,C680,IF(Select!$E$23=2,D680,IF(Select!$E$23=3,E680)))</f>
        <v>0.28999999999999998</v>
      </c>
      <c r="G680" s="77">
        <f t="shared" si="44"/>
        <v>0.37080000000000002</v>
      </c>
      <c r="H680" s="77">
        <f t="shared" si="43"/>
        <v>0.37</v>
      </c>
    </row>
    <row r="681" spans="1:8">
      <c r="A681" t="s">
        <v>2527</v>
      </c>
      <c r="B681" s="249">
        <v>0.49</v>
      </c>
      <c r="C681" s="248">
        <f>ROUND(B681*(1-'Disc Dep'!$C$113),2)</f>
        <v>0.39</v>
      </c>
      <c r="D681" s="248">
        <f>ROUND(C681*(1+'Adaos Distr'!$C$113),2)</f>
        <v>0.39</v>
      </c>
      <c r="E681" s="248">
        <f>ROUND(D681*(1+'Adaos RESELLER'!$C$113),2)</f>
        <v>0.39</v>
      </c>
      <c r="F681" s="248">
        <f>IF(Select!$E$23=1,C681,IF(Select!$E$23=2,D681,IF(Select!$E$23=3,E681)))</f>
        <v>0.39</v>
      </c>
      <c r="G681" s="77">
        <f t="shared" si="44"/>
        <v>0.50470000000000004</v>
      </c>
      <c r="H681" s="77">
        <f t="shared" si="43"/>
        <v>0.5</v>
      </c>
    </row>
    <row r="682" spans="1:8">
      <c r="B682" s="249">
        <v>0</v>
      </c>
      <c r="C682" s="248">
        <f>ROUND(B682*(1-'Disc Dep'!$C$121),2)</f>
        <v>0</v>
      </c>
      <c r="D682" s="248">
        <f>ROUND(C682*(1+'Adaos Distr'!$C$121),2)</f>
        <v>0</v>
      </c>
      <c r="E682" s="248">
        <f>ROUND(D682*(1+'Adaos RESELLER'!$C$121),2)</f>
        <v>0</v>
      </c>
      <c r="F682" s="248">
        <f>IF(Select!$E$23=1,C682,IF(Select!$E$23=2,D682,IF(Select!$E$23=3,E682)))</f>
        <v>0</v>
      </c>
      <c r="G682" s="77">
        <f t="shared" si="44"/>
        <v>0</v>
      </c>
      <c r="H682" s="77">
        <f t="shared" si="43"/>
        <v>0</v>
      </c>
    </row>
    <row r="683" spans="1:8">
      <c r="A683" t="s">
        <v>2528</v>
      </c>
      <c r="B683" s="249">
        <v>11.99</v>
      </c>
      <c r="C683" s="248">
        <f>ROUND(B683*(1-'Disc Dep'!$C$121),2)</f>
        <v>8.8699999999999992</v>
      </c>
      <c r="D683" s="248">
        <f>ROUND(C683*(1+'Adaos Distr'!$C$121),2)</f>
        <v>8.8699999999999992</v>
      </c>
      <c r="E683" s="248">
        <f>ROUND(D683*(1+'Adaos RESELLER'!$C$121),2)</f>
        <v>8.8699999999999992</v>
      </c>
      <c r="F683" s="248">
        <f>IF(Select!$E$23=1,C683,IF(Select!$E$23=2,D683,IF(Select!$E$23=3,E683)))</f>
        <v>8.8699999999999992</v>
      </c>
      <c r="G683" s="77">
        <f t="shared" si="44"/>
        <v>12.3497</v>
      </c>
      <c r="H683" s="77">
        <f t="shared" si="43"/>
        <v>12.35</v>
      </c>
    </row>
    <row r="684" spans="1:8">
      <c r="A684" t="s">
        <v>2529</v>
      </c>
      <c r="B684" s="249">
        <v>9</v>
      </c>
      <c r="C684" s="248">
        <f>ROUND(B684*(1-'Disc Dep'!$C$121),2)</f>
        <v>6.66</v>
      </c>
      <c r="D684" s="248">
        <f>ROUND(C684*(1+'Adaos Distr'!$C$121),2)</f>
        <v>6.66</v>
      </c>
      <c r="E684" s="248">
        <f>ROUND(D684*(1+'Adaos RESELLER'!$C$121),2)</f>
        <v>6.66</v>
      </c>
      <c r="F684" s="248">
        <f>IF(Select!$E$23=1,C684,IF(Select!$E$23=2,D684,IF(Select!$E$23=3,E684)))</f>
        <v>6.66</v>
      </c>
      <c r="G684" s="77">
        <f t="shared" si="44"/>
        <v>9.27</v>
      </c>
      <c r="H684" s="77">
        <f t="shared" si="43"/>
        <v>9.27</v>
      </c>
    </row>
    <row r="685" spans="1:8">
      <c r="A685" t="s">
        <v>2530</v>
      </c>
      <c r="B685" s="249">
        <v>11.99</v>
      </c>
      <c r="C685" s="248">
        <f>ROUND(B685*(1-'Disc Dep'!$C$121),2)</f>
        <v>8.8699999999999992</v>
      </c>
      <c r="D685" s="248">
        <f>ROUND(C685*(1+'Adaos Distr'!$C$121),2)</f>
        <v>8.8699999999999992</v>
      </c>
      <c r="E685" s="248">
        <f>ROUND(D685*(1+'Adaos RESELLER'!$C$121),2)</f>
        <v>8.8699999999999992</v>
      </c>
      <c r="F685" s="248">
        <f>IF(Select!$E$23=1,C685,IF(Select!$E$23=2,D685,IF(Select!$E$23=3,E685)))</f>
        <v>8.8699999999999992</v>
      </c>
      <c r="G685" s="77">
        <f t="shared" si="44"/>
        <v>12.3497</v>
      </c>
      <c r="H685" s="77">
        <f t="shared" si="43"/>
        <v>12.35</v>
      </c>
    </row>
    <row r="686" spans="1:8">
      <c r="A686" t="s">
        <v>2531</v>
      </c>
      <c r="B686" s="249">
        <v>9</v>
      </c>
      <c r="C686" s="248">
        <f>ROUND(B686*(1-'Disc Dep'!$C$121),2)</f>
        <v>6.66</v>
      </c>
      <c r="D686" s="248">
        <f>ROUND(C686*(1+'Adaos Distr'!$C$121),2)</f>
        <v>6.66</v>
      </c>
      <c r="E686" s="248">
        <f>ROUND(D686*(1+'Adaos RESELLER'!$C$121),2)</f>
        <v>6.66</v>
      </c>
      <c r="F686" s="248">
        <f>IF(Select!$E$23=1,C686,IF(Select!$E$23=2,D686,IF(Select!$E$23=3,E686)))</f>
        <v>6.66</v>
      </c>
      <c r="G686" s="77">
        <f t="shared" si="44"/>
        <v>9.27</v>
      </c>
      <c r="H686" s="77">
        <f t="shared" si="43"/>
        <v>9.27</v>
      </c>
    </row>
    <row r="687" spans="1:8">
      <c r="A687" t="s">
        <v>2532</v>
      </c>
      <c r="B687" s="249">
        <v>9</v>
      </c>
      <c r="C687" s="248">
        <f>ROUND(B687*(1-'Disc Dep'!$C$121),2)</f>
        <v>6.66</v>
      </c>
      <c r="D687" s="248">
        <f>ROUND(C687*(1+'Adaos Distr'!$C$121),2)</f>
        <v>6.66</v>
      </c>
      <c r="E687" s="248">
        <f>ROUND(D687*(1+'Adaos RESELLER'!$C$121),2)</f>
        <v>6.66</v>
      </c>
      <c r="F687" s="248">
        <f>IF(Select!$E$23=1,C687,IF(Select!$E$23=2,D687,IF(Select!$E$23=3,E687)))</f>
        <v>6.66</v>
      </c>
      <c r="G687" s="77">
        <f t="shared" si="44"/>
        <v>9.27</v>
      </c>
      <c r="H687" s="77">
        <f t="shared" si="43"/>
        <v>9.27</v>
      </c>
    </row>
    <row r="688" spans="1:8">
      <c r="A688" t="s">
        <v>2533</v>
      </c>
      <c r="B688" s="249">
        <v>11.99</v>
      </c>
      <c r="C688" s="248">
        <f>ROUND(B688*(1-'Disc Dep'!$C$121),2)</f>
        <v>8.8699999999999992</v>
      </c>
      <c r="D688" s="248">
        <f>ROUND(C688*(1+'Adaos Distr'!$C$121),2)</f>
        <v>8.8699999999999992</v>
      </c>
      <c r="E688" s="248">
        <f>ROUND(D688*(1+'Adaos RESELLER'!$C$121),2)</f>
        <v>8.8699999999999992</v>
      </c>
      <c r="F688" s="248">
        <f>IF(Select!$E$23=1,C688,IF(Select!$E$23=2,D688,IF(Select!$E$23=3,E688)))</f>
        <v>8.8699999999999992</v>
      </c>
      <c r="G688" s="77">
        <f t="shared" si="44"/>
        <v>12.3497</v>
      </c>
      <c r="H688" s="77">
        <f t="shared" si="43"/>
        <v>12.35</v>
      </c>
    </row>
    <row r="689" spans="1:8">
      <c r="A689" t="s">
        <v>2534</v>
      </c>
      <c r="B689" s="249">
        <v>7.08</v>
      </c>
      <c r="C689" s="248">
        <f>ROUND(B689*(1-'Disc Dep'!$C$121),2)</f>
        <v>5.24</v>
      </c>
      <c r="D689" s="248">
        <f>ROUND(C689*(1+'Adaos Distr'!$C$121),2)</f>
        <v>5.24</v>
      </c>
      <c r="E689" s="248">
        <f>ROUND(D689*(1+'Adaos RESELLER'!$C$121),2)</f>
        <v>5.24</v>
      </c>
      <c r="F689" s="248">
        <f>IF(Select!$E$23=1,C689,IF(Select!$E$23=2,D689,IF(Select!$E$23=3,E689)))</f>
        <v>5.24</v>
      </c>
      <c r="G689" s="77">
        <f t="shared" si="44"/>
        <v>7.2924000000000007</v>
      </c>
      <c r="H689" s="77">
        <f t="shared" si="43"/>
        <v>7.29</v>
      </c>
    </row>
    <row r="690" spans="1:8">
      <c r="A690" t="s">
        <v>2535</v>
      </c>
      <c r="B690" s="249">
        <v>2.4300000000000002</v>
      </c>
      <c r="C690" s="248">
        <f>ROUND(B690*(1-'Disc Dep'!$C$121),2)</f>
        <v>1.8</v>
      </c>
      <c r="D690" s="248">
        <f>ROUND(C690*(1+'Adaos Distr'!$C$121),2)</f>
        <v>1.8</v>
      </c>
      <c r="E690" s="248">
        <f>ROUND(D690*(1+'Adaos RESELLER'!$C$121),2)</f>
        <v>1.8</v>
      </c>
      <c r="F690" s="248">
        <f>IF(Select!$E$23=1,C690,IF(Select!$E$23=2,D690,IF(Select!$E$23=3,E690)))</f>
        <v>1.8</v>
      </c>
      <c r="G690" s="77">
        <f t="shared" si="44"/>
        <v>2.5029000000000003</v>
      </c>
      <c r="H690" s="77">
        <f t="shared" si="43"/>
        <v>2.5</v>
      </c>
    </row>
    <row r="691" spans="1:8">
      <c r="A691" t="s">
        <v>2536</v>
      </c>
      <c r="B691" s="249">
        <v>1.63</v>
      </c>
      <c r="C691" s="248">
        <f>ROUND(B691*(1-'Disc Dep'!$C$121),2)</f>
        <v>1.21</v>
      </c>
      <c r="D691" s="248">
        <f>ROUND(C691*(1+'Adaos Distr'!$C$121),2)</f>
        <v>1.21</v>
      </c>
      <c r="E691" s="248">
        <f>ROUND(D691*(1+'Adaos RESELLER'!$C$121),2)</f>
        <v>1.21</v>
      </c>
      <c r="F691" s="248">
        <f>IF(Select!$E$23=1,C691,IF(Select!$E$23=2,D691,IF(Select!$E$23=3,E691)))</f>
        <v>1.21</v>
      </c>
      <c r="G691" s="77">
        <f t="shared" si="44"/>
        <v>1.6788999999999998</v>
      </c>
      <c r="H691" s="77">
        <f t="shared" si="43"/>
        <v>1.68</v>
      </c>
    </row>
    <row r="692" spans="1:8">
      <c r="A692" t="s">
        <v>2537</v>
      </c>
      <c r="B692" s="249">
        <v>9</v>
      </c>
      <c r="C692" s="248">
        <f>ROUND(B692*(1-'Disc Dep'!$C$121),2)</f>
        <v>6.66</v>
      </c>
      <c r="D692" s="248">
        <f>ROUND(C692*(1+'Adaos Distr'!$C$121),2)</f>
        <v>6.66</v>
      </c>
      <c r="E692" s="248">
        <f>ROUND(D692*(1+'Adaos RESELLER'!$C$121),2)</f>
        <v>6.66</v>
      </c>
      <c r="F692" s="248">
        <f>IF(Select!$E$23=1,C692,IF(Select!$E$23=2,D692,IF(Select!$E$23=3,E692)))</f>
        <v>6.66</v>
      </c>
      <c r="G692" s="77">
        <f t="shared" si="44"/>
        <v>9.27</v>
      </c>
      <c r="H692" s="77">
        <f t="shared" si="43"/>
        <v>9.27</v>
      </c>
    </row>
    <row r="693" spans="1:8">
      <c r="A693" t="s">
        <v>2538</v>
      </c>
      <c r="B693" s="249">
        <v>12.09</v>
      </c>
      <c r="C693" s="248">
        <f>ROUND(B693*(1-'Disc Dep'!$C$121),2)</f>
        <v>8.9499999999999993</v>
      </c>
      <c r="D693" s="248">
        <f>ROUND(C693*(1+'Adaos Distr'!$C$121),2)</f>
        <v>8.9499999999999993</v>
      </c>
      <c r="E693" s="248">
        <f>ROUND(D693*(1+'Adaos RESELLER'!$C$121),2)</f>
        <v>8.9499999999999993</v>
      </c>
      <c r="F693" s="248">
        <f>IF(Select!$E$23=1,C693,IF(Select!$E$23=2,D693,IF(Select!$E$23=3,E693)))</f>
        <v>8.9499999999999993</v>
      </c>
      <c r="G693" s="77">
        <f t="shared" si="44"/>
        <v>12.4527</v>
      </c>
      <c r="H693" s="77">
        <f t="shared" ref="H693:H725" si="45">ROUND(G693,2)</f>
        <v>12.45</v>
      </c>
    </row>
    <row r="694" spans="1:8">
      <c r="A694" t="s">
        <v>2539</v>
      </c>
      <c r="B694" s="249">
        <v>3.46</v>
      </c>
      <c r="C694" s="248">
        <f>ROUND(B694*(1-'Disc Dep'!$C$121),2)</f>
        <v>2.56</v>
      </c>
      <c r="D694" s="248">
        <f>ROUND(C694*(1+'Adaos Distr'!$C$121),2)</f>
        <v>2.56</v>
      </c>
      <c r="E694" s="248">
        <f>ROUND(D694*(1+'Adaos RESELLER'!$C$121),2)</f>
        <v>2.56</v>
      </c>
      <c r="F694" s="248">
        <f>IF(Select!$E$23=1,C694,IF(Select!$E$23=2,D694,IF(Select!$E$23=3,E694)))</f>
        <v>2.56</v>
      </c>
      <c r="G694" s="77">
        <f t="shared" si="44"/>
        <v>3.5638000000000001</v>
      </c>
      <c r="H694" s="77">
        <f t="shared" si="45"/>
        <v>3.56</v>
      </c>
    </row>
    <row r="695" spans="1:8">
      <c r="A695" t="s">
        <v>2540</v>
      </c>
      <c r="B695" s="249">
        <v>4.43</v>
      </c>
      <c r="C695" s="248">
        <f>ROUND(B695*(1-'Disc Dep'!$C$121),2)</f>
        <v>3.28</v>
      </c>
      <c r="D695" s="248">
        <f>ROUND(C695*(1+'Adaos Distr'!$C$121),2)</f>
        <v>3.28</v>
      </c>
      <c r="E695" s="248">
        <f>ROUND(D695*(1+'Adaos RESELLER'!$C$121),2)</f>
        <v>3.28</v>
      </c>
      <c r="F695" s="248">
        <f>IF(Select!$E$23=1,C695,IF(Select!$E$23=2,D695,IF(Select!$E$23=3,E695)))</f>
        <v>3.28</v>
      </c>
      <c r="G695" s="77">
        <f t="shared" si="44"/>
        <v>4.5629</v>
      </c>
      <c r="H695" s="77">
        <f t="shared" si="45"/>
        <v>4.5599999999999996</v>
      </c>
    </row>
    <row r="696" spans="1:8">
      <c r="A696" t="s">
        <v>2541</v>
      </c>
      <c r="B696" s="249">
        <v>10.55</v>
      </c>
      <c r="C696" s="248">
        <f>ROUND(B696*(1-'Disc Dep'!$C$113),2)</f>
        <v>8.44</v>
      </c>
      <c r="D696" s="248">
        <f>ROUND(C696*(1+'Adaos Distr'!$C$113),2)</f>
        <v>8.44</v>
      </c>
      <c r="E696" s="248">
        <f>ROUND(D696*(1+'Adaos RESELLER'!$C$113),2)</f>
        <v>8.44</v>
      </c>
      <c r="F696" s="248">
        <f>IF(Select!$E$23=1,C696,IF(Select!$E$23=2,D696,IF(Select!$E$23=3,E696)))</f>
        <v>8.44</v>
      </c>
      <c r="G696" s="77">
        <f t="shared" si="44"/>
        <v>10.8665</v>
      </c>
      <c r="H696" s="77">
        <f t="shared" si="45"/>
        <v>10.87</v>
      </c>
    </row>
    <row r="697" spans="1:8">
      <c r="A697" t="s">
        <v>2542</v>
      </c>
      <c r="B697" s="249">
        <v>14.12</v>
      </c>
      <c r="C697" s="248">
        <f>ROUND(B697*(1-'Disc Dep'!$C$113),2)</f>
        <v>11.3</v>
      </c>
      <c r="D697" s="248">
        <f>ROUND(C697*(1+'Adaos Distr'!$C$113),2)</f>
        <v>11.3</v>
      </c>
      <c r="E697" s="248">
        <f>ROUND(D697*(1+'Adaos RESELLER'!$C$113),2)</f>
        <v>11.3</v>
      </c>
      <c r="F697" s="248">
        <f>IF(Select!$E$23=1,C697,IF(Select!$E$23=2,D697,IF(Select!$E$23=3,E697)))</f>
        <v>11.3</v>
      </c>
      <c r="G697" s="77">
        <f t="shared" si="44"/>
        <v>14.5436</v>
      </c>
      <c r="H697" s="77">
        <f t="shared" si="45"/>
        <v>14.54</v>
      </c>
    </row>
    <row r="698" spans="1:8">
      <c r="A698" t="s">
        <v>2543</v>
      </c>
      <c r="B698" s="249">
        <v>10.93</v>
      </c>
      <c r="C698" s="248">
        <f>ROUND(B698*(1-'Disc Dep'!$C$113),2)</f>
        <v>8.74</v>
      </c>
      <c r="D698" s="248">
        <f>ROUND(C698*(1+'Adaos Distr'!$C$113),2)</f>
        <v>8.74</v>
      </c>
      <c r="E698" s="248">
        <f>ROUND(D698*(1+'Adaos RESELLER'!$C$113),2)</f>
        <v>8.74</v>
      </c>
      <c r="F698" s="248">
        <f>IF(Select!$E$23=1,C698,IF(Select!$E$23=2,D698,IF(Select!$E$23=3,E698)))</f>
        <v>8.74</v>
      </c>
      <c r="G698" s="77">
        <f t="shared" si="44"/>
        <v>11.257899999999999</v>
      </c>
      <c r="H698" s="77">
        <f t="shared" si="45"/>
        <v>11.26</v>
      </c>
    </row>
    <row r="699" spans="1:8">
      <c r="A699" t="s">
        <v>2544</v>
      </c>
      <c r="B699" s="249">
        <v>3.16</v>
      </c>
      <c r="C699" s="248">
        <f>ROUND(B699*(1-'Disc Dep'!$C$113),2)</f>
        <v>2.5299999999999998</v>
      </c>
      <c r="D699" s="248">
        <f>ROUND(C699*(1+'Adaos Distr'!$C$113),2)</f>
        <v>2.5299999999999998</v>
      </c>
      <c r="E699" s="248">
        <f>ROUND(D699*(1+'Adaos RESELLER'!$C$113),2)</f>
        <v>2.5299999999999998</v>
      </c>
      <c r="F699" s="248">
        <f>IF(Select!$E$23=1,C699,IF(Select!$E$23=2,D699,IF(Select!$E$23=3,E699)))</f>
        <v>2.5299999999999998</v>
      </c>
      <c r="G699" s="77">
        <f t="shared" si="44"/>
        <v>3.2548000000000004</v>
      </c>
      <c r="H699" s="77">
        <f t="shared" si="45"/>
        <v>3.25</v>
      </c>
    </row>
    <row r="700" spans="1:8">
      <c r="A700" t="s">
        <v>2545</v>
      </c>
      <c r="B700" s="249">
        <v>1.24</v>
      </c>
      <c r="C700" s="248">
        <f>ROUND(B700*(1-'Disc Dep'!$C$113),2)</f>
        <v>0.99</v>
      </c>
      <c r="D700" s="248">
        <f>ROUND(C700*(1+'Adaos Distr'!$C$113),2)</f>
        <v>0.99</v>
      </c>
      <c r="E700" s="248">
        <f>ROUND(D700*(1+'Adaos RESELLER'!$C$113),2)</f>
        <v>0.99</v>
      </c>
      <c r="F700" s="248">
        <f>IF(Select!$E$23=1,C700,IF(Select!$E$23=2,D700,IF(Select!$E$23=3,E700)))</f>
        <v>0.99</v>
      </c>
      <c r="G700" s="77">
        <f t="shared" si="44"/>
        <v>1.2772000000000001</v>
      </c>
      <c r="H700" s="77">
        <f t="shared" si="45"/>
        <v>1.28</v>
      </c>
    </row>
    <row r="701" spans="1:8">
      <c r="A701" t="s">
        <v>2546</v>
      </c>
      <c r="B701" s="249">
        <v>1.69</v>
      </c>
      <c r="C701" s="248">
        <f>ROUND(B701*(1-'Disc Dep'!$C$113),2)</f>
        <v>1.35</v>
      </c>
      <c r="D701" s="248">
        <f>ROUND(C701*(1+'Adaos Distr'!$C$113),2)</f>
        <v>1.35</v>
      </c>
      <c r="E701" s="248">
        <f>ROUND(D701*(1+'Adaos RESELLER'!$C$113),2)</f>
        <v>1.35</v>
      </c>
      <c r="F701" s="248">
        <f>IF(Select!$E$23=1,C701,IF(Select!$E$23=2,D701,IF(Select!$E$23=3,E701)))</f>
        <v>1.35</v>
      </c>
      <c r="G701" s="77">
        <f t="shared" si="44"/>
        <v>1.7406999999999999</v>
      </c>
      <c r="H701" s="77">
        <f t="shared" si="45"/>
        <v>1.74</v>
      </c>
    </row>
    <row r="702" spans="1:8">
      <c r="A702" t="s">
        <v>2547</v>
      </c>
      <c r="B702" s="249">
        <v>0.36</v>
      </c>
      <c r="C702" s="248">
        <f>ROUND(B702*(1-'Disc Dep'!$C$113),2)</f>
        <v>0.28999999999999998</v>
      </c>
      <c r="D702" s="248">
        <f>ROUND(C702*(1+'Adaos Distr'!$C$113),2)</f>
        <v>0.28999999999999998</v>
      </c>
      <c r="E702" s="248">
        <f>ROUND(D702*(1+'Adaos RESELLER'!$C$113),2)</f>
        <v>0.28999999999999998</v>
      </c>
      <c r="F702" s="248">
        <f>IF(Select!$E$23=1,C702,IF(Select!$E$23=2,D702,IF(Select!$E$23=3,E702)))</f>
        <v>0.28999999999999998</v>
      </c>
      <c r="G702" s="77">
        <f t="shared" si="44"/>
        <v>0.37080000000000002</v>
      </c>
      <c r="H702" s="77">
        <f t="shared" si="45"/>
        <v>0.37</v>
      </c>
    </row>
    <row r="703" spans="1:8">
      <c r="A703" t="s">
        <v>2548</v>
      </c>
      <c r="B703" s="249">
        <v>0.49</v>
      </c>
      <c r="C703" s="248">
        <f>ROUND(B703*(1-'Disc Dep'!$C$113),2)</f>
        <v>0.39</v>
      </c>
      <c r="D703" s="248">
        <f>ROUND(C703*(1+'Adaos Distr'!$C$113),2)</f>
        <v>0.39</v>
      </c>
      <c r="E703" s="248">
        <f>ROUND(D703*(1+'Adaos RESELLER'!$C$113),2)</f>
        <v>0.39</v>
      </c>
      <c r="F703" s="248">
        <f>IF(Select!$E$23=1,C703,IF(Select!$E$23=2,D703,IF(Select!$E$23=3,E703)))</f>
        <v>0.39</v>
      </c>
      <c r="G703" s="77">
        <f t="shared" si="44"/>
        <v>0.50470000000000004</v>
      </c>
      <c r="H703" s="77">
        <f t="shared" si="45"/>
        <v>0.5</v>
      </c>
    </row>
    <row r="704" spans="1:8">
      <c r="C704" s="248">
        <f>ROUND(B704*(1-'Disc Dep'!$C$121),2)</f>
        <v>0</v>
      </c>
      <c r="D704" s="248">
        <f>ROUND(C704*(1+'Adaos Distr'!$C$121),2)</f>
        <v>0</v>
      </c>
      <c r="E704" s="248">
        <f>ROUND(D704*(1+'Adaos RESELLER'!$C$121),2)</f>
        <v>0</v>
      </c>
      <c r="F704" s="248">
        <f>IF(Select!$E$23=1,C704,IF(Select!$E$23=2,D704,IF(Select!$E$23=3,E704)))</f>
        <v>0</v>
      </c>
      <c r="G704" s="77">
        <f t="shared" si="44"/>
        <v>0</v>
      </c>
      <c r="H704" s="77">
        <f t="shared" si="45"/>
        <v>0</v>
      </c>
    </row>
    <row r="705" spans="1:8">
      <c r="A705" t="s">
        <v>2549</v>
      </c>
      <c r="B705" s="249">
        <v>10.58</v>
      </c>
      <c r="C705" s="248">
        <f>ROUND(B705*(1-'Disc Dep'!$C$121),2)</f>
        <v>7.83</v>
      </c>
      <c r="D705" s="248">
        <f>ROUND(C705*(1+'Adaos Distr'!$C$121),2)</f>
        <v>7.83</v>
      </c>
      <c r="E705" s="248">
        <f>ROUND(D705*(1+'Adaos RESELLER'!$C$121),2)</f>
        <v>7.83</v>
      </c>
      <c r="F705" s="248">
        <f>IF(Select!$E$23=1,C705,IF(Select!$E$23=2,D705,IF(Select!$E$23=3,E705)))</f>
        <v>7.83</v>
      </c>
      <c r="G705" s="77">
        <f t="shared" si="44"/>
        <v>10.897400000000001</v>
      </c>
      <c r="H705" s="77">
        <f t="shared" si="45"/>
        <v>10.9</v>
      </c>
    </row>
    <row r="706" spans="1:8">
      <c r="A706" t="s">
        <v>2550</v>
      </c>
      <c r="B706" s="249">
        <v>7.93</v>
      </c>
      <c r="C706" s="248">
        <f>ROUND(B706*(1-'Disc Dep'!$C$121),2)</f>
        <v>5.87</v>
      </c>
      <c r="D706" s="248">
        <f>ROUND(C706*(1+'Adaos Distr'!$C$121),2)</f>
        <v>5.87</v>
      </c>
      <c r="E706" s="248">
        <f>ROUND(D706*(1+'Adaos RESELLER'!$C$121),2)</f>
        <v>5.87</v>
      </c>
      <c r="F706" s="248">
        <f>IF(Select!$E$23=1,C706,IF(Select!$E$23=2,D706,IF(Select!$E$23=3,E706)))</f>
        <v>5.87</v>
      </c>
      <c r="G706" s="77">
        <f t="shared" si="44"/>
        <v>8.1678999999999995</v>
      </c>
      <c r="H706" s="77">
        <f t="shared" si="45"/>
        <v>8.17</v>
      </c>
    </row>
    <row r="707" spans="1:8">
      <c r="A707" t="s">
        <v>2551</v>
      </c>
      <c r="B707" s="249">
        <v>10.58</v>
      </c>
      <c r="C707" s="248">
        <f>ROUND(B707*(1-'Disc Dep'!$C$121),2)</f>
        <v>7.83</v>
      </c>
      <c r="D707" s="248">
        <f>ROUND(C707*(1+'Adaos Distr'!$C$121),2)</f>
        <v>7.83</v>
      </c>
      <c r="E707" s="248">
        <f>ROUND(D707*(1+'Adaos RESELLER'!$C$121),2)</f>
        <v>7.83</v>
      </c>
      <c r="F707" s="248">
        <f>IF(Select!$E$23=1,C707,IF(Select!$E$23=2,D707,IF(Select!$E$23=3,E707)))</f>
        <v>7.83</v>
      </c>
      <c r="G707" s="77">
        <f t="shared" si="44"/>
        <v>10.897400000000001</v>
      </c>
      <c r="H707" s="77">
        <f t="shared" si="45"/>
        <v>10.9</v>
      </c>
    </row>
    <row r="708" spans="1:8">
      <c r="A708" t="s">
        <v>2552</v>
      </c>
      <c r="B708" s="249">
        <v>7.93</v>
      </c>
      <c r="C708" s="248">
        <f>ROUND(B708*(1-'Disc Dep'!$C$121),2)</f>
        <v>5.87</v>
      </c>
      <c r="D708" s="248">
        <f>ROUND(C708*(1+'Adaos Distr'!$C$121),2)</f>
        <v>5.87</v>
      </c>
      <c r="E708" s="248">
        <f>ROUND(D708*(1+'Adaos RESELLER'!$C$121),2)</f>
        <v>5.87</v>
      </c>
      <c r="F708" s="248">
        <f>IF(Select!$E$23=1,C708,IF(Select!$E$23=2,D708,IF(Select!$E$23=3,E708)))</f>
        <v>5.87</v>
      </c>
      <c r="G708" s="77">
        <f t="shared" si="44"/>
        <v>8.1678999999999995</v>
      </c>
      <c r="H708" s="77">
        <f t="shared" si="45"/>
        <v>8.17</v>
      </c>
    </row>
    <row r="709" spans="1:8">
      <c r="A709" t="s">
        <v>2553</v>
      </c>
      <c r="B709" s="249">
        <v>7.93</v>
      </c>
      <c r="C709" s="248">
        <f>ROUND(B709*(1-'Disc Dep'!$C$121),2)</f>
        <v>5.87</v>
      </c>
      <c r="D709" s="248">
        <f>ROUND(C709*(1+'Adaos Distr'!$C$121),2)</f>
        <v>5.87</v>
      </c>
      <c r="E709" s="248">
        <f>ROUND(D709*(1+'Adaos RESELLER'!$C$121),2)</f>
        <v>5.87</v>
      </c>
      <c r="F709" s="248">
        <f>IF(Select!$E$23=1,C709,IF(Select!$E$23=2,D709,IF(Select!$E$23=3,E709)))</f>
        <v>5.87</v>
      </c>
      <c r="G709" s="77">
        <f t="shared" si="44"/>
        <v>8.1678999999999995</v>
      </c>
      <c r="H709" s="77">
        <f t="shared" si="45"/>
        <v>8.17</v>
      </c>
    </row>
    <row r="710" spans="1:8">
      <c r="A710" t="s">
        <v>2554</v>
      </c>
      <c r="B710" s="249">
        <v>10.58</v>
      </c>
      <c r="C710" s="248">
        <f>ROUND(B710*(1-'Disc Dep'!$C$121),2)</f>
        <v>7.83</v>
      </c>
      <c r="D710" s="248">
        <f>ROUND(C710*(1+'Adaos Distr'!$C$121),2)</f>
        <v>7.83</v>
      </c>
      <c r="E710" s="248">
        <f>ROUND(D710*(1+'Adaos RESELLER'!$C$121),2)</f>
        <v>7.83</v>
      </c>
      <c r="F710" s="248">
        <f>IF(Select!$E$23=1,C710,IF(Select!$E$23=2,D710,IF(Select!$E$23=3,E710)))</f>
        <v>7.83</v>
      </c>
      <c r="G710" s="77">
        <f t="shared" si="44"/>
        <v>10.897400000000001</v>
      </c>
      <c r="H710" s="77">
        <f t="shared" si="45"/>
        <v>10.9</v>
      </c>
    </row>
    <row r="711" spans="1:8">
      <c r="A711" t="s">
        <v>2555</v>
      </c>
      <c r="B711" s="249">
        <v>6.28</v>
      </c>
      <c r="C711" s="248">
        <f>ROUND(B711*(1-'Disc Dep'!$C$121),2)</f>
        <v>4.6500000000000004</v>
      </c>
      <c r="D711" s="248">
        <f>ROUND(C711*(1+'Adaos Distr'!$C$121),2)</f>
        <v>4.6500000000000004</v>
      </c>
      <c r="E711" s="248">
        <f>ROUND(D711*(1+'Adaos RESELLER'!$C$121),2)</f>
        <v>4.6500000000000004</v>
      </c>
      <c r="F711" s="248">
        <f>IF(Select!$E$23=1,C711,IF(Select!$E$23=2,D711,IF(Select!$E$23=3,E711)))</f>
        <v>4.6500000000000004</v>
      </c>
      <c r="G711" s="77">
        <f t="shared" si="44"/>
        <v>6.4684000000000008</v>
      </c>
      <c r="H711" s="77">
        <f t="shared" si="45"/>
        <v>6.47</v>
      </c>
    </row>
    <row r="712" spans="1:8">
      <c r="A712" t="s">
        <v>2556</v>
      </c>
      <c r="B712" s="249">
        <v>2.16</v>
      </c>
      <c r="C712" s="248">
        <f>ROUND(B712*(1-'Disc Dep'!$C$121),2)</f>
        <v>1.6</v>
      </c>
      <c r="D712" s="248">
        <f>ROUND(C712*(1+'Adaos Distr'!$C$121),2)</f>
        <v>1.6</v>
      </c>
      <c r="E712" s="248">
        <f>ROUND(D712*(1+'Adaos RESELLER'!$C$121),2)</f>
        <v>1.6</v>
      </c>
      <c r="F712" s="248">
        <f>IF(Select!$E$23=1,C712,IF(Select!$E$23=2,D712,IF(Select!$E$23=3,E712)))</f>
        <v>1.6</v>
      </c>
      <c r="G712" s="77">
        <f t="shared" si="44"/>
        <v>2.2248000000000001</v>
      </c>
      <c r="H712" s="77">
        <f t="shared" si="45"/>
        <v>2.2200000000000002</v>
      </c>
    </row>
    <row r="713" spans="1:8">
      <c r="A713" t="s">
        <v>2557</v>
      </c>
      <c r="B713" s="249">
        <v>1.44</v>
      </c>
      <c r="C713" s="248">
        <f>ROUND(B713*(1-'Disc Dep'!$C$121),2)</f>
        <v>1.07</v>
      </c>
      <c r="D713" s="248">
        <f>ROUND(C713*(1+'Adaos Distr'!$C$121),2)</f>
        <v>1.07</v>
      </c>
      <c r="E713" s="248">
        <f>ROUND(D713*(1+'Adaos RESELLER'!$C$121),2)</f>
        <v>1.07</v>
      </c>
      <c r="F713" s="248">
        <f>IF(Select!$E$23=1,C713,IF(Select!$E$23=2,D713,IF(Select!$E$23=3,E713)))</f>
        <v>1.07</v>
      </c>
      <c r="G713" s="77">
        <f t="shared" si="44"/>
        <v>1.4832000000000001</v>
      </c>
      <c r="H713" s="77">
        <f t="shared" si="45"/>
        <v>1.48</v>
      </c>
    </row>
    <row r="714" spans="1:8">
      <c r="A714" t="s">
        <v>2558</v>
      </c>
      <c r="B714" s="249">
        <v>7.93</v>
      </c>
      <c r="C714" s="248">
        <f>ROUND(B714*(1-'Disc Dep'!$C$121),2)</f>
        <v>5.87</v>
      </c>
      <c r="D714" s="248">
        <f>ROUND(C714*(1+'Adaos Distr'!$C$121),2)</f>
        <v>5.87</v>
      </c>
      <c r="E714" s="248">
        <f>ROUND(D714*(1+'Adaos RESELLER'!$C$121),2)</f>
        <v>5.87</v>
      </c>
      <c r="F714" s="248">
        <f>IF(Select!$E$23=1,C714,IF(Select!$E$23=2,D714,IF(Select!$E$23=3,E714)))</f>
        <v>5.87</v>
      </c>
      <c r="G714" s="77">
        <f t="shared" si="44"/>
        <v>8.1678999999999995</v>
      </c>
      <c r="H714" s="77">
        <f t="shared" si="45"/>
        <v>8.17</v>
      </c>
    </row>
    <row r="715" spans="1:8">
      <c r="A715" t="s">
        <v>2559</v>
      </c>
      <c r="B715" s="249">
        <v>10.72</v>
      </c>
      <c r="C715" s="248">
        <f>ROUND(B715*(1-'Disc Dep'!$C$121),2)</f>
        <v>7.93</v>
      </c>
      <c r="D715" s="248">
        <f>ROUND(C715*(1+'Adaos Distr'!$C$121),2)</f>
        <v>7.93</v>
      </c>
      <c r="E715" s="248">
        <f>ROUND(D715*(1+'Adaos RESELLER'!$C$121),2)</f>
        <v>7.93</v>
      </c>
      <c r="F715" s="248">
        <f>IF(Select!$E$23=1,C715,IF(Select!$E$23=2,D715,IF(Select!$E$23=3,E715)))</f>
        <v>7.93</v>
      </c>
      <c r="G715" s="77">
        <f t="shared" si="44"/>
        <v>11.041600000000001</v>
      </c>
      <c r="H715" s="77">
        <f t="shared" si="45"/>
        <v>11.04</v>
      </c>
    </row>
    <row r="716" spans="1:8">
      <c r="A716" t="s">
        <v>2560</v>
      </c>
      <c r="B716" s="249">
        <v>3.06</v>
      </c>
      <c r="C716" s="248">
        <f>ROUND(B716*(1-'Disc Dep'!$C$121),2)</f>
        <v>2.2599999999999998</v>
      </c>
      <c r="D716" s="248">
        <f>ROUND(C716*(1+'Adaos Distr'!$C$121),2)</f>
        <v>2.2599999999999998</v>
      </c>
      <c r="E716" s="248">
        <f>ROUND(D716*(1+'Adaos RESELLER'!$C$121),2)</f>
        <v>2.2599999999999998</v>
      </c>
      <c r="F716" s="248">
        <f>IF(Select!$E$23=1,C716,IF(Select!$E$23=2,D716,IF(Select!$E$23=3,E716)))</f>
        <v>2.2599999999999998</v>
      </c>
      <c r="G716" s="77">
        <f t="shared" si="44"/>
        <v>3.1518000000000002</v>
      </c>
      <c r="H716" s="77">
        <f t="shared" si="45"/>
        <v>3.15</v>
      </c>
    </row>
    <row r="717" spans="1:8">
      <c r="A717" t="s">
        <v>2561</v>
      </c>
      <c r="B717" s="249">
        <v>4.43</v>
      </c>
      <c r="C717" s="248">
        <f>ROUND(B717*(1-'Disc Dep'!$C$121),2)</f>
        <v>3.28</v>
      </c>
      <c r="D717" s="248">
        <f>ROUND(C717*(1+'Adaos Distr'!$C$121),2)</f>
        <v>3.28</v>
      </c>
      <c r="E717" s="248">
        <f>ROUND(D717*(1+'Adaos RESELLER'!$C$121),2)</f>
        <v>3.28</v>
      </c>
      <c r="F717" s="248">
        <f>IF(Select!$E$23=1,C717,IF(Select!$E$23=2,D717,IF(Select!$E$23=3,E717)))</f>
        <v>3.28</v>
      </c>
      <c r="G717" s="77">
        <f t="shared" si="44"/>
        <v>4.5629</v>
      </c>
      <c r="H717" s="77">
        <f t="shared" si="45"/>
        <v>4.5599999999999996</v>
      </c>
    </row>
    <row r="718" spans="1:8">
      <c r="A718" t="s">
        <v>2562</v>
      </c>
      <c r="B718" s="249">
        <v>10.55</v>
      </c>
      <c r="C718" s="248">
        <f>ROUND(B718*(1-'Disc Dep'!$C$113),2)</f>
        <v>8.44</v>
      </c>
      <c r="D718" s="248">
        <f>ROUND(C718*(1+'Adaos Distr'!$C$113),2)</f>
        <v>8.44</v>
      </c>
      <c r="E718" s="248">
        <f>ROUND(D718*(1+'Adaos RESELLER'!$C$113),2)</f>
        <v>8.44</v>
      </c>
      <c r="F718" s="248">
        <f>IF(Select!$E$23=1,C718,IF(Select!$E$23=2,D718,IF(Select!$E$23=3,E718)))</f>
        <v>8.44</v>
      </c>
      <c r="G718" s="77">
        <f t="shared" si="44"/>
        <v>10.8665</v>
      </c>
      <c r="H718" s="77">
        <f t="shared" si="45"/>
        <v>10.87</v>
      </c>
    </row>
    <row r="719" spans="1:8">
      <c r="A719" t="s">
        <v>2563</v>
      </c>
      <c r="B719" s="249">
        <v>14.12</v>
      </c>
      <c r="C719" s="248">
        <f>ROUND(B719*(1-'Disc Dep'!$C$113),2)</f>
        <v>11.3</v>
      </c>
      <c r="D719" s="248">
        <f>ROUND(C719*(1+'Adaos Distr'!$C$113),2)</f>
        <v>11.3</v>
      </c>
      <c r="E719" s="248">
        <f>ROUND(D719*(1+'Adaos RESELLER'!$C$113),2)</f>
        <v>11.3</v>
      </c>
      <c r="F719" s="248">
        <f>IF(Select!$E$23=1,C719,IF(Select!$E$23=2,D719,IF(Select!$E$23=3,E719)))</f>
        <v>11.3</v>
      </c>
      <c r="G719" s="77">
        <f t="shared" si="44"/>
        <v>14.5436</v>
      </c>
      <c r="H719" s="77">
        <f t="shared" si="45"/>
        <v>14.54</v>
      </c>
    </row>
    <row r="720" spans="1:8">
      <c r="A720" t="s">
        <v>2564</v>
      </c>
      <c r="B720" s="249">
        <v>10.93</v>
      </c>
      <c r="C720" s="248">
        <f>ROUND(B720*(1-'Disc Dep'!$C$113),2)</f>
        <v>8.74</v>
      </c>
      <c r="D720" s="248">
        <f>ROUND(C720*(1+'Adaos Distr'!$C$113),2)</f>
        <v>8.74</v>
      </c>
      <c r="E720" s="248">
        <f>ROUND(D720*(1+'Adaos RESELLER'!$C$113),2)</f>
        <v>8.74</v>
      </c>
      <c r="F720" s="248">
        <f>IF(Select!$E$23=1,C720,IF(Select!$E$23=2,D720,IF(Select!$E$23=3,E720)))</f>
        <v>8.74</v>
      </c>
      <c r="G720" s="77">
        <f t="shared" si="44"/>
        <v>11.257899999999999</v>
      </c>
      <c r="H720" s="77">
        <f t="shared" si="45"/>
        <v>11.26</v>
      </c>
    </row>
    <row r="721" spans="1:8">
      <c r="A721" t="s">
        <v>2565</v>
      </c>
      <c r="B721" s="249">
        <v>3.16</v>
      </c>
      <c r="C721" s="248">
        <f>ROUND(B721*(1-'Disc Dep'!$C$113),2)</f>
        <v>2.5299999999999998</v>
      </c>
      <c r="D721" s="248">
        <f>ROUND(C721*(1+'Adaos Distr'!$C$113),2)</f>
        <v>2.5299999999999998</v>
      </c>
      <c r="E721" s="248">
        <f>ROUND(D721*(1+'Adaos RESELLER'!$C$113),2)</f>
        <v>2.5299999999999998</v>
      </c>
      <c r="F721" s="248">
        <f>IF(Select!$E$23=1,C721,IF(Select!$E$23=2,D721,IF(Select!$E$23=3,E721)))</f>
        <v>2.5299999999999998</v>
      </c>
      <c r="G721" s="77">
        <f t="shared" si="44"/>
        <v>3.2548000000000004</v>
      </c>
      <c r="H721" s="77">
        <f t="shared" si="45"/>
        <v>3.25</v>
      </c>
    </row>
    <row r="722" spans="1:8">
      <c r="A722" t="s">
        <v>2566</v>
      </c>
      <c r="B722" s="249">
        <v>1.24</v>
      </c>
      <c r="C722" s="248">
        <f>ROUND(B722*(1-'Disc Dep'!$C$113),2)</f>
        <v>0.99</v>
      </c>
      <c r="D722" s="248">
        <f>ROUND(C722*(1+'Adaos Distr'!$C$113),2)</f>
        <v>0.99</v>
      </c>
      <c r="E722" s="248">
        <f>ROUND(D722*(1+'Adaos RESELLER'!$C$113),2)</f>
        <v>0.99</v>
      </c>
      <c r="F722" s="248">
        <f>IF(Select!$E$23=1,C722,IF(Select!$E$23=2,D722,IF(Select!$E$23=3,E722)))</f>
        <v>0.99</v>
      </c>
      <c r="G722" s="77">
        <f t="shared" si="44"/>
        <v>1.2772000000000001</v>
      </c>
      <c r="H722" s="77">
        <f t="shared" si="45"/>
        <v>1.28</v>
      </c>
    </row>
    <row r="723" spans="1:8">
      <c r="A723" t="s">
        <v>2567</v>
      </c>
      <c r="B723" s="249">
        <v>1.69</v>
      </c>
      <c r="C723" s="248">
        <f>ROUND(B723*(1-'Disc Dep'!$C$113),2)</f>
        <v>1.35</v>
      </c>
      <c r="D723" s="248">
        <f>ROUND(C723*(1+'Adaos Distr'!$C$113),2)</f>
        <v>1.35</v>
      </c>
      <c r="E723" s="248">
        <f>ROUND(D723*(1+'Adaos RESELLER'!$C$113),2)</f>
        <v>1.35</v>
      </c>
      <c r="F723" s="248">
        <f>IF(Select!$E$23=1,C723,IF(Select!$E$23=2,D723,IF(Select!$E$23=3,E723)))</f>
        <v>1.35</v>
      </c>
      <c r="G723" s="77">
        <f t="shared" si="44"/>
        <v>1.7406999999999999</v>
      </c>
      <c r="H723" s="77">
        <f t="shared" si="45"/>
        <v>1.74</v>
      </c>
    </row>
    <row r="724" spans="1:8">
      <c r="A724" t="s">
        <v>2568</v>
      </c>
      <c r="B724" s="249">
        <v>0.35</v>
      </c>
      <c r="C724" s="248">
        <f>ROUND(B724*(1-'Disc Dep'!$C$113),2)</f>
        <v>0.28000000000000003</v>
      </c>
      <c r="D724" s="248">
        <f>ROUND(C724*(1+'Adaos Distr'!$C$113),2)</f>
        <v>0.28000000000000003</v>
      </c>
      <c r="E724" s="248">
        <f>ROUND(D724*(1+'Adaos RESELLER'!$C$113),2)</f>
        <v>0.28000000000000003</v>
      </c>
      <c r="F724" s="248">
        <f>IF(Select!$E$23=1,C724,IF(Select!$E$23=2,D724,IF(Select!$E$23=3,E724)))</f>
        <v>0.28000000000000003</v>
      </c>
      <c r="G724" s="77">
        <f t="shared" ref="G724:G725" si="46">B724*1.03</f>
        <v>0.36049999999999999</v>
      </c>
      <c r="H724" s="77">
        <f t="shared" si="45"/>
        <v>0.36</v>
      </c>
    </row>
    <row r="725" spans="1:8">
      <c r="A725" t="s">
        <v>2569</v>
      </c>
      <c r="B725" s="249">
        <v>0.48</v>
      </c>
      <c r="C725" s="248">
        <f>ROUND(B725*(1-'Disc Dep'!$C$113),2)</f>
        <v>0.38</v>
      </c>
      <c r="D725" s="248">
        <f>ROUND(C725*(1+'Adaos Distr'!$C$113),2)</f>
        <v>0.38</v>
      </c>
      <c r="E725" s="248">
        <f>ROUND(D725*(1+'Adaos RESELLER'!$C$113),2)</f>
        <v>0.38</v>
      </c>
      <c r="F725" s="248">
        <f>IF(Select!$E$23=1,C725,IF(Select!$E$23=2,D725,IF(Select!$E$23=3,E725)))</f>
        <v>0.38</v>
      </c>
      <c r="G725" s="77">
        <f t="shared" si="46"/>
        <v>0.49440000000000001</v>
      </c>
      <c r="H725" s="77">
        <f t="shared" si="45"/>
        <v>0.49</v>
      </c>
    </row>
    <row r="727" spans="1:8">
      <c r="A727" t="s">
        <v>2994</v>
      </c>
      <c r="B727" s="249">
        <v>1.93</v>
      </c>
      <c r="C727" s="248">
        <f>ROUND(B727*(1-'Disc Dep'!$M$5),2)</f>
        <v>1.43</v>
      </c>
      <c r="D727" s="248">
        <f>ROUND(C727*(1+'Adaos Distr'!$C$112),2)</f>
        <v>1.43</v>
      </c>
      <c r="E727" s="248">
        <f>ROUND(D727*(1+'Adaos RESELLER'!$C$112),2)</f>
        <v>1.43</v>
      </c>
      <c r="F727" s="248">
        <f>IF(Select!$E$23=1,C727,IF(Select!$E$23=2,D727,IF(Select!$E$23=3,E727)))</f>
        <v>1.43</v>
      </c>
    </row>
    <row r="728" spans="1:8">
      <c r="A728" t="s">
        <v>2995</v>
      </c>
      <c r="B728" s="249">
        <v>2.11</v>
      </c>
      <c r="C728" s="248">
        <f>ROUND(B728*(1-'Disc Dep'!$M$5),2)</f>
        <v>1.56</v>
      </c>
      <c r="D728" s="248">
        <f>ROUND(C728*(1+'Adaos Distr'!$C$112),2)</f>
        <v>1.56</v>
      </c>
      <c r="E728" s="248">
        <f>ROUND(D728*(1+'Adaos RESELLER'!$C$112),2)</f>
        <v>1.56</v>
      </c>
      <c r="F728" s="248">
        <f>IF(Select!$E$23=1,C728,IF(Select!$E$23=2,D728,IF(Select!$E$23=3,E728)))</f>
        <v>1.56</v>
      </c>
    </row>
    <row r="729" spans="1:8">
      <c r="A729" t="s">
        <v>2996</v>
      </c>
      <c r="C729" s="248">
        <f>ROUND(B729*(1-'Disc Dep'!$M$5),2)</f>
        <v>0</v>
      </c>
      <c r="D729" s="248">
        <f>ROUND(C729*(1+'Adaos Distr'!$C$112),2)</f>
        <v>0</v>
      </c>
      <c r="E729" s="248">
        <f>ROUND(D729*(1+'Adaos RESELLER'!$C$112),2)</f>
        <v>0</v>
      </c>
      <c r="F729" s="248">
        <f>IF(Select!$E$23=1,C729,IF(Select!$E$23=2,D729,IF(Select!$E$23=3,E729)))</f>
        <v>0</v>
      </c>
    </row>
    <row r="730" spans="1:8">
      <c r="A730" t="s">
        <v>2996</v>
      </c>
      <c r="C730" s="248">
        <f>ROUND(B730*(1-'Disc Dep'!$M$5),2)</f>
        <v>0</v>
      </c>
      <c r="D730" s="248">
        <f>ROUND(C730*(1+'Adaos Distr'!$C$112),2)</f>
        <v>0</v>
      </c>
      <c r="E730" s="248">
        <f>ROUND(D730*(1+'Adaos RESELLER'!$C$112),2)</f>
        <v>0</v>
      </c>
      <c r="F730" s="248">
        <f>IF(Select!$E$23=1,C730,IF(Select!$E$23=2,D730,IF(Select!$E$23=3,E730)))</f>
        <v>0</v>
      </c>
    </row>
    <row r="731" spans="1:8">
      <c r="A731" t="s">
        <v>2997</v>
      </c>
      <c r="B731" s="249">
        <v>1.67</v>
      </c>
      <c r="C731" s="248">
        <f>ROUND(B731*(1-'Disc Dep'!$M$5),2)</f>
        <v>1.24</v>
      </c>
      <c r="D731" s="248">
        <f>ROUND(C731*(1+'Adaos Distr'!$C$112),2)</f>
        <v>1.24</v>
      </c>
      <c r="E731" s="248">
        <f>ROUND(D731*(1+'Adaos RESELLER'!$C$112),2)</f>
        <v>1.24</v>
      </c>
      <c r="F731" s="248">
        <f>IF(Select!$E$23=1,C731,IF(Select!$E$23=2,D731,IF(Select!$E$23=3,E731)))</f>
        <v>1.24</v>
      </c>
    </row>
    <row r="732" spans="1:8">
      <c r="A732" t="s">
        <v>2996</v>
      </c>
      <c r="C732" s="248">
        <f>ROUND(B732*(1-'Disc Dep'!$M$5),2)</f>
        <v>0</v>
      </c>
      <c r="D732" s="248">
        <f>ROUND(C732*(1+'Adaos Distr'!$C$112),2)</f>
        <v>0</v>
      </c>
      <c r="E732" s="248">
        <f>ROUND(D732*(1+'Adaos RESELLER'!$C$112),2)</f>
        <v>0</v>
      </c>
      <c r="F732" s="248">
        <f>IF(Select!$E$23=1,C732,IF(Select!$E$23=2,D732,IF(Select!$E$23=3,E732)))</f>
        <v>0</v>
      </c>
    </row>
    <row r="733" spans="1:8">
      <c r="A733" t="s">
        <v>2996</v>
      </c>
      <c r="C733" s="248">
        <f>ROUND(B733*(1-'Disc Dep'!$M$5),2)</f>
        <v>0</v>
      </c>
      <c r="D733" s="248">
        <f>ROUND(C733*(1+'Adaos Distr'!$C$112),2)</f>
        <v>0</v>
      </c>
      <c r="E733" s="248">
        <f>ROUND(D733*(1+'Adaos RESELLER'!$C$112),2)</f>
        <v>0</v>
      </c>
      <c r="F733" s="248">
        <f>IF(Select!$E$23=1,C733,IF(Select!$E$23=2,D733,IF(Select!$E$23=3,E733)))</f>
        <v>0</v>
      </c>
    </row>
    <row r="734" spans="1:8">
      <c r="A734" t="s">
        <v>2998</v>
      </c>
      <c r="B734" s="249">
        <v>1.56</v>
      </c>
      <c r="C734" s="248">
        <f>ROUND(B734*(1-'Disc Dep'!$M$5),2)</f>
        <v>1.1499999999999999</v>
      </c>
      <c r="D734" s="248">
        <f>ROUND(C734*(1+'Adaos Distr'!$C$112),2)</f>
        <v>1.1499999999999999</v>
      </c>
      <c r="E734" s="248">
        <f>ROUND(D734*(1+'Adaos RESELLER'!$C$112),2)</f>
        <v>1.1499999999999999</v>
      </c>
      <c r="F734" s="248">
        <f>IF(Select!$E$23=1,C734,IF(Select!$E$23=2,D734,IF(Select!$E$23=3,E734)))</f>
        <v>1.1499999999999999</v>
      </c>
    </row>
    <row r="735" spans="1:8">
      <c r="A735" t="s">
        <v>2996</v>
      </c>
      <c r="C735" s="248">
        <f>ROUND(B735*(1-'Disc Dep'!$M$5),2)</f>
        <v>0</v>
      </c>
      <c r="D735" s="248">
        <f>ROUND(C735*(1+'Adaos Distr'!$C$112),2)</f>
        <v>0</v>
      </c>
      <c r="E735" s="248">
        <f>ROUND(D735*(1+'Adaos RESELLER'!$C$112),2)</f>
        <v>0</v>
      </c>
      <c r="F735" s="248">
        <f>IF(Select!$E$23=1,C735,IF(Select!$E$23=2,D735,IF(Select!$E$23=3,E735)))</f>
        <v>0</v>
      </c>
    </row>
    <row r="736" spans="1:8">
      <c r="A736" t="s">
        <v>2999</v>
      </c>
      <c r="B736" s="249">
        <v>11.35</v>
      </c>
      <c r="C736" s="248">
        <f>ROUND(B736*(1-'Disc Dep'!$M$5),2)</f>
        <v>8.4</v>
      </c>
      <c r="D736" s="248">
        <f>ROUND(C736*(1+'Adaos Distr'!$C$112),2)</f>
        <v>8.4</v>
      </c>
      <c r="E736" s="248">
        <f>ROUND(D736*(1+'Adaos RESELLER'!$C$112),2)</f>
        <v>8.4</v>
      </c>
      <c r="F736" s="248">
        <f>IF(Select!$E$23=1,C736,IF(Select!$E$23=2,D736,IF(Select!$E$23=3,E736)))</f>
        <v>8.4</v>
      </c>
    </row>
    <row r="737" spans="1:6">
      <c r="A737" t="s">
        <v>3000</v>
      </c>
      <c r="B737" s="249">
        <v>5.67</v>
      </c>
      <c r="C737" s="248">
        <f>ROUND(B737*(1-'Disc Dep'!$M$5),2)</f>
        <v>4.2</v>
      </c>
      <c r="D737" s="248">
        <f>ROUND(C737*(1+'Adaos Distr'!$C$112),2)</f>
        <v>4.2</v>
      </c>
      <c r="E737" s="248">
        <f>ROUND(D737*(1+'Adaos RESELLER'!$C$112),2)</f>
        <v>4.2</v>
      </c>
      <c r="F737" s="248">
        <f>IF(Select!$E$23=1,C737,IF(Select!$E$23=2,D737,IF(Select!$E$23=3,E737)))</f>
        <v>4.2</v>
      </c>
    </row>
    <row r="738" spans="1:6">
      <c r="A738" t="s">
        <v>3001</v>
      </c>
      <c r="B738" s="249">
        <v>10</v>
      </c>
      <c r="C738" s="248">
        <f>ROUND(B738*(1-'Disc Dep'!$M$5),2)</f>
        <v>7.4</v>
      </c>
      <c r="D738" s="248">
        <f>ROUND(C738*(1+'Adaos Distr'!$C$112),2)</f>
        <v>7.4</v>
      </c>
      <c r="E738" s="248">
        <f>ROUND(D738*(1+'Adaos RESELLER'!$C$112),2)</f>
        <v>7.4</v>
      </c>
      <c r="F738" s="248">
        <f>IF(Select!$E$23=1,C738,IF(Select!$E$23=2,D738,IF(Select!$E$23=3,E738)))</f>
        <v>7.4</v>
      </c>
    </row>
    <row r="739" spans="1:6">
      <c r="A739" t="s">
        <v>3002</v>
      </c>
      <c r="B739" s="249">
        <v>10</v>
      </c>
      <c r="C739" s="248">
        <f>ROUND(B739*(1-'Disc Dep'!$M$5),2)</f>
        <v>7.4</v>
      </c>
      <c r="D739" s="248">
        <f>ROUND(C739*(1+'Adaos Distr'!$C$112),2)</f>
        <v>7.4</v>
      </c>
      <c r="E739" s="248">
        <f>ROUND(D739*(1+'Adaos RESELLER'!$C$112),2)</f>
        <v>7.4</v>
      </c>
      <c r="F739" s="248">
        <f>IF(Select!$E$23=1,C739,IF(Select!$E$23=2,D739,IF(Select!$E$23=3,E739)))</f>
        <v>7.4</v>
      </c>
    </row>
    <row r="740" spans="1:6">
      <c r="A740" t="s">
        <v>3003</v>
      </c>
      <c r="B740" s="249">
        <v>1.76</v>
      </c>
      <c r="C740" s="248">
        <f>ROUND(B740*(1-'Disc Dep'!$M$5),2)</f>
        <v>1.3</v>
      </c>
      <c r="D740" s="248">
        <f>ROUND(C740*(1+'Adaos Distr'!$C$112),2)</f>
        <v>1.3</v>
      </c>
      <c r="E740" s="248">
        <f>ROUND(D740*(1+'Adaos RESELLER'!$C$112),2)</f>
        <v>1.3</v>
      </c>
      <c r="F740" s="248">
        <f>IF(Select!$E$23=1,C740,IF(Select!$E$23=2,D740,IF(Select!$E$23=3,E740)))</f>
        <v>1.3</v>
      </c>
    </row>
    <row r="741" spans="1:6">
      <c r="A741" t="s">
        <v>3004</v>
      </c>
      <c r="B741" s="249">
        <v>1.1000000000000001</v>
      </c>
      <c r="C741" s="248">
        <f>ROUND(B741*(1-'Disc Dep'!$M$5),2)</f>
        <v>0.81</v>
      </c>
      <c r="D741" s="248">
        <f>ROUND(C741*(1+'Adaos Distr'!$C$112),2)</f>
        <v>0.81</v>
      </c>
      <c r="E741" s="248">
        <f>ROUND(D741*(1+'Adaos RESELLER'!$C$112),2)</f>
        <v>0.81</v>
      </c>
      <c r="F741" s="248">
        <f>IF(Select!$E$23=1,C741,IF(Select!$E$23=2,D741,IF(Select!$E$23=3,E741)))</f>
        <v>0.81</v>
      </c>
    </row>
    <row r="742" spans="1:6">
      <c r="A742" t="s">
        <v>3005</v>
      </c>
      <c r="B742" s="249">
        <v>0.85</v>
      </c>
      <c r="C742" s="248">
        <f>ROUND(B742*(1-'Disc Dep'!$M$5),2)</f>
        <v>0.63</v>
      </c>
      <c r="D742" s="248">
        <f>ROUND(C742*(1+'Adaos Distr'!$C$112),2)</f>
        <v>0.63</v>
      </c>
      <c r="E742" s="248">
        <f>ROUND(D742*(1+'Adaos RESELLER'!$C$112),2)</f>
        <v>0.63</v>
      </c>
      <c r="F742" s="248">
        <f>IF(Select!$E$23=1,C742,IF(Select!$E$23=2,D742,IF(Select!$E$23=3,E742)))</f>
        <v>0.63</v>
      </c>
    </row>
    <row r="743" spans="1:6">
      <c r="A743" t="s">
        <v>3006</v>
      </c>
      <c r="B743" s="249">
        <v>2.99</v>
      </c>
      <c r="C743" s="248">
        <f>ROUND(B743*(1-'Disc Dep'!$M$5),2)</f>
        <v>2.21</v>
      </c>
      <c r="D743" s="248">
        <f>ROUND(C743*(1+'Adaos Distr'!$C$112),2)</f>
        <v>2.21</v>
      </c>
      <c r="E743" s="248">
        <f>ROUND(D743*(1+'Adaos RESELLER'!$C$112),2)</f>
        <v>2.21</v>
      </c>
      <c r="F743" s="248">
        <f>IF(Select!$E$23=1,C743,IF(Select!$E$23=2,D743,IF(Select!$E$23=3,E743)))</f>
        <v>2.21</v>
      </c>
    </row>
    <row r="744" spans="1:6">
      <c r="A744" t="s">
        <v>3007</v>
      </c>
      <c r="B744" s="249">
        <v>2.99</v>
      </c>
      <c r="C744" s="248">
        <f>ROUND(B744*(1-'Disc Dep'!$M$5),2)</f>
        <v>2.21</v>
      </c>
      <c r="D744" s="248">
        <f>ROUND(C744*(1+'Adaos Distr'!$C$112),2)</f>
        <v>2.21</v>
      </c>
      <c r="E744" s="248">
        <f>ROUND(D744*(1+'Adaos RESELLER'!$C$112),2)</f>
        <v>2.21</v>
      </c>
      <c r="F744" s="248">
        <f>IF(Select!$E$23=1,C744,IF(Select!$E$23=2,D744,IF(Select!$E$23=3,E744)))</f>
        <v>2.21</v>
      </c>
    </row>
    <row r="745" spans="1:6">
      <c r="A745" t="s">
        <v>3008</v>
      </c>
      <c r="B745" s="249">
        <v>3.53</v>
      </c>
      <c r="C745" s="248">
        <f>ROUND(B745*(1-'Disc Dep'!$M$5),2)</f>
        <v>2.61</v>
      </c>
      <c r="D745" s="248">
        <f>ROUND(C745*(1+'Adaos Distr'!$C$112),2)</f>
        <v>2.61</v>
      </c>
      <c r="E745" s="248">
        <f>ROUND(D745*(1+'Adaos RESELLER'!$C$112),2)</f>
        <v>2.61</v>
      </c>
      <c r="F745" s="248">
        <f>IF(Select!$E$23=1,C745,IF(Select!$E$23=2,D745,IF(Select!$E$23=3,E745)))</f>
        <v>2.61</v>
      </c>
    </row>
    <row r="746" spans="1:6">
      <c r="A746" t="s">
        <v>3009</v>
      </c>
      <c r="B746" s="249">
        <v>10.49</v>
      </c>
      <c r="C746" s="248">
        <f>ROUND(B746*(1-'Disc Dep'!$M$5),2)</f>
        <v>7.76</v>
      </c>
      <c r="D746" s="248">
        <f>ROUND(C746*(1+'Adaos Distr'!$C$112),2)</f>
        <v>7.76</v>
      </c>
      <c r="E746" s="248">
        <f>ROUND(D746*(1+'Adaos RESELLER'!$C$112),2)</f>
        <v>7.76</v>
      </c>
      <c r="F746" s="248">
        <f>IF(Select!$E$23=1,C746,IF(Select!$E$23=2,D746,IF(Select!$E$23=3,E746)))</f>
        <v>7.76</v>
      </c>
    </row>
    <row r="747" spans="1:6">
      <c r="A747" t="s">
        <v>3010</v>
      </c>
      <c r="B747" s="249">
        <v>1.1000000000000001</v>
      </c>
      <c r="C747" s="248">
        <f>ROUND(B747*(1-'Disc Dep'!$M$5),2)</f>
        <v>0.81</v>
      </c>
      <c r="D747" s="248">
        <f>ROUND(C747*(1+'Adaos Distr'!$C$112),2)</f>
        <v>0.81</v>
      </c>
      <c r="E747" s="248">
        <f>ROUND(D747*(1+'Adaos RESELLER'!$C$112),2)</f>
        <v>0.81</v>
      </c>
      <c r="F747" s="248">
        <f>IF(Select!$E$23=1,C747,IF(Select!$E$23=2,D747,IF(Select!$E$23=3,E747)))</f>
        <v>0.81</v>
      </c>
    </row>
    <row r="748" spans="1:6">
      <c r="A748" t="s">
        <v>3011</v>
      </c>
      <c r="B748" s="249">
        <v>27.85</v>
      </c>
      <c r="C748" s="248">
        <f>ROUND(B748*(1-'Disc Dep'!$M$5),2)</f>
        <v>20.61</v>
      </c>
      <c r="D748" s="248">
        <f>ROUND(C748*(1+'Adaos Distr'!$C$112),2)</f>
        <v>20.61</v>
      </c>
      <c r="E748" s="248">
        <f>ROUND(D748*(1+'Adaos RESELLER'!$C$112),2)</f>
        <v>20.61</v>
      </c>
      <c r="F748" s="248">
        <f>IF(Select!$E$23=1,C748,IF(Select!$E$23=2,D748,IF(Select!$E$23=3,E748)))</f>
        <v>20.61</v>
      </c>
    </row>
    <row r="749" spans="1:6">
      <c r="A749" t="s">
        <v>3012</v>
      </c>
      <c r="B749" s="249">
        <v>2.99</v>
      </c>
      <c r="C749" s="248">
        <f>ROUND(B749*(1-'Disc Dep'!$M$5),2)</f>
        <v>2.21</v>
      </c>
      <c r="D749" s="248">
        <f>ROUND(C749*(1+'Adaos Distr'!$C$112),2)</f>
        <v>2.21</v>
      </c>
      <c r="E749" s="248">
        <f>ROUND(D749*(1+'Adaos RESELLER'!$C$112),2)</f>
        <v>2.21</v>
      </c>
      <c r="F749" s="248">
        <f>IF(Select!$E$23=1,C749,IF(Select!$E$23=2,D749,IF(Select!$E$23=3,E749)))</f>
        <v>2.21</v>
      </c>
    </row>
    <row r="750" spans="1:6">
      <c r="A750" t="s">
        <v>3013</v>
      </c>
      <c r="B750" s="249">
        <v>20.02</v>
      </c>
      <c r="C750" s="248">
        <f>ROUND(B750*(1-'Disc Dep'!$M$5),2)</f>
        <v>14.81</v>
      </c>
      <c r="D750" s="248">
        <f>ROUND(C750*(1+'Adaos Distr'!$C$112),2)</f>
        <v>14.81</v>
      </c>
      <c r="E750" s="248">
        <f>ROUND(D750*(1+'Adaos RESELLER'!$C$112),2)</f>
        <v>14.81</v>
      </c>
      <c r="F750" s="248">
        <f>IF(Select!$E$23=1,C750,IF(Select!$E$23=2,D750,IF(Select!$E$23=3,E750)))</f>
        <v>14.81</v>
      </c>
    </row>
    <row r="751" spans="1:6">
      <c r="C751" s="248">
        <f>ROUND(B751*(1-'Disc Dep'!$M$5),2)</f>
        <v>0</v>
      </c>
      <c r="D751" s="248">
        <f>ROUND(C751*(1+'Adaos Distr'!$C$112),2)</f>
        <v>0</v>
      </c>
      <c r="E751" s="248">
        <f>ROUND(D751*(1+'Adaos RESELLER'!$C$112),2)</f>
        <v>0</v>
      </c>
      <c r="F751" s="248">
        <f>IF(Select!$E$23=1,C751,IF(Select!$E$23=2,D751,IF(Select!$E$23=3,E751)))</f>
        <v>0</v>
      </c>
    </row>
    <row r="752" spans="1:6">
      <c r="A752" t="s">
        <v>3014</v>
      </c>
      <c r="B752" s="249">
        <v>2.06</v>
      </c>
      <c r="C752" s="248">
        <f>ROUND(B752*(1-'Disc Dep'!$M$5),2)</f>
        <v>1.52</v>
      </c>
      <c r="D752" s="248">
        <f>ROUND(C752*(1+'Adaos Distr'!$C$112),2)</f>
        <v>1.52</v>
      </c>
      <c r="E752" s="248">
        <f>ROUND(D752*(1+'Adaos RESELLER'!$C$112),2)</f>
        <v>1.52</v>
      </c>
      <c r="F752" s="248">
        <f>IF(Select!$E$23=1,C752,IF(Select!$E$23=2,D752,IF(Select!$E$23=3,E752)))</f>
        <v>1.52</v>
      </c>
    </row>
    <row r="753" spans="1:6">
      <c r="A753" t="s">
        <v>3015</v>
      </c>
      <c r="B753" s="249">
        <v>2.29</v>
      </c>
      <c r="C753" s="248">
        <f>ROUND(B753*(1-'Disc Dep'!$M$5),2)</f>
        <v>1.69</v>
      </c>
      <c r="D753" s="248">
        <f>ROUND(C753*(1+'Adaos Distr'!$C$112),2)</f>
        <v>1.69</v>
      </c>
      <c r="E753" s="248">
        <f>ROUND(D753*(1+'Adaos RESELLER'!$C$112),2)</f>
        <v>1.69</v>
      </c>
      <c r="F753" s="248">
        <f>IF(Select!$E$23=1,C753,IF(Select!$E$23=2,D753,IF(Select!$E$23=3,E753)))</f>
        <v>1.69</v>
      </c>
    </row>
    <row r="754" spans="1:6">
      <c r="A754" t="s">
        <v>3016</v>
      </c>
      <c r="B754" s="249">
        <v>0</v>
      </c>
      <c r="C754" s="248">
        <f>ROUND(B754*(1-'Disc Dep'!$M$5),2)</f>
        <v>0</v>
      </c>
      <c r="D754" s="248">
        <f>ROUND(C754*(1+'Adaos Distr'!$C$112),2)</f>
        <v>0</v>
      </c>
      <c r="E754" s="248">
        <f>ROUND(D754*(1+'Adaos RESELLER'!$C$112),2)</f>
        <v>0</v>
      </c>
      <c r="F754" s="248">
        <f>IF(Select!$E$23=1,C754,IF(Select!$E$23=2,D754,IF(Select!$E$23=3,E754)))</f>
        <v>0</v>
      </c>
    </row>
    <row r="755" spans="1:6">
      <c r="A755" t="s">
        <v>3016</v>
      </c>
      <c r="B755" s="249">
        <v>0</v>
      </c>
      <c r="C755" s="248">
        <f>ROUND(B755*(1-'Disc Dep'!$M$5),2)</f>
        <v>0</v>
      </c>
      <c r="D755" s="248">
        <f>ROUND(C755*(1+'Adaos Distr'!$C$112),2)</f>
        <v>0</v>
      </c>
      <c r="E755" s="248">
        <f>ROUND(D755*(1+'Adaos RESELLER'!$C$112),2)</f>
        <v>0</v>
      </c>
      <c r="F755" s="248">
        <f>IF(Select!$E$23=1,C755,IF(Select!$E$23=2,D755,IF(Select!$E$23=3,E755)))</f>
        <v>0</v>
      </c>
    </row>
    <row r="756" spans="1:6">
      <c r="A756" t="s">
        <v>3016</v>
      </c>
      <c r="B756" s="249">
        <v>0</v>
      </c>
      <c r="C756" s="248">
        <f>ROUND(B756*(1-'Disc Dep'!$M$5),2)</f>
        <v>0</v>
      </c>
      <c r="D756" s="248">
        <f>ROUND(C756*(1+'Adaos Distr'!$C$112),2)</f>
        <v>0</v>
      </c>
      <c r="E756" s="248">
        <f>ROUND(D756*(1+'Adaos RESELLER'!$C$112),2)</f>
        <v>0</v>
      </c>
      <c r="F756" s="248">
        <f>IF(Select!$E$23=1,C756,IF(Select!$E$23=2,D756,IF(Select!$E$23=3,E756)))</f>
        <v>0</v>
      </c>
    </row>
    <row r="757" spans="1:6">
      <c r="A757" t="s">
        <v>3016</v>
      </c>
      <c r="B757" s="249">
        <v>0</v>
      </c>
      <c r="C757" s="248">
        <f>ROUND(B757*(1-'Disc Dep'!$M$5),2)</f>
        <v>0</v>
      </c>
      <c r="D757" s="248">
        <f>ROUND(C757*(1+'Adaos Distr'!$C$112),2)</f>
        <v>0</v>
      </c>
      <c r="E757" s="248">
        <f>ROUND(D757*(1+'Adaos RESELLER'!$C$112),2)</f>
        <v>0</v>
      </c>
      <c r="F757" s="248">
        <f>IF(Select!$E$23=1,C757,IF(Select!$E$23=2,D757,IF(Select!$E$23=3,E757)))</f>
        <v>0</v>
      </c>
    </row>
    <row r="758" spans="1:6">
      <c r="A758" t="s">
        <v>3016</v>
      </c>
      <c r="B758" s="249">
        <v>0</v>
      </c>
      <c r="C758" s="248">
        <f>ROUND(B758*(1-'Disc Dep'!$M$5),2)</f>
        <v>0</v>
      </c>
      <c r="D758" s="248">
        <f>ROUND(C758*(1+'Adaos Distr'!$C$112),2)</f>
        <v>0</v>
      </c>
      <c r="E758" s="248">
        <f>ROUND(D758*(1+'Adaos RESELLER'!$C$112),2)</f>
        <v>0</v>
      </c>
      <c r="F758" s="248">
        <f>IF(Select!$E$23=1,C758,IF(Select!$E$23=2,D758,IF(Select!$E$23=3,E758)))</f>
        <v>0</v>
      </c>
    </row>
    <row r="759" spans="1:6">
      <c r="A759" t="s">
        <v>3017</v>
      </c>
      <c r="B759" s="249">
        <v>2.5499999999999998</v>
      </c>
      <c r="C759" s="248">
        <f>ROUND(B759*(1-'Disc Dep'!$M$5),2)</f>
        <v>1.89</v>
      </c>
      <c r="D759" s="248">
        <f>ROUND(C759*(1+'Adaos Distr'!$C$112),2)</f>
        <v>1.89</v>
      </c>
      <c r="E759" s="248">
        <f>ROUND(D759*(1+'Adaos RESELLER'!$C$112),2)</f>
        <v>1.89</v>
      </c>
      <c r="F759" s="248">
        <f>IF(Select!$E$23=1,C759,IF(Select!$E$23=2,D759,IF(Select!$E$23=3,E759)))</f>
        <v>1.89</v>
      </c>
    </row>
    <row r="760" spans="1:6">
      <c r="A760" t="s">
        <v>3016</v>
      </c>
      <c r="B760" s="249">
        <v>0</v>
      </c>
      <c r="C760" s="248">
        <f>ROUND(B760*(1-'Disc Dep'!$M$5),2)</f>
        <v>0</v>
      </c>
      <c r="D760" s="248">
        <f>ROUND(C760*(1+'Adaos Distr'!$C$112),2)</f>
        <v>0</v>
      </c>
      <c r="E760" s="248">
        <f>ROUND(D760*(1+'Adaos RESELLER'!$C$112),2)</f>
        <v>0</v>
      </c>
      <c r="F760" s="248">
        <f>IF(Select!$E$23=1,C760,IF(Select!$E$23=2,D760,IF(Select!$E$23=3,E760)))</f>
        <v>0</v>
      </c>
    </row>
    <row r="761" spans="1:6">
      <c r="A761" t="s">
        <v>3018</v>
      </c>
      <c r="B761" s="249">
        <v>15.05</v>
      </c>
      <c r="C761" s="248">
        <f>ROUND(B761*(1-'Disc Dep'!$M$5),2)</f>
        <v>11.14</v>
      </c>
      <c r="D761" s="248">
        <f>ROUND(C761*(1+'Adaos Distr'!$C$112),2)</f>
        <v>11.14</v>
      </c>
      <c r="E761" s="248">
        <f>ROUND(D761*(1+'Adaos RESELLER'!$C$112),2)</f>
        <v>11.14</v>
      </c>
      <c r="F761" s="248">
        <f>IF(Select!$E$23=1,C761,IF(Select!$E$23=2,D761,IF(Select!$E$23=3,E761)))</f>
        <v>11.14</v>
      </c>
    </row>
    <row r="762" spans="1:6">
      <c r="A762" t="s">
        <v>3019</v>
      </c>
      <c r="B762" s="249">
        <v>7.52</v>
      </c>
      <c r="C762" s="248">
        <f>ROUND(B762*(1-'Disc Dep'!$M$5),2)</f>
        <v>5.56</v>
      </c>
      <c r="D762" s="248">
        <f>ROUND(C762*(1+'Adaos Distr'!$C$112),2)</f>
        <v>5.56</v>
      </c>
      <c r="E762" s="248">
        <f>ROUND(D762*(1+'Adaos RESELLER'!$C$112),2)</f>
        <v>5.56</v>
      </c>
      <c r="F762" s="248">
        <f>IF(Select!$E$23=1,C762,IF(Select!$E$23=2,D762,IF(Select!$E$23=3,E762)))</f>
        <v>5.56</v>
      </c>
    </row>
    <row r="763" spans="1:6">
      <c r="A763" t="s">
        <v>3020</v>
      </c>
      <c r="B763" s="249">
        <v>13.99</v>
      </c>
      <c r="C763" s="248">
        <f>ROUND(B763*(1-'Disc Dep'!$M$5),2)</f>
        <v>10.35</v>
      </c>
      <c r="D763" s="248">
        <f>ROUND(C763*(1+'Adaos Distr'!$C$112),2)</f>
        <v>10.35</v>
      </c>
      <c r="E763" s="248">
        <f>ROUND(D763*(1+'Adaos RESELLER'!$C$112),2)</f>
        <v>10.35</v>
      </c>
      <c r="F763" s="248">
        <f>IF(Select!$E$23=1,C763,IF(Select!$E$23=2,D763,IF(Select!$E$23=3,E763)))</f>
        <v>10.35</v>
      </c>
    </row>
    <row r="764" spans="1:6">
      <c r="A764" t="s">
        <v>3021</v>
      </c>
      <c r="B764" s="249">
        <v>13.99</v>
      </c>
      <c r="C764" s="248">
        <f>ROUND(B764*(1-'Disc Dep'!$M$5),2)</f>
        <v>10.35</v>
      </c>
      <c r="D764" s="248">
        <f>ROUND(C764*(1+'Adaos Distr'!$C$112),2)</f>
        <v>10.35</v>
      </c>
      <c r="E764" s="248">
        <f>ROUND(D764*(1+'Adaos RESELLER'!$C$112),2)</f>
        <v>10.35</v>
      </c>
      <c r="F764" s="248">
        <f>IF(Select!$E$23=1,C764,IF(Select!$E$23=2,D764,IF(Select!$E$23=3,E764)))</f>
        <v>10.35</v>
      </c>
    </row>
    <row r="765" spans="1:6">
      <c r="A765" t="s">
        <v>3022</v>
      </c>
      <c r="B765" s="249">
        <v>2.15</v>
      </c>
      <c r="C765" s="248">
        <f>ROUND(B765*(1-'Disc Dep'!$M$5),2)</f>
        <v>1.59</v>
      </c>
      <c r="D765" s="248">
        <f>ROUND(C765*(1+'Adaos Distr'!$C$112),2)</f>
        <v>1.59</v>
      </c>
      <c r="E765" s="248">
        <f>ROUND(D765*(1+'Adaos RESELLER'!$C$112),2)</f>
        <v>1.59</v>
      </c>
      <c r="F765" s="248">
        <f>IF(Select!$E$23=1,C765,IF(Select!$E$23=2,D765,IF(Select!$E$23=3,E765)))</f>
        <v>1.59</v>
      </c>
    </row>
    <row r="766" spans="1:6">
      <c r="A766" t="s">
        <v>3023</v>
      </c>
      <c r="B766" s="249">
        <v>1.42</v>
      </c>
      <c r="C766" s="248">
        <f>ROUND(B766*(1-'Disc Dep'!$M$5),2)</f>
        <v>1.05</v>
      </c>
      <c r="D766" s="248">
        <f>ROUND(C766*(1+'Adaos Distr'!$C$112),2)</f>
        <v>1.05</v>
      </c>
      <c r="E766" s="248">
        <f>ROUND(D766*(1+'Adaos RESELLER'!$C$112),2)</f>
        <v>1.05</v>
      </c>
      <c r="F766" s="248">
        <f>IF(Select!$E$23=1,C766,IF(Select!$E$23=2,D766,IF(Select!$E$23=3,E766)))</f>
        <v>1.05</v>
      </c>
    </row>
    <row r="767" spans="1:6">
      <c r="A767" t="s">
        <v>3024</v>
      </c>
      <c r="B767" s="249">
        <v>0.85</v>
      </c>
      <c r="C767" s="248">
        <f>ROUND(B767*(1-'Disc Dep'!$M$5),2)</f>
        <v>0.63</v>
      </c>
      <c r="D767" s="248">
        <f>ROUND(C767*(1+'Adaos Distr'!$C$112),2)</f>
        <v>0.63</v>
      </c>
      <c r="E767" s="248">
        <f>ROUND(D767*(1+'Adaos RESELLER'!$C$112),2)</f>
        <v>0.63</v>
      </c>
      <c r="F767" s="248">
        <f>IF(Select!$E$23=1,C767,IF(Select!$E$23=2,D767,IF(Select!$E$23=3,E767)))</f>
        <v>0.63</v>
      </c>
    </row>
    <row r="768" spans="1:6">
      <c r="A768" t="s">
        <v>3025</v>
      </c>
      <c r="B768" s="249">
        <v>4.5999999999999996</v>
      </c>
      <c r="C768" s="248">
        <f>ROUND(B768*(1-'Disc Dep'!$M$5),2)</f>
        <v>3.4</v>
      </c>
      <c r="D768" s="248">
        <f>ROUND(C768*(1+'Adaos Distr'!$C$112),2)</f>
        <v>3.4</v>
      </c>
      <c r="E768" s="248">
        <f>ROUND(D768*(1+'Adaos RESELLER'!$C$112),2)</f>
        <v>3.4</v>
      </c>
      <c r="F768" s="248">
        <f>IF(Select!$E$23=1,C768,IF(Select!$E$23=2,D768,IF(Select!$E$23=3,E768)))</f>
        <v>3.4</v>
      </c>
    </row>
    <row r="769" spans="1:6">
      <c r="A769" t="s">
        <v>3026</v>
      </c>
      <c r="B769" s="249">
        <v>4.5999999999999996</v>
      </c>
      <c r="C769" s="248">
        <f>ROUND(B769*(1-'Disc Dep'!$M$5),2)</f>
        <v>3.4</v>
      </c>
      <c r="D769" s="248">
        <f>ROUND(C769*(1+'Adaos Distr'!$C$112),2)</f>
        <v>3.4</v>
      </c>
      <c r="E769" s="248">
        <f>ROUND(D769*(1+'Adaos RESELLER'!$C$112),2)</f>
        <v>3.4</v>
      </c>
      <c r="F769" s="248">
        <f>IF(Select!$E$23=1,C769,IF(Select!$E$23=2,D769,IF(Select!$E$23=3,E769)))</f>
        <v>3.4</v>
      </c>
    </row>
    <row r="770" spans="1:6">
      <c r="A770" t="s">
        <v>3027</v>
      </c>
      <c r="B770" s="249">
        <v>4.57</v>
      </c>
      <c r="C770" s="248">
        <f>ROUND(B770*(1-'Disc Dep'!$M$5),2)</f>
        <v>3.38</v>
      </c>
      <c r="D770" s="248">
        <f>ROUND(C770*(1+'Adaos Distr'!$C$112),2)</f>
        <v>3.38</v>
      </c>
      <c r="E770" s="248">
        <f>ROUND(D770*(1+'Adaos RESELLER'!$C$112),2)</f>
        <v>3.38</v>
      </c>
      <c r="F770" s="248">
        <f>IF(Select!$E$23=1,C770,IF(Select!$E$23=2,D770,IF(Select!$E$23=3,E770)))</f>
        <v>3.38</v>
      </c>
    </row>
    <row r="771" spans="1:6">
      <c r="A771" t="s">
        <v>3028</v>
      </c>
      <c r="B771" s="249">
        <v>13.84</v>
      </c>
      <c r="C771" s="248">
        <f>ROUND(B771*(1-'Disc Dep'!$M$5),2)</f>
        <v>10.24</v>
      </c>
      <c r="D771" s="248">
        <f>ROUND(C771*(1+'Adaos Distr'!$C$112),2)</f>
        <v>10.24</v>
      </c>
      <c r="E771" s="248">
        <f>ROUND(D771*(1+'Adaos RESELLER'!$C$112),2)</f>
        <v>10.24</v>
      </c>
      <c r="F771" s="248">
        <f>IF(Select!$E$23=1,C771,IF(Select!$E$23=2,D771,IF(Select!$E$23=3,E771)))</f>
        <v>10.24</v>
      </c>
    </row>
    <row r="772" spans="1:6">
      <c r="A772" t="s">
        <v>3029</v>
      </c>
      <c r="B772" s="249">
        <v>1.46</v>
      </c>
      <c r="C772" s="248">
        <f>ROUND(B772*(1-'Disc Dep'!$M$5),2)</f>
        <v>1.08</v>
      </c>
      <c r="D772" s="248">
        <f>ROUND(C772*(1+'Adaos Distr'!$C$112),2)</f>
        <v>1.08</v>
      </c>
      <c r="E772" s="248">
        <f>ROUND(D772*(1+'Adaos RESELLER'!$C$112),2)</f>
        <v>1.08</v>
      </c>
      <c r="F772" s="248">
        <f>IF(Select!$E$23=1,C772,IF(Select!$E$23=2,D772,IF(Select!$E$23=3,E772)))</f>
        <v>1.08</v>
      </c>
    </row>
    <row r="773" spans="1:6">
      <c r="A773" t="s">
        <v>3030</v>
      </c>
      <c r="B773" s="249">
        <v>27.85</v>
      </c>
      <c r="C773" s="248">
        <f>ROUND(B773*(1-'Disc Dep'!$M$5),2)</f>
        <v>20.61</v>
      </c>
      <c r="D773" s="248">
        <f>ROUND(C773*(1+'Adaos Distr'!$C$112),2)</f>
        <v>20.61</v>
      </c>
      <c r="E773" s="248">
        <f>ROUND(D773*(1+'Adaos RESELLER'!$C$112),2)</f>
        <v>20.61</v>
      </c>
      <c r="F773" s="248">
        <f>IF(Select!$E$23=1,C773,IF(Select!$E$23=2,D773,IF(Select!$E$23=3,E773)))</f>
        <v>20.61</v>
      </c>
    </row>
    <row r="774" spans="1:6">
      <c r="A774" t="s">
        <v>3031</v>
      </c>
      <c r="B774" s="249">
        <v>4.7</v>
      </c>
      <c r="C774" s="248">
        <f>ROUND(B774*(1-'Disc Dep'!$M$5),2)</f>
        <v>3.48</v>
      </c>
      <c r="D774" s="248">
        <f>ROUND(C774*(1+'Adaos Distr'!$C$112),2)</f>
        <v>3.48</v>
      </c>
      <c r="E774" s="248">
        <f>ROUND(D774*(1+'Adaos RESELLER'!$C$112),2)</f>
        <v>3.48</v>
      </c>
      <c r="F774" s="248">
        <f>IF(Select!$E$23=1,C774,IF(Select!$E$23=2,D774,IF(Select!$E$23=3,E774)))</f>
        <v>3.48</v>
      </c>
    </row>
    <row r="775" spans="1:6">
      <c r="A775" t="s">
        <v>3032</v>
      </c>
      <c r="B775" s="249">
        <v>20.21</v>
      </c>
      <c r="C775" s="248">
        <f>ROUND(B775*(1-'Disc Dep'!$M$5),2)</f>
        <v>14.96</v>
      </c>
      <c r="D775" s="248">
        <f>ROUND(C775*(1+'Adaos Distr'!$C$112),2)</f>
        <v>14.96</v>
      </c>
      <c r="E775" s="248">
        <f>ROUND(D775*(1+'Adaos RESELLER'!$C$112),2)</f>
        <v>14.96</v>
      </c>
      <c r="F775" s="248">
        <f>IF(Select!$E$23=1,C775,IF(Select!$E$23=2,D775,IF(Select!$E$23=3,E775)))</f>
        <v>14.96</v>
      </c>
    </row>
    <row r="776" spans="1:6">
      <c r="C776" s="248">
        <f>ROUND(B776*(1-'Disc Dep'!$M$5),2)</f>
        <v>0</v>
      </c>
      <c r="D776" s="248">
        <f>ROUND(C776*(1+'Adaos Distr'!$C$112),2)</f>
        <v>0</v>
      </c>
      <c r="E776" s="248">
        <f>ROUND(D776*(1+'Adaos RESELLER'!$C$112),2)</f>
        <v>0</v>
      </c>
      <c r="F776" s="248">
        <f>IF(Select!$E$23=1,C776,IF(Select!$E$23=2,D776,IF(Select!$E$23=3,E776)))</f>
        <v>0</v>
      </c>
    </row>
    <row r="777" spans="1:6">
      <c r="A777" t="s">
        <v>3033</v>
      </c>
      <c r="B777" s="249">
        <f>B727</f>
        <v>1.93</v>
      </c>
      <c r="C777" s="248">
        <f>ROUND(B777*(1-'Disc Dep'!$M$5),2)</f>
        <v>1.43</v>
      </c>
      <c r="D777" s="248">
        <f>ROUND(C777*(1+'Adaos Distr'!$C$112),2)</f>
        <v>1.43</v>
      </c>
      <c r="E777" s="248">
        <f>ROUND(D777*(1+'Adaos RESELLER'!$C$112),2)</f>
        <v>1.43</v>
      </c>
      <c r="F777" s="248">
        <f>IF(Select!$E$23=1,C777,IF(Select!$E$23=2,D777,IF(Select!$E$23=3,E777)))</f>
        <v>1.43</v>
      </c>
    </row>
    <row r="778" spans="1:6">
      <c r="A778" t="s">
        <v>3034</v>
      </c>
      <c r="B778" s="249">
        <f t="shared" ref="B778:B800" si="47">B728</f>
        <v>2.11</v>
      </c>
      <c r="C778" s="248">
        <f>ROUND(B778*(1-'Disc Dep'!$M$5),2)</f>
        <v>1.56</v>
      </c>
      <c r="D778" s="248">
        <f>ROUND(C778*(1+'Adaos Distr'!$C$112),2)</f>
        <v>1.56</v>
      </c>
      <c r="E778" s="248">
        <f>ROUND(D778*(1+'Adaos RESELLER'!$C$112),2)</f>
        <v>1.56</v>
      </c>
      <c r="F778" s="248">
        <f>IF(Select!$E$23=1,C778,IF(Select!$E$23=2,D778,IF(Select!$E$23=3,E778)))</f>
        <v>1.56</v>
      </c>
    </row>
    <row r="779" spans="1:6">
      <c r="A779" t="s">
        <v>3035</v>
      </c>
      <c r="B779" s="249">
        <f t="shared" si="47"/>
        <v>0</v>
      </c>
      <c r="C779" s="248">
        <f>ROUND(B779*(1-'Disc Dep'!$M$5),2)</f>
        <v>0</v>
      </c>
      <c r="D779" s="248">
        <f>ROUND(C779*(1+'Adaos Distr'!$C$112),2)</f>
        <v>0</v>
      </c>
      <c r="E779" s="248">
        <f>ROUND(D779*(1+'Adaos RESELLER'!$C$112),2)</f>
        <v>0</v>
      </c>
      <c r="F779" s="248">
        <f>IF(Select!$E$23=1,C779,IF(Select!$E$23=2,D779,IF(Select!$E$23=3,E779)))</f>
        <v>0</v>
      </c>
    </row>
    <row r="780" spans="1:6">
      <c r="A780" t="s">
        <v>3035</v>
      </c>
      <c r="B780" s="249">
        <f t="shared" si="47"/>
        <v>0</v>
      </c>
      <c r="C780" s="248">
        <f>ROUND(B780*(1-'Disc Dep'!$M$5),2)</f>
        <v>0</v>
      </c>
      <c r="D780" s="248">
        <f>ROUND(C780*(1+'Adaos Distr'!$C$112),2)</f>
        <v>0</v>
      </c>
      <c r="E780" s="248">
        <f>ROUND(D780*(1+'Adaos RESELLER'!$C$112),2)</f>
        <v>0</v>
      </c>
      <c r="F780" s="248">
        <f>IF(Select!$E$23=1,C780,IF(Select!$E$23=2,D780,IF(Select!$E$23=3,E780)))</f>
        <v>0</v>
      </c>
    </row>
    <row r="781" spans="1:6">
      <c r="A781" t="s">
        <v>3036</v>
      </c>
      <c r="B781" s="249">
        <f t="shared" si="47"/>
        <v>1.67</v>
      </c>
      <c r="C781" s="248">
        <f>ROUND(B781*(1-'Disc Dep'!$M$5),2)</f>
        <v>1.24</v>
      </c>
      <c r="D781" s="248">
        <f>ROUND(C781*(1+'Adaos Distr'!$C$112),2)</f>
        <v>1.24</v>
      </c>
      <c r="E781" s="248">
        <f>ROUND(D781*(1+'Adaos RESELLER'!$C$112),2)</f>
        <v>1.24</v>
      </c>
      <c r="F781" s="248">
        <f>IF(Select!$E$23=1,C781,IF(Select!$E$23=2,D781,IF(Select!$E$23=3,E781)))</f>
        <v>1.24</v>
      </c>
    </row>
    <row r="782" spans="1:6">
      <c r="A782" t="s">
        <v>3035</v>
      </c>
      <c r="B782" s="249">
        <f t="shared" si="47"/>
        <v>0</v>
      </c>
      <c r="C782" s="248">
        <f>ROUND(B782*(1-'Disc Dep'!$M$5),2)</f>
        <v>0</v>
      </c>
      <c r="D782" s="248">
        <f>ROUND(C782*(1+'Adaos Distr'!$C$112),2)</f>
        <v>0</v>
      </c>
      <c r="E782" s="248">
        <f>ROUND(D782*(1+'Adaos RESELLER'!$C$112),2)</f>
        <v>0</v>
      </c>
      <c r="F782" s="248">
        <f>IF(Select!$E$23=1,C782,IF(Select!$E$23=2,D782,IF(Select!$E$23=3,E782)))</f>
        <v>0</v>
      </c>
    </row>
    <row r="783" spans="1:6">
      <c r="A783" t="s">
        <v>3035</v>
      </c>
      <c r="B783" s="249">
        <f t="shared" si="47"/>
        <v>0</v>
      </c>
      <c r="C783" s="248">
        <f>ROUND(B783*(1-'Disc Dep'!$M$5),2)</f>
        <v>0</v>
      </c>
      <c r="D783" s="248">
        <f>ROUND(C783*(1+'Adaos Distr'!$C$112),2)</f>
        <v>0</v>
      </c>
      <c r="E783" s="248">
        <f>ROUND(D783*(1+'Adaos RESELLER'!$C$112),2)</f>
        <v>0</v>
      </c>
      <c r="F783" s="248">
        <f>IF(Select!$E$23=1,C783,IF(Select!$E$23=2,D783,IF(Select!$E$23=3,E783)))</f>
        <v>0</v>
      </c>
    </row>
    <row r="784" spans="1:6">
      <c r="A784" t="s">
        <v>3037</v>
      </c>
      <c r="B784" s="249">
        <f t="shared" si="47"/>
        <v>1.56</v>
      </c>
      <c r="C784" s="248">
        <f>ROUND(B784*(1-'Disc Dep'!$M$5),2)</f>
        <v>1.1499999999999999</v>
      </c>
      <c r="D784" s="248">
        <f>ROUND(C784*(1+'Adaos Distr'!$C$112),2)</f>
        <v>1.1499999999999999</v>
      </c>
      <c r="E784" s="248">
        <f>ROUND(D784*(1+'Adaos RESELLER'!$C$112),2)</f>
        <v>1.1499999999999999</v>
      </c>
      <c r="F784" s="248">
        <f>IF(Select!$E$23=1,C784,IF(Select!$E$23=2,D784,IF(Select!$E$23=3,E784)))</f>
        <v>1.1499999999999999</v>
      </c>
    </row>
    <row r="785" spans="1:6">
      <c r="A785" t="s">
        <v>3035</v>
      </c>
      <c r="B785" s="249">
        <f t="shared" si="47"/>
        <v>0</v>
      </c>
      <c r="C785" s="248">
        <f>ROUND(B785*(1-'Disc Dep'!$M$5),2)</f>
        <v>0</v>
      </c>
      <c r="D785" s="248">
        <f>ROUND(C785*(1+'Adaos Distr'!$C$112),2)</f>
        <v>0</v>
      </c>
      <c r="E785" s="248">
        <f>ROUND(D785*(1+'Adaos RESELLER'!$C$112),2)</f>
        <v>0</v>
      </c>
      <c r="F785" s="248">
        <f>IF(Select!$E$23=1,C785,IF(Select!$E$23=2,D785,IF(Select!$E$23=3,E785)))</f>
        <v>0</v>
      </c>
    </row>
    <row r="786" spans="1:6">
      <c r="A786" t="s">
        <v>3038</v>
      </c>
      <c r="B786" s="249">
        <f t="shared" si="47"/>
        <v>11.35</v>
      </c>
      <c r="C786" s="248">
        <f>ROUND(B786*(1-'Disc Dep'!$M$5),2)</f>
        <v>8.4</v>
      </c>
      <c r="D786" s="248">
        <f>ROUND(C786*(1+'Adaos Distr'!$C$112),2)</f>
        <v>8.4</v>
      </c>
      <c r="E786" s="248">
        <f>ROUND(D786*(1+'Adaos RESELLER'!$C$112),2)</f>
        <v>8.4</v>
      </c>
      <c r="F786" s="248">
        <f>IF(Select!$E$23=1,C786,IF(Select!$E$23=2,D786,IF(Select!$E$23=3,E786)))</f>
        <v>8.4</v>
      </c>
    </row>
    <row r="787" spans="1:6">
      <c r="A787" t="s">
        <v>3039</v>
      </c>
      <c r="B787" s="249">
        <f t="shared" si="47"/>
        <v>5.67</v>
      </c>
      <c r="C787" s="248">
        <f>ROUND(B787*(1-'Disc Dep'!$M$5),2)</f>
        <v>4.2</v>
      </c>
      <c r="D787" s="248">
        <f>ROUND(C787*(1+'Adaos Distr'!$C$112),2)</f>
        <v>4.2</v>
      </c>
      <c r="E787" s="248">
        <f>ROUND(D787*(1+'Adaos RESELLER'!$C$112),2)</f>
        <v>4.2</v>
      </c>
      <c r="F787" s="248">
        <f>IF(Select!$E$23=1,C787,IF(Select!$E$23=2,D787,IF(Select!$E$23=3,E787)))</f>
        <v>4.2</v>
      </c>
    </row>
    <row r="788" spans="1:6">
      <c r="A788" t="s">
        <v>3040</v>
      </c>
      <c r="B788" s="249">
        <f t="shared" si="47"/>
        <v>10</v>
      </c>
      <c r="C788" s="248">
        <f>ROUND(B788*(1-'Disc Dep'!$M$5),2)</f>
        <v>7.4</v>
      </c>
      <c r="D788" s="248">
        <f>ROUND(C788*(1+'Adaos Distr'!$C$112),2)</f>
        <v>7.4</v>
      </c>
      <c r="E788" s="248">
        <f>ROUND(D788*(1+'Adaos RESELLER'!$C$112),2)</f>
        <v>7.4</v>
      </c>
      <c r="F788" s="248">
        <f>IF(Select!$E$23=1,C788,IF(Select!$E$23=2,D788,IF(Select!$E$23=3,E788)))</f>
        <v>7.4</v>
      </c>
    </row>
    <row r="789" spans="1:6">
      <c r="A789" t="s">
        <v>3041</v>
      </c>
      <c r="B789" s="249">
        <f t="shared" si="47"/>
        <v>10</v>
      </c>
      <c r="C789" s="248">
        <f>ROUND(B789*(1-'Disc Dep'!$M$5),2)</f>
        <v>7.4</v>
      </c>
      <c r="D789" s="248">
        <f>ROUND(C789*(1+'Adaos Distr'!$C$112),2)</f>
        <v>7.4</v>
      </c>
      <c r="E789" s="248">
        <f>ROUND(D789*(1+'Adaos RESELLER'!$C$112),2)</f>
        <v>7.4</v>
      </c>
      <c r="F789" s="248">
        <f>IF(Select!$E$23=1,C789,IF(Select!$E$23=2,D789,IF(Select!$E$23=3,E789)))</f>
        <v>7.4</v>
      </c>
    </row>
    <row r="790" spans="1:6">
      <c r="A790" t="s">
        <v>3042</v>
      </c>
      <c r="B790" s="249">
        <f t="shared" si="47"/>
        <v>1.76</v>
      </c>
      <c r="C790" s="248">
        <f>ROUND(B790*(1-'Disc Dep'!$M$5),2)</f>
        <v>1.3</v>
      </c>
      <c r="D790" s="248">
        <f>ROUND(C790*(1+'Adaos Distr'!$C$112),2)</f>
        <v>1.3</v>
      </c>
      <c r="E790" s="248">
        <f>ROUND(D790*(1+'Adaos RESELLER'!$C$112),2)</f>
        <v>1.3</v>
      </c>
      <c r="F790" s="248">
        <f>IF(Select!$E$23=1,C790,IF(Select!$E$23=2,D790,IF(Select!$E$23=3,E790)))</f>
        <v>1.3</v>
      </c>
    </row>
    <row r="791" spans="1:6">
      <c r="A791" t="s">
        <v>3043</v>
      </c>
      <c r="B791" s="249">
        <f t="shared" si="47"/>
        <v>1.1000000000000001</v>
      </c>
      <c r="C791" s="248">
        <f>ROUND(B791*(1-'Disc Dep'!$M$5),2)</f>
        <v>0.81</v>
      </c>
      <c r="D791" s="248">
        <f>ROUND(C791*(1+'Adaos Distr'!$C$112),2)</f>
        <v>0.81</v>
      </c>
      <c r="E791" s="248">
        <f>ROUND(D791*(1+'Adaos RESELLER'!$C$112),2)</f>
        <v>0.81</v>
      </c>
      <c r="F791" s="248">
        <f>IF(Select!$E$23=1,C791,IF(Select!$E$23=2,D791,IF(Select!$E$23=3,E791)))</f>
        <v>0.81</v>
      </c>
    </row>
    <row r="792" spans="1:6">
      <c r="A792" t="s">
        <v>3044</v>
      </c>
      <c r="B792" s="249">
        <f t="shared" si="47"/>
        <v>0.85</v>
      </c>
      <c r="C792" s="248">
        <f>ROUND(B792*(1-'Disc Dep'!$M$5),2)</f>
        <v>0.63</v>
      </c>
      <c r="D792" s="248">
        <f>ROUND(C792*(1+'Adaos Distr'!$C$112),2)</f>
        <v>0.63</v>
      </c>
      <c r="E792" s="248">
        <f>ROUND(D792*(1+'Adaos RESELLER'!$C$112),2)</f>
        <v>0.63</v>
      </c>
      <c r="F792" s="248">
        <f>IF(Select!$E$23=1,C792,IF(Select!$E$23=2,D792,IF(Select!$E$23=3,E792)))</f>
        <v>0.63</v>
      </c>
    </row>
    <row r="793" spans="1:6">
      <c r="A793" t="s">
        <v>3045</v>
      </c>
      <c r="B793" s="249">
        <f t="shared" si="47"/>
        <v>2.99</v>
      </c>
      <c r="C793" s="248">
        <f>ROUND(B793*(1-'Disc Dep'!$M$5),2)</f>
        <v>2.21</v>
      </c>
      <c r="D793" s="248">
        <f>ROUND(C793*(1+'Adaos Distr'!$C$112),2)</f>
        <v>2.21</v>
      </c>
      <c r="E793" s="248">
        <f>ROUND(D793*(1+'Adaos RESELLER'!$C$112),2)</f>
        <v>2.21</v>
      </c>
      <c r="F793" s="248">
        <f>IF(Select!$E$23=1,C793,IF(Select!$E$23=2,D793,IF(Select!$E$23=3,E793)))</f>
        <v>2.21</v>
      </c>
    </row>
    <row r="794" spans="1:6">
      <c r="A794" t="s">
        <v>3046</v>
      </c>
      <c r="B794" s="249">
        <f t="shared" si="47"/>
        <v>2.99</v>
      </c>
      <c r="C794" s="248">
        <f>ROUND(B794*(1-'Disc Dep'!$M$5),2)</f>
        <v>2.21</v>
      </c>
      <c r="D794" s="248">
        <f>ROUND(C794*(1+'Adaos Distr'!$C$112),2)</f>
        <v>2.21</v>
      </c>
      <c r="E794" s="248">
        <f>ROUND(D794*(1+'Adaos RESELLER'!$C$112),2)</f>
        <v>2.21</v>
      </c>
      <c r="F794" s="248">
        <f>IF(Select!$E$23=1,C794,IF(Select!$E$23=2,D794,IF(Select!$E$23=3,E794)))</f>
        <v>2.21</v>
      </c>
    </row>
    <row r="795" spans="1:6">
      <c r="A795" t="s">
        <v>3047</v>
      </c>
      <c r="B795" s="249">
        <f t="shared" si="47"/>
        <v>3.53</v>
      </c>
      <c r="C795" s="248">
        <f>ROUND(B795*(1-'Disc Dep'!$M$5),2)</f>
        <v>2.61</v>
      </c>
      <c r="D795" s="248">
        <f>ROUND(C795*(1+'Adaos Distr'!$C$112),2)</f>
        <v>2.61</v>
      </c>
      <c r="E795" s="248">
        <f>ROUND(D795*(1+'Adaos RESELLER'!$C$112),2)</f>
        <v>2.61</v>
      </c>
      <c r="F795" s="248">
        <f>IF(Select!$E$23=1,C795,IF(Select!$E$23=2,D795,IF(Select!$E$23=3,E795)))</f>
        <v>2.61</v>
      </c>
    </row>
    <row r="796" spans="1:6">
      <c r="A796" t="s">
        <v>3048</v>
      </c>
      <c r="B796" s="249">
        <f t="shared" si="47"/>
        <v>10.49</v>
      </c>
      <c r="C796" s="248">
        <f>ROUND(B796*(1-'Disc Dep'!$M$5),2)</f>
        <v>7.76</v>
      </c>
      <c r="D796" s="248">
        <f>ROUND(C796*(1+'Adaos Distr'!$C$112),2)</f>
        <v>7.76</v>
      </c>
      <c r="E796" s="248">
        <f>ROUND(D796*(1+'Adaos RESELLER'!$C$112),2)</f>
        <v>7.76</v>
      </c>
      <c r="F796" s="248">
        <f>IF(Select!$E$23=1,C796,IF(Select!$E$23=2,D796,IF(Select!$E$23=3,E796)))</f>
        <v>7.76</v>
      </c>
    </row>
    <row r="797" spans="1:6">
      <c r="A797" t="s">
        <v>3049</v>
      </c>
      <c r="B797" s="249">
        <f t="shared" si="47"/>
        <v>1.1000000000000001</v>
      </c>
      <c r="C797" s="248">
        <f>ROUND(B797*(1-'Disc Dep'!$M$5),2)</f>
        <v>0.81</v>
      </c>
      <c r="D797" s="248">
        <f>ROUND(C797*(1+'Adaos Distr'!$C$112),2)</f>
        <v>0.81</v>
      </c>
      <c r="E797" s="248">
        <f>ROUND(D797*(1+'Adaos RESELLER'!$C$112),2)</f>
        <v>0.81</v>
      </c>
      <c r="F797" s="248">
        <f>IF(Select!$E$23=1,C797,IF(Select!$E$23=2,D797,IF(Select!$E$23=3,E797)))</f>
        <v>0.81</v>
      </c>
    </row>
    <row r="798" spans="1:6">
      <c r="A798" t="s">
        <v>3050</v>
      </c>
      <c r="B798" s="249">
        <f t="shared" si="47"/>
        <v>27.85</v>
      </c>
      <c r="C798" s="248">
        <f>ROUND(B798*(1-'Disc Dep'!$M$5),2)</f>
        <v>20.61</v>
      </c>
      <c r="D798" s="248">
        <f>ROUND(C798*(1+'Adaos Distr'!$C$112),2)</f>
        <v>20.61</v>
      </c>
      <c r="E798" s="248">
        <f>ROUND(D798*(1+'Adaos RESELLER'!$C$112),2)</f>
        <v>20.61</v>
      </c>
      <c r="F798" s="248">
        <f>IF(Select!$E$23=1,C798,IF(Select!$E$23=2,D798,IF(Select!$E$23=3,E798)))</f>
        <v>20.61</v>
      </c>
    </row>
    <row r="799" spans="1:6">
      <c r="A799" t="s">
        <v>3051</v>
      </c>
      <c r="B799" s="249">
        <f t="shared" si="47"/>
        <v>2.99</v>
      </c>
      <c r="C799" s="248">
        <f>ROUND(B799*(1-'Disc Dep'!$M$5),2)</f>
        <v>2.21</v>
      </c>
      <c r="D799" s="248">
        <f>ROUND(C799*(1+'Adaos Distr'!$C$112),2)</f>
        <v>2.21</v>
      </c>
      <c r="E799" s="248">
        <f>ROUND(D799*(1+'Adaos RESELLER'!$C$112),2)</f>
        <v>2.21</v>
      </c>
      <c r="F799" s="248">
        <f>IF(Select!$E$23=1,C799,IF(Select!$E$23=2,D799,IF(Select!$E$23=3,E799)))</f>
        <v>2.21</v>
      </c>
    </row>
    <row r="800" spans="1:6">
      <c r="A800" t="s">
        <v>3052</v>
      </c>
      <c r="B800" s="249">
        <f t="shared" si="47"/>
        <v>20.02</v>
      </c>
      <c r="C800" s="248">
        <f>ROUND(B800*(1-'Disc Dep'!$M$5),2)</f>
        <v>14.81</v>
      </c>
      <c r="D800" s="248">
        <f>ROUND(C800*(1+'Adaos Distr'!$C$112),2)</f>
        <v>14.81</v>
      </c>
      <c r="E800" s="248">
        <f>ROUND(D800*(1+'Adaos RESELLER'!$C$112),2)</f>
        <v>14.81</v>
      </c>
      <c r="F800" s="248">
        <f>IF(Select!$E$23=1,C800,IF(Select!$E$23=2,D800,IF(Select!$E$23=3,E800)))</f>
        <v>14.81</v>
      </c>
    </row>
    <row r="801" spans="1:6">
      <c r="C801" s="248">
        <f>ROUND(B801*(1-'Disc Dep'!$M$5),2)</f>
        <v>0</v>
      </c>
      <c r="D801" s="248">
        <f>ROUND(C801*(1+'Adaos Distr'!$C$112),2)</f>
        <v>0</v>
      </c>
      <c r="E801" s="248">
        <f>ROUND(D801*(1+'Adaos RESELLER'!$C$112),2)</f>
        <v>0</v>
      </c>
      <c r="F801" s="248">
        <f>IF(Select!$E$23=1,C801,IF(Select!$E$23=2,D801,IF(Select!$E$23=3,E801)))</f>
        <v>0</v>
      </c>
    </row>
    <row r="802" spans="1:6">
      <c r="A802" t="s">
        <v>3053</v>
      </c>
      <c r="B802" s="249">
        <f>B752</f>
        <v>2.06</v>
      </c>
      <c r="C802" s="248">
        <f>ROUND(B802*(1-'Disc Dep'!$M$5),2)</f>
        <v>1.52</v>
      </c>
      <c r="D802" s="248">
        <f>ROUND(C802*(1+'Adaos Distr'!$C$112),2)</f>
        <v>1.52</v>
      </c>
      <c r="E802" s="248">
        <f>ROUND(D802*(1+'Adaos RESELLER'!$C$112),2)</f>
        <v>1.52</v>
      </c>
      <c r="F802" s="248">
        <f>IF(Select!$E$23=1,C802,IF(Select!$E$23=2,D802,IF(Select!$E$23=3,E802)))</f>
        <v>1.52</v>
      </c>
    </row>
    <row r="803" spans="1:6">
      <c r="A803" t="s">
        <v>3054</v>
      </c>
      <c r="B803" s="249">
        <f t="shared" ref="B803:B825" si="48">B753</f>
        <v>2.29</v>
      </c>
      <c r="C803" s="248">
        <f>ROUND(B803*(1-'Disc Dep'!$M$5),2)</f>
        <v>1.69</v>
      </c>
      <c r="D803" s="248">
        <f>ROUND(C803*(1+'Adaos Distr'!$C$112),2)</f>
        <v>1.69</v>
      </c>
      <c r="E803" s="248">
        <f>ROUND(D803*(1+'Adaos RESELLER'!$C$112),2)</f>
        <v>1.69</v>
      </c>
      <c r="F803" s="248">
        <f>IF(Select!$E$23=1,C803,IF(Select!$E$23=2,D803,IF(Select!$E$23=3,E803)))</f>
        <v>1.69</v>
      </c>
    </row>
    <row r="804" spans="1:6">
      <c r="A804" t="s">
        <v>3055</v>
      </c>
      <c r="B804" s="249">
        <f t="shared" si="48"/>
        <v>0</v>
      </c>
      <c r="C804" s="248">
        <f>ROUND(B804*(1-'Disc Dep'!$M$5),2)</f>
        <v>0</v>
      </c>
      <c r="D804" s="248">
        <f>ROUND(C804*(1+'Adaos Distr'!$C$112),2)</f>
        <v>0</v>
      </c>
      <c r="E804" s="248">
        <f>ROUND(D804*(1+'Adaos RESELLER'!$C$112),2)</f>
        <v>0</v>
      </c>
      <c r="F804" s="248">
        <f>IF(Select!$E$23=1,C804,IF(Select!$E$23=2,D804,IF(Select!$E$23=3,E804)))</f>
        <v>0</v>
      </c>
    </row>
    <row r="805" spans="1:6">
      <c r="A805" t="s">
        <v>3055</v>
      </c>
      <c r="B805" s="249">
        <f t="shared" si="48"/>
        <v>0</v>
      </c>
      <c r="C805" s="248">
        <f>ROUND(B805*(1-'Disc Dep'!$M$5),2)</f>
        <v>0</v>
      </c>
      <c r="D805" s="248">
        <f>ROUND(C805*(1+'Adaos Distr'!$C$112),2)</f>
        <v>0</v>
      </c>
      <c r="E805" s="248">
        <f>ROUND(D805*(1+'Adaos RESELLER'!$C$112),2)</f>
        <v>0</v>
      </c>
      <c r="F805" s="248">
        <f>IF(Select!$E$23=1,C805,IF(Select!$E$23=2,D805,IF(Select!$E$23=3,E805)))</f>
        <v>0</v>
      </c>
    </row>
    <row r="806" spans="1:6">
      <c r="A806" t="s">
        <v>3055</v>
      </c>
      <c r="B806" s="249">
        <f t="shared" si="48"/>
        <v>0</v>
      </c>
      <c r="C806" s="248">
        <f>ROUND(B806*(1-'Disc Dep'!$M$5),2)</f>
        <v>0</v>
      </c>
      <c r="D806" s="248">
        <f>ROUND(C806*(1+'Adaos Distr'!$C$112),2)</f>
        <v>0</v>
      </c>
      <c r="E806" s="248">
        <f>ROUND(D806*(1+'Adaos RESELLER'!$C$112),2)</f>
        <v>0</v>
      </c>
      <c r="F806" s="248">
        <f>IF(Select!$E$23=1,C806,IF(Select!$E$23=2,D806,IF(Select!$E$23=3,E806)))</f>
        <v>0</v>
      </c>
    </row>
    <row r="807" spans="1:6">
      <c r="A807" t="s">
        <v>3055</v>
      </c>
      <c r="B807" s="249">
        <f t="shared" si="48"/>
        <v>0</v>
      </c>
      <c r="C807" s="248">
        <f>ROUND(B807*(1-'Disc Dep'!$M$5),2)</f>
        <v>0</v>
      </c>
      <c r="D807" s="248">
        <f>ROUND(C807*(1+'Adaos Distr'!$C$112),2)</f>
        <v>0</v>
      </c>
      <c r="E807" s="248">
        <f>ROUND(D807*(1+'Adaos RESELLER'!$C$112),2)</f>
        <v>0</v>
      </c>
      <c r="F807" s="248">
        <f>IF(Select!$E$23=1,C807,IF(Select!$E$23=2,D807,IF(Select!$E$23=3,E807)))</f>
        <v>0</v>
      </c>
    </row>
    <row r="808" spans="1:6">
      <c r="A808" t="s">
        <v>3055</v>
      </c>
      <c r="B808" s="249">
        <f t="shared" si="48"/>
        <v>0</v>
      </c>
      <c r="C808" s="248">
        <f>ROUND(B808*(1-'Disc Dep'!$M$5),2)</f>
        <v>0</v>
      </c>
      <c r="D808" s="248">
        <f>ROUND(C808*(1+'Adaos Distr'!$C$112),2)</f>
        <v>0</v>
      </c>
      <c r="E808" s="248">
        <f>ROUND(D808*(1+'Adaos RESELLER'!$C$112),2)</f>
        <v>0</v>
      </c>
      <c r="F808" s="248">
        <f>IF(Select!$E$23=1,C808,IF(Select!$E$23=2,D808,IF(Select!$E$23=3,E808)))</f>
        <v>0</v>
      </c>
    </row>
    <row r="809" spans="1:6">
      <c r="A809" t="s">
        <v>3056</v>
      </c>
      <c r="B809" s="249">
        <f t="shared" si="48"/>
        <v>2.5499999999999998</v>
      </c>
      <c r="C809" s="248">
        <f>ROUND(B809*(1-'Disc Dep'!$M$5),2)</f>
        <v>1.89</v>
      </c>
      <c r="D809" s="248">
        <f>ROUND(C809*(1+'Adaos Distr'!$C$112),2)</f>
        <v>1.89</v>
      </c>
      <c r="E809" s="248">
        <f>ROUND(D809*(1+'Adaos RESELLER'!$C$112),2)</f>
        <v>1.89</v>
      </c>
      <c r="F809" s="248">
        <f>IF(Select!$E$23=1,C809,IF(Select!$E$23=2,D809,IF(Select!$E$23=3,E809)))</f>
        <v>1.89</v>
      </c>
    </row>
    <row r="810" spans="1:6">
      <c r="A810" t="s">
        <v>3055</v>
      </c>
      <c r="B810" s="249">
        <f t="shared" si="48"/>
        <v>0</v>
      </c>
      <c r="C810" s="248">
        <f>ROUND(B810*(1-'Disc Dep'!$M$5),2)</f>
        <v>0</v>
      </c>
      <c r="D810" s="248">
        <f>ROUND(C810*(1+'Adaos Distr'!$C$112),2)</f>
        <v>0</v>
      </c>
      <c r="E810" s="248">
        <f>ROUND(D810*(1+'Adaos RESELLER'!$C$112),2)</f>
        <v>0</v>
      </c>
      <c r="F810" s="248">
        <f>IF(Select!$E$23=1,C810,IF(Select!$E$23=2,D810,IF(Select!$E$23=3,E810)))</f>
        <v>0</v>
      </c>
    </row>
    <row r="811" spans="1:6">
      <c r="A811" t="s">
        <v>3057</v>
      </c>
      <c r="B811" s="249">
        <f t="shared" si="48"/>
        <v>15.05</v>
      </c>
      <c r="C811" s="248">
        <f>ROUND(B811*(1-'Disc Dep'!$M$5),2)</f>
        <v>11.14</v>
      </c>
      <c r="D811" s="248">
        <f>ROUND(C811*(1+'Adaos Distr'!$C$112),2)</f>
        <v>11.14</v>
      </c>
      <c r="E811" s="248">
        <f>ROUND(D811*(1+'Adaos RESELLER'!$C$112),2)</f>
        <v>11.14</v>
      </c>
      <c r="F811" s="248">
        <f>IF(Select!$E$23=1,C811,IF(Select!$E$23=2,D811,IF(Select!$E$23=3,E811)))</f>
        <v>11.14</v>
      </c>
    </row>
    <row r="812" spans="1:6">
      <c r="A812" t="s">
        <v>3058</v>
      </c>
      <c r="B812" s="249">
        <f t="shared" si="48"/>
        <v>7.52</v>
      </c>
      <c r="C812" s="248">
        <f>ROUND(B812*(1-'Disc Dep'!$M$5),2)</f>
        <v>5.56</v>
      </c>
      <c r="D812" s="248">
        <f>ROUND(C812*(1+'Adaos Distr'!$C$112),2)</f>
        <v>5.56</v>
      </c>
      <c r="E812" s="248">
        <f>ROUND(D812*(1+'Adaos RESELLER'!$C$112),2)</f>
        <v>5.56</v>
      </c>
      <c r="F812" s="248">
        <f>IF(Select!$E$23=1,C812,IF(Select!$E$23=2,D812,IF(Select!$E$23=3,E812)))</f>
        <v>5.56</v>
      </c>
    </row>
    <row r="813" spans="1:6">
      <c r="A813" t="s">
        <v>3059</v>
      </c>
      <c r="B813" s="249">
        <f t="shared" si="48"/>
        <v>13.99</v>
      </c>
      <c r="C813" s="248">
        <f>ROUND(B813*(1-'Disc Dep'!$M$5),2)</f>
        <v>10.35</v>
      </c>
      <c r="D813" s="248">
        <f>ROUND(C813*(1+'Adaos Distr'!$C$112),2)</f>
        <v>10.35</v>
      </c>
      <c r="E813" s="248">
        <f>ROUND(D813*(1+'Adaos RESELLER'!$C$112),2)</f>
        <v>10.35</v>
      </c>
      <c r="F813" s="248">
        <f>IF(Select!$E$23=1,C813,IF(Select!$E$23=2,D813,IF(Select!$E$23=3,E813)))</f>
        <v>10.35</v>
      </c>
    </row>
    <row r="814" spans="1:6">
      <c r="A814" t="s">
        <v>3060</v>
      </c>
      <c r="B814" s="249">
        <f t="shared" si="48"/>
        <v>13.99</v>
      </c>
      <c r="C814" s="248">
        <f>ROUND(B814*(1-'Disc Dep'!$M$5),2)</f>
        <v>10.35</v>
      </c>
      <c r="D814" s="248">
        <f>ROUND(C814*(1+'Adaos Distr'!$C$112),2)</f>
        <v>10.35</v>
      </c>
      <c r="E814" s="248">
        <f>ROUND(D814*(1+'Adaos RESELLER'!$C$112),2)</f>
        <v>10.35</v>
      </c>
      <c r="F814" s="248">
        <f>IF(Select!$E$23=1,C814,IF(Select!$E$23=2,D814,IF(Select!$E$23=3,E814)))</f>
        <v>10.35</v>
      </c>
    </row>
    <row r="815" spans="1:6">
      <c r="A815" t="s">
        <v>3061</v>
      </c>
      <c r="B815" s="249">
        <f t="shared" si="48"/>
        <v>2.15</v>
      </c>
      <c r="C815" s="248">
        <f>ROUND(B815*(1-'Disc Dep'!$M$5),2)</f>
        <v>1.59</v>
      </c>
      <c r="D815" s="248">
        <f>ROUND(C815*(1+'Adaos Distr'!$C$112),2)</f>
        <v>1.59</v>
      </c>
      <c r="E815" s="248">
        <f>ROUND(D815*(1+'Adaos RESELLER'!$C$112),2)</f>
        <v>1.59</v>
      </c>
      <c r="F815" s="248">
        <f>IF(Select!$E$23=1,C815,IF(Select!$E$23=2,D815,IF(Select!$E$23=3,E815)))</f>
        <v>1.59</v>
      </c>
    </row>
    <row r="816" spans="1:6">
      <c r="A816" t="s">
        <v>3062</v>
      </c>
      <c r="B816" s="249">
        <f t="shared" si="48"/>
        <v>1.42</v>
      </c>
      <c r="C816" s="248">
        <f>ROUND(B816*(1-'Disc Dep'!$M$5),2)</f>
        <v>1.05</v>
      </c>
      <c r="D816" s="248">
        <f>ROUND(C816*(1+'Adaos Distr'!$C$112),2)</f>
        <v>1.05</v>
      </c>
      <c r="E816" s="248">
        <f>ROUND(D816*(1+'Adaos RESELLER'!$C$112),2)</f>
        <v>1.05</v>
      </c>
      <c r="F816" s="248">
        <f>IF(Select!$E$23=1,C816,IF(Select!$E$23=2,D816,IF(Select!$E$23=3,E816)))</f>
        <v>1.05</v>
      </c>
    </row>
    <row r="817" spans="1:6">
      <c r="A817" t="s">
        <v>3063</v>
      </c>
      <c r="B817" s="249">
        <f t="shared" si="48"/>
        <v>0.85</v>
      </c>
      <c r="C817" s="248">
        <f>ROUND(B817*(1-'Disc Dep'!$M$5),2)</f>
        <v>0.63</v>
      </c>
      <c r="D817" s="248">
        <f>ROUND(C817*(1+'Adaos Distr'!$C$112),2)</f>
        <v>0.63</v>
      </c>
      <c r="E817" s="248">
        <f>ROUND(D817*(1+'Adaos RESELLER'!$C$112),2)</f>
        <v>0.63</v>
      </c>
      <c r="F817" s="248">
        <f>IF(Select!$E$23=1,C817,IF(Select!$E$23=2,D817,IF(Select!$E$23=3,E817)))</f>
        <v>0.63</v>
      </c>
    </row>
    <row r="818" spans="1:6">
      <c r="A818" t="s">
        <v>3064</v>
      </c>
      <c r="B818" s="249">
        <f t="shared" si="48"/>
        <v>4.5999999999999996</v>
      </c>
      <c r="C818" s="248">
        <f>ROUND(B818*(1-'Disc Dep'!$M$5),2)</f>
        <v>3.4</v>
      </c>
      <c r="D818" s="248">
        <f>ROUND(C818*(1+'Adaos Distr'!$C$112),2)</f>
        <v>3.4</v>
      </c>
      <c r="E818" s="248">
        <f>ROUND(D818*(1+'Adaos RESELLER'!$C$112),2)</f>
        <v>3.4</v>
      </c>
      <c r="F818" s="248">
        <f>IF(Select!$E$23=1,C818,IF(Select!$E$23=2,D818,IF(Select!$E$23=3,E818)))</f>
        <v>3.4</v>
      </c>
    </row>
    <row r="819" spans="1:6">
      <c r="A819" t="s">
        <v>3065</v>
      </c>
      <c r="B819" s="249">
        <f t="shared" si="48"/>
        <v>4.5999999999999996</v>
      </c>
      <c r="C819" s="248">
        <f>ROUND(B819*(1-'Disc Dep'!$M$5),2)</f>
        <v>3.4</v>
      </c>
      <c r="D819" s="248">
        <f>ROUND(C819*(1+'Adaos Distr'!$C$112),2)</f>
        <v>3.4</v>
      </c>
      <c r="E819" s="248">
        <f>ROUND(D819*(1+'Adaos RESELLER'!$C$112),2)</f>
        <v>3.4</v>
      </c>
      <c r="F819" s="248">
        <f>IF(Select!$E$23=1,C819,IF(Select!$E$23=2,D819,IF(Select!$E$23=3,E819)))</f>
        <v>3.4</v>
      </c>
    </row>
    <row r="820" spans="1:6">
      <c r="A820" t="s">
        <v>3066</v>
      </c>
      <c r="B820" s="249">
        <f t="shared" si="48"/>
        <v>4.57</v>
      </c>
      <c r="C820" s="248">
        <f>ROUND(B820*(1-'Disc Dep'!$M$5),2)</f>
        <v>3.38</v>
      </c>
      <c r="D820" s="248">
        <f>ROUND(C820*(1+'Adaos Distr'!$C$112),2)</f>
        <v>3.38</v>
      </c>
      <c r="E820" s="248">
        <f>ROUND(D820*(1+'Adaos RESELLER'!$C$112),2)</f>
        <v>3.38</v>
      </c>
      <c r="F820" s="248">
        <f>IF(Select!$E$23=1,C820,IF(Select!$E$23=2,D820,IF(Select!$E$23=3,E820)))</f>
        <v>3.38</v>
      </c>
    </row>
    <row r="821" spans="1:6">
      <c r="A821" t="s">
        <v>3067</v>
      </c>
      <c r="B821" s="249">
        <f t="shared" si="48"/>
        <v>13.84</v>
      </c>
      <c r="C821" s="248">
        <f>ROUND(B821*(1-'Disc Dep'!$M$5),2)</f>
        <v>10.24</v>
      </c>
      <c r="D821" s="248">
        <f>ROUND(C821*(1+'Adaos Distr'!$C$112),2)</f>
        <v>10.24</v>
      </c>
      <c r="E821" s="248">
        <f>ROUND(D821*(1+'Adaos RESELLER'!$C$112),2)</f>
        <v>10.24</v>
      </c>
      <c r="F821" s="248">
        <f>IF(Select!$E$23=1,C821,IF(Select!$E$23=2,D821,IF(Select!$E$23=3,E821)))</f>
        <v>10.24</v>
      </c>
    </row>
    <row r="822" spans="1:6">
      <c r="A822" t="s">
        <v>3068</v>
      </c>
      <c r="B822" s="249">
        <f t="shared" si="48"/>
        <v>1.46</v>
      </c>
      <c r="C822" s="248">
        <f>ROUND(B822*(1-'Disc Dep'!$M$5),2)</f>
        <v>1.08</v>
      </c>
      <c r="D822" s="248">
        <f>ROUND(C822*(1+'Adaos Distr'!$C$112),2)</f>
        <v>1.08</v>
      </c>
      <c r="E822" s="248">
        <f>ROUND(D822*(1+'Adaos RESELLER'!$C$112),2)</f>
        <v>1.08</v>
      </c>
      <c r="F822" s="248">
        <f>IF(Select!$E$23=1,C822,IF(Select!$E$23=2,D822,IF(Select!$E$23=3,E822)))</f>
        <v>1.08</v>
      </c>
    </row>
    <row r="823" spans="1:6">
      <c r="A823" t="s">
        <v>3069</v>
      </c>
      <c r="B823" s="249">
        <f t="shared" si="48"/>
        <v>27.85</v>
      </c>
      <c r="C823" s="248">
        <f>ROUND(B823*(1-'Disc Dep'!$M$5),2)</f>
        <v>20.61</v>
      </c>
      <c r="D823" s="248">
        <f>ROUND(C823*(1+'Adaos Distr'!$C$112),2)</f>
        <v>20.61</v>
      </c>
      <c r="E823" s="248">
        <f>ROUND(D823*(1+'Adaos RESELLER'!$C$112),2)</f>
        <v>20.61</v>
      </c>
      <c r="F823" s="248">
        <f>IF(Select!$E$23=1,C823,IF(Select!$E$23=2,D823,IF(Select!$E$23=3,E823)))</f>
        <v>20.61</v>
      </c>
    </row>
    <row r="824" spans="1:6">
      <c r="A824" t="s">
        <v>3070</v>
      </c>
      <c r="B824" s="249">
        <f t="shared" si="48"/>
        <v>4.7</v>
      </c>
      <c r="C824" s="248">
        <f>ROUND(B824*(1-'Disc Dep'!$M$5),2)</f>
        <v>3.48</v>
      </c>
      <c r="D824" s="248">
        <f>ROUND(C824*(1+'Adaos Distr'!$C$112),2)</f>
        <v>3.48</v>
      </c>
      <c r="E824" s="248">
        <f>ROUND(D824*(1+'Adaos RESELLER'!$C$112),2)</f>
        <v>3.48</v>
      </c>
      <c r="F824" s="248">
        <f>IF(Select!$E$23=1,C824,IF(Select!$E$23=2,D824,IF(Select!$E$23=3,E824)))</f>
        <v>3.48</v>
      </c>
    </row>
    <row r="825" spans="1:6">
      <c r="A825" t="s">
        <v>3071</v>
      </c>
      <c r="B825" s="249">
        <f t="shared" si="48"/>
        <v>20.21</v>
      </c>
      <c r="C825" s="248">
        <f>ROUND(B825*(1-'Disc Dep'!$M$5),2)</f>
        <v>14.96</v>
      </c>
      <c r="D825" s="248">
        <f>ROUND(C825*(1+'Adaos Distr'!$C$112),2)</f>
        <v>14.96</v>
      </c>
      <c r="E825" s="248">
        <f>ROUND(D825*(1+'Adaos RESELLER'!$C$112),2)</f>
        <v>14.96</v>
      </c>
      <c r="F825" s="248">
        <f>IF(Select!$E$23=1,C825,IF(Select!$E$23=2,D825,IF(Select!$E$23=3,E825)))</f>
        <v>14.96</v>
      </c>
    </row>
    <row r="826" spans="1:6">
      <c r="C826" s="248">
        <f>ROUND(B826*(1-'Disc Dep'!$M$5),2)</f>
        <v>0</v>
      </c>
      <c r="D826" s="248">
        <f>ROUND(C826*(1+'Adaos Distr'!$C$112),2)</f>
        <v>0</v>
      </c>
      <c r="E826" s="248">
        <f>ROUND(D826*(1+'Adaos RESELLER'!$C$112),2)</f>
        <v>0</v>
      </c>
      <c r="F826" s="248">
        <f>IF(Select!$E$23=1,C826,IF(Select!$E$23=2,D826,IF(Select!$E$23=3,E826)))</f>
        <v>0</v>
      </c>
    </row>
    <row r="827" spans="1:6">
      <c r="A827" t="s">
        <v>3072</v>
      </c>
      <c r="B827" s="249">
        <v>0</v>
      </c>
      <c r="C827" s="248">
        <f>ROUND(B827*(1-'Disc Dep'!$M$5),2)</f>
        <v>0</v>
      </c>
      <c r="D827" s="248">
        <f>ROUND(C827*(1+'Adaos Distr'!$C$112),2)</f>
        <v>0</v>
      </c>
      <c r="E827" s="248">
        <f>ROUND(D827*(1+'Adaos RESELLER'!$C$112),2)</f>
        <v>0</v>
      </c>
      <c r="F827" s="248">
        <f>IF(Select!$E$23=1,C827,IF(Select!$E$23=2,D827,IF(Select!$E$23=3,E827)))</f>
        <v>0</v>
      </c>
    </row>
    <row r="828" spans="1:6">
      <c r="A828" t="s">
        <v>3072</v>
      </c>
      <c r="B828" s="249">
        <v>0</v>
      </c>
      <c r="C828" s="248">
        <f>ROUND(B828*(1-'Disc Dep'!$M$5),2)</f>
        <v>0</v>
      </c>
      <c r="D828" s="248">
        <f>ROUND(C828*(1+'Adaos Distr'!$C$112),2)</f>
        <v>0</v>
      </c>
      <c r="E828" s="248">
        <f>ROUND(D828*(1+'Adaos RESELLER'!$C$112),2)</f>
        <v>0</v>
      </c>
      <c r="F828" s="248">
        <f>IF(Select!$E$23=1,C828,IF(Select!$E$23=2,D828,IF(Select!$E$23=3,E828)))</f>
        <v>0</v>
      </c>
    </row>
    <row r="829" spans="1:6">
      <c r="A829" t="s">
        <v>3073</v>
      </c>
      <c r="B829" s="249">
        <v>1.78</v>
      </c>
      <c r="C829" s="248">
        <f>ROUND(B829*(1-'Disc Dep'!$M$5),2)</f>
        <v>1.32</v>
      </c>
      <c r="D829" s="248">
        <f>ROUND(C829*(1+'Adaos Distr'!$C$112),2)</f>
        <v>1.32</v>
      </c>
      <c r="E829" s="248">
        <f>ROUND(D829*(1+'Adaos RESELLER'!$C$112),2)</f>
        <v>1.32</v>
      </c>
      <c r="F829" s="248">
        <f>IF(Select!$E$23=1,C829,IF(Select!$E$23=2,D829,IF(Select!$E$23=3,E829)))</f>
        <v>1.32</v>
      </c>
    </row>
    <row r="830" spans="1:6">
      <c r="A830" t="s">
        <v>3074</v>
      </c>
      <c r="B830" s="249">
        <v>1.87</v>
      </c>
      <c r="C830" s="248">
        <f>ROUND(B830*(1-'Disc Dep'!$M$5),2)</f>
        <v>1.38</v>
      </c>
      <c r="D830" s="248">
        <f>ROUND(C830*(1+'Adaos Distr'!$C$112),2)</f>
        <v>1.38</v>
      </c>
      <c r="E830" s="248">
        <f>ROUND(D830*(1+'Adaos RESELLER'!$C$112),2)</f>
        <v>1.38</v>
      </c>
      <c r="F830" s="248">
        <f>IF(Select!$E$23=1,C830,IF(Select!$E$23=2,D830,IF(Select!$E$23=3,E830)))</f>
        <v>1.38</v>
      </c>
    </row>
    <row r="831" spans="1:6">
      <c r="A831" t="s">
        <v>3072</v>
      </c>
      <c r="B831" s="249">
        <v>0</v>
      </c>
      <c r="C831" s="248">
        <f>ROUND(B831*(1-'Disc Dep'!$M$5),2)</f>
        <v>0</v>
      </c>
      <c r="D831" s="248">
        <f>ROUND(C831*(1+'Adaos Distr'!$C$112),2)</f>
        <v>0</v>
      </c>
      <c r="E831" s="248">
        <f>ROUND(D831*(1+'Adaos RESELLER'!$C$112),2)</f>
        <v>0</v>
      </c>
      <c r="F831" s="248">
        <f>IF(Select!$E$23=1,C831,IF(Select!$E$23=2,D831,IF(Select!$E$23=3,E831)))</f>
        <v>0</v>
      </c>
    </row>
    <row r="832" spans="1:6">
      <c r="A832" t="s">
        <v>3075</v>
      </c>
      <c r="B832" s="249">
        <v>1.56</v>
      </c>
      <c r="C832" s="248">
        <f>ROUND(B832*(1-'Disc Dep'!$M$5),2)</f>
        <v>1.1499999999999999</v>
      </c>
      <c r="D832" s="248">
        <f>ROUND(C832*(1+'Adaos Distr'!$C$112),2)</f>
        <v>1.1499999999999999</v>
      </c>
      <c r="E832" s="248">
        <f>ROUND(D832*(1+'Adaos RESELLER'!$C$112),2)</f>
        <v>1.1499999999999999</v>
      </c>
      <c r="F832" s="248">
        <f>IF(Select!$E$23=1,C832,IF(Select!$E$23=2,D832,IF(Select!$E$23=3,E832)))</f>
        <v>1.1499999999999999</v>
      </c>
    </row>
    <row r="833" spans="1:6">
      <c r="A833" t="s">
        <v>3072</v>
      </c>
      <c r="B833" s="249">
        <v>0</v>
      </c>
      <c r="C833" s="248">
        <f>ROUND(B833*(1-'Disc Dep'!$M$5),2)</f>
        <v>0</v>
      </c>
      <c r="D833" s="248">
        <f>ROUND(C833*(1+'Adaos Distr'!$C$112),2)</f>
        <v>0</v>
      </c>
      <c r="E833" s="248">
        <f>ROUND(D833*(1+'Adaos RESELLER'!$C$112),2)</f>
        <v>0</v>
      </c>
      <c r="F833" s="248">
        <f>IF(Select!$E$23=1,C833,IF(Select!$E$23=2,D833,IF(Select!$E$23=3,E833)))</f>
        <v>0</v>
      </c>
    </row>
    <row r="834" spans="1:6">
      <c r="A834" t="s">
        <v>3072</v>
      </c>
      <c r="B834" s="249">
        <v>0</v>
      </c>
      <c r="C834" s="248">
        <f>ROUND(B834*(1-'Disc Dep'!$M$5),2)</f>
        <v>0</v>
      </c>
      <c r="D834" s="248">
        <f>ROUND(C834*(1+'Adaos Distr'!$C$112),2)</f>
        <v>0</v>
      </c>
      <c r="E834" s="248">
        <f>ROUND(D834*(1+'Adaos RESELLER'!$C$112),2)</f>
        <v>0</v>
      </c>
      <c r="F834" s="248">
        <f>IF(Select!$E$23=1,C834,IF(Select!$E$23=2,D834,IF(Select!$E$23=3,E834)))</f>
        <v>0</v>
      </c>
    </row>
    <row r="835" spans="1:6">
      <c r="A835" t="s">
        <v>3076</v>
      </c>
      <c r="B835" s="249">
        <v>1.56</v>
      </c>
      <c r="C835" s="248">
        <f>ROUND(B835*(1-'Disc Dep'!$M$5),2)</f>
        <v>1.1499999999999999</v>
      </c>
      <c r="D835" s="248">
        <f>ROUND(C835*(1+'Adaos Distr'!$C$112),2)</f>
        <v>1.1499999999999999</v>
      </c>
      <c r="E835" s="248">
        <f>ROUND(D835*(1+'Adaos RESELLER'!$C$112),2)</f>
        <v>1.1499999999999999</v>
      </c>
      <c r="F835" s="248">
        <f>IF(Select!$E$23=1,C835,IF(Select!$E$23=2,D835,IF(Select!$E$23=3,E835)))</f>
        <v>1.1499999999999999</v>
      </c>
    </row>
    <row r="836" spans="1:6">
      <c r="A836" t="s">
        <v>3077</v>
      </c>
      <c r="B836" s="249">
        <v>9.4600000000000009</v>
      </c>
      <c r="C836" s="248">
        <f>ROUND(B836*(1-'Disc Dep'!$M$5),2)</f>
        <v>7</v>
      </c>
      <c r="D836" s="248">
        <f>ROUND(C836*(1+'Adaos Distr'!$C$112),2)</f>
        <v>7</v>
      </c>
      <c r="E836" s="248">
        <f>ROUND(D836*(1+'Adaos RESELLER'!$C$112),2)</f>
        <v>7</v>
      </c>
      <c r="F836" s="248">
        <f>IF(Select!$E$23=1,C836,IF(Select!$E$23=2,D836,IF(Select!$E$23=3,E836)))</f>
        <v>7</v>
      </c>
    </row>
    <row r="837" spans="1:6">
      <c r="A837" t="s">
        <v>3078</v>
      </c>
      <c r="B837" s="249">
        <v>4.7300000000000004</v>
      </c>
      <c r="C837" s="248">
        <f>ROUND(B837*(1-'Disc Dep'!$M$5),2)</f>
        <v>3.5</v>
      </c>
      <c r="D837" s="248">
        <f>ROUND(C837*(1+'Adaos Distr'!$C$112),2)</f>
        <v>3.5</v>
      </c>
      <c r="E837" s="248">
        <f>ROUND(D837*(1+'Adaos RESELLER'!$C$112),2)</f>
        <v>3.5</v>
      </c>
      <c r="F837" s="248">
        <f>IF(Select!$E$23=1,C837,IF(Select!$E$23=2,D837,IF(Select!$E$23=3,E837)))</f>
        <v>3.5</v>
      </c>
    </row>
    <row r="838" spans="1:6">
      <c r="A838" t="s">
        <v>3079</v>
      </c>
      <c r="B838" s="249">
        <v>11.41</v>
      </c>
      <c r="C838" s="248">
        <f>ROUND(B838*(1-'Disc Dep'!$M$5),2)</f>
        <v>8.44</v>
      </c>
      <c r="D838" s="248">
        <f>ROUND(C838*(1+'Adaos Distr'!$C$112),2)</f>
        <v>8.44</v>
      </c>
      <c r="E838" s="248">
        <f>ROUND(D838*(1+'Adaos RESELLER'!$C$112),2)</f>
        <v>8.44</v>
      </c>
      <c r="F838" s="248">
        <f>IF(Select!$E$23=1,C838,IF(Select!$E$23=2,D838,IF(Select!$E$23=3,E838)))</f>
        <v>8.44</v>
      </c>
    </row>
    <row r="839" spans="1:6">
      <c r="A839" t="s">
        <v>3080</v>
      </c>
      <c r="B839" s="249">
        <v>11.41</v>
      </c>
      <c r="C839" s="248">
        <f>ROUND(B839*(1-'Disc Dep'!$M$5),2)</f>
        <v>8.44</v>
      </c>
      <c r="D839" s="248">
        <f>ROUND(C839*(1+'Adaos Distr'!$C$112),2)</f>
        <v>8.44</v>
      </c>
      <c r="E839" s="248">
        <f>ROUND(D839*(1+'Adaos RESELLER'!$C$112),2)</f>
        <v>8.44</v>
      </c>
      <c r="F839" s="248">
        <f>IF(Select!$E$23=1,C839,IF(Select!$E$23=2,D839,IF(Select!$E$23=3,E839)))</f>
        <v>8.44</v>
      </c>
    </row>
    <row r="840" spans="1:6">
      <c r="A840" t="s">
        <v>3081</v>
      </c>
      <c r="B840" s="249">
        <v>1.51</v>
      </c>
      <c r="C840" s="248">
        <f>ROUND(B840*(1-'Disc Dep'!$M$5),2)</f>
        <v>1.1200000000000001</v>
      </c>
      <c r="D840" s="248">
        <f>ROUND(C840*(1+'Adaos Distr'!$C$112),2)</f>
        <v>1.1200000000000001</v>
      </c>
      <c r="E840" s="248">
        <f>ROUND(D840*(1+'Adaos RESELLER'!$C$112),2)</f>
        <v>1.1200000000000001</v>
      </c>
      <c r="F840" s="248">
        <f>IF(Select!$E$23=1,C840,IF(Select!$E$23=2,D840,IF(Select!$E$23=3,E840)))</f>
        <v>1.1200000000000001</v>
      </c>
    </row>
    <row r="841" spans="1:6">
      <c r="A841" t="s">
        <v>3082</v>
      </c>
      <c r="B841" s="249">
        <v>0.97</v>
      </c>
      <c r="C841" s="248">
        <f>ROUND(B841*(1-'Disc Dep'!$M$5),2)</f>
        <v>0.72</v>
      </c>
      <c r="D841" s="248">
        <f>ROUND(C841*(1+'Adaos Distr'!$C$112),2)</f>
        <v>0.72</v>
      </c>
      <c r="E841" s="248">
        <f>ROUND(D841*(1+'Adaos RESELLER'!$C$112),2)</f>
        <v>0.72</v>
      </c>
      <c r="F841" s="248">
        <f>IF(Select!$E$23=1,C841,IF(Select!$E$23=2,D841,IF(Select!$E$23=3,E841)))</f>
        <v>0.72</v>
      </c>
    </row>
    <row r="842" spans="1:6">
      <c r="A842" t="s">
        <v>3083</v>
      </c>
      <c r="B842" s="249">
        <v>0.71</v>
      </c>
      <c r="C842" s="248">
        <f>ROUND(B842*(1-'Disc Dep'!$M$5),2)</f>
        <v>0.53</v>
      </c>
      <c r="D842" s="248">
        <f>ROUND(C842*(1+'Adaos Distr'!$C$112),2)</f>
        <v>0.53</v>
      </c>
      <c r="E842" s="248">
        <f>ROUND(D842*(1+'Adaos RESELLER'!$C$112),2)</f>
        <v>0.53</v>
      </c>
      <c r="F842" s="248">
        <f>IF(Select!$E$23=1,C842,IF(Select!$E$23=2,D842,IF(Select!$E$23=3,E842)))</f>
        <v>0.53</v>
      </c>
    </row>
    <row r="843" spans="1:6">
      <c r="A843" t="s">
        <v>3084</v>
      </c>
      <c r="B843" s="249">
        <v>2.4900000000000002</v>
      </c>
      <c r="C843" s="248">
        <f>ROUND(B843*(1-'Disc Dep'!$M$5),2)</f>
        <v>1.84</v>
      </c>
      <c r="D843" s="248">
        <f>ROUND(C843*(1+'Adaos Distr'!$C$112),2)</f>
        <v>1.84</v>
      </c>
      <c r="E843" s="248">
        <f>ROUND(D843*(1+'Adaos RESELLER'!$C$112),2)</f>
        <v>1.84</v>
      </c>
      <c r="F843" s="248">
        <f>IF(Select!$E$23=1,C843,IF(Select!$E$23=2,D843,IF(Select!$E$23=3,E843)))</f>
        <v>1.84</v>
      </c>
    </row>
    <row r="844" spans="1:6">
      <c r="A844" t="s">
        <v>3085</v>
      </c>
      <c r="B844" s="249">
        <v>2.4900000000000002</v>
      </c>
      <c r="C844" s="248">
        <f>ROUND(B844*(1-'Disc Dep'!$M$5),2)</f>
        <v>1.84</v>
      </c>
      <c r="D844" s="248">
        <f>ROUND(C844*(1+'Adaos Distr'!$C$112),2)</f>
        <v>1.84</v>
      </c>
      <c r="E844" s="248">
        <f>ROUND(D844*(1+'Adaos RESELLER'!$C$112),2)</f>
        <v>1.84</v>
      </c>
      <c r="F844" s="248">
        <f>IF(Select!$E$23=1,C844,IF(Select!$E$23=2,D844,IF(Select!$E$23=3,E844)))</f>
        <v>1.84</v>
      </c>
    </row>
    <row r="845" spans="1:6">
      <c r="A845" t="s">
        <v>3086</v>
      </c>
      <c r="B845" s="249">
        <v>2.91</v>
      </c>
      <c r="C845" s="248">
        <f>ROUND(B845*(1-'Disc Dep'!$M$5),2)</f>
        <v>2.15</v>
      </c>
      <c r="D845" s="248">
        <f>ROUND(C845*(1+'Adaos Distr'!$C$112),2)</f>
        <v>2.15</v>
      </c>
      <c r="E845" s="248">
        <f>ROUND(D845*(1+'Adaos RESELLER'!$C$112),2)</f>
        <v>2.15</v>
      </c>
      <c r="F845" s="248">
        <f>IF(Select!$E$23=1,C845,IF(Select!$E$23=2,D845,IF(Select!$E$23=3,E845)))</f>
        <v>2.15</v>
      </c>
    </row>
    <row r="846" spans="1:6">
      <c r="A846" t="s">
        <v>3087</v>
      </c>
      <c r="B846" s="249">
        <v>8.75</v>
      </c>
      <c r="C846" s="248">
        <f>ROUND(B846*(1-'Disc Dep'!$M$5),2)</f>
        <v>6.48</v>
      </c>
      <c r="D846" s="248">
        <f>ROUND(C846*(1+'Adaos Distr'!$C$112),2)</f>
        <v>6.48</v>
      </c>
      <c r="E846" s="248">
        <f>ROUND(D846*(1+'Adaos RESELLER'!$C$112),2)</f>
        <v>6.48</v>
      </c>
      <c r="F846" s="248">
        <f>IF(Select!$E$23=1,C846,IF(Select!$E$23=2,D846,IF(Select!$E$23=3,E846)))</f>
        <v>6.48</v>
      </c>
    </row>
    <row r="847" spans="1:6">
      <c r="A847" t="s">
        <v>3088</v>
      </c>
      <c r="B847" s="249">
        <v>0.97</v>
      </c>
      <c r="C847" s="248">
        <f>ROUND(B847*(1-'Disc Dep'!$M$5),2)</f>
        <v>0.72</v>
      </c>
      <c r="D847" s="248">
        <f>ROUND(C847*(1+'Adaos Distr'!$C$112),2)</f>
        <v>0.72</v>
      </c>
      <c r="E847" s="248">
        <f>ROUND(D847*(1+'Adaos RESELLER'!$C$112),2)</f>
        <v>0.72</v>
      </c>
      <c r="F847" s="248">
        <f>IF(Select!$E$23=1,C847,IF(Select!$E$23=2,D847,IF(Select!$E$23=3,E847)))</f>
        <v>0.72</v>
      </c>
    </row>
    <row r="848" spans="1:6">
      <c r="A848" t="s">
        <v>3089</v>
      </c>
      <c r="B848" s="249">
        <v>21.22</v>
      </c>
      <c r="C848" s="248">
        <f>ROUND(B848*(1-'Disc Dep'!$M$5),2)</f>
        <v>15.7</v>
      </c>
      <c r="D848" s="248">
        <f>ROUND(C848*(1+'Adaos Distr'!$C$112),2)</f>
        <v>15.7</v>
      </c>
      <c r="E848" s="248">
        <f>ROUND(D848*(1+'Adaos RESELLER'!$C$112),2)</f>
        <v>15.7</v>
      </c>
      <c r="F848" s="248">
        <f>IF(Select!$E$23=1,C848,IF(Select!$E$23=2,D848,IF(Select!$E$23=3,E848)))</f>
        <v>15.7</v>
      </c>
    </row>
    <row r="849" spans="1:6">
      <c r="A849" t="s">
        <v>3090</v>
      </c>
      <c r="B849" s="249">
        <v>2.4900000000000002</v>
      </c>
      <c r="C849" s="248">
        <f>ROUND(B849*(1-'Disc Dep'!$M$5),2)</f>
        <v>1.84</v>
      </c>
      <c r="D849" s="248">
        <f>ROUND(C849*(1+'Adaos Distr'!$C$112),2)</f>
        <v>1.84</v>
      </c>
      <c r="E849" s="248">
        <f>ROUND(D849*(1+'Adaos RESELLER'!$C$112),2)</f>
        <v>1.84</v>
      </c>
      <c r="F849" s="248">
        <f>IF(Select!$E$23=1,C849,IF(Select!$E$23=2,D849,IF(Select!$E$23=3,E849)))</f>
        <v>1.84</v>
      </c>
    </row>
    <row r="850" spans="1:6">
      <c r="A850" t="s">
        <v>3091</v>
      </c>
      <c r="B850" s="249">
        <v>17.02</v>
      </c>
      <c r="C850" s="248">
        <f>ROUND(B850*(1-'Disc Dep'!$M$5),2)</f>
        <v>12.59</v>
      </c>
      <c r="D850" s="248">
        <f>ROUND(C850*(1+'Adaos Distr'!$C$112),2)</f>
        <v>12.59</v>
      </c>
      <c r="E850" s="248">
        <f>ROUND(D850*(1+'Adaos RESELLER'!$C$112),2)</f>
        <v>12.59</v>
      </c>
      <c r="F850" s="248">
        <f>IF(Select!$E$23=1,C850,IF(Select!$E$23=2,D850,IF(Select!$E$23=3,E850)))</f>
        <v>12.59</v>
      </c>
    </row>
    <row r="851" spans="1:6">
      <c r="C851" s="248">
        <f>ROUND(B851*(1-'Disc Dep'!$M$5),2)</f>
        <v>0</v>
      </c>
      <c r="D851" s="248">
        <f>ROUND(C851*(1+'Adaos Distr'!$C$112),2)</f>
        <v>0</v>
      </c>
      <c r="E851" s="248">
        <f>ROUND(D851*(1+'Adaos RESELLER'!$C$112),2)</f>
        <v>0</v>
      </c>
      <c r="F851" s="248">
        <f>IF(Select!$E$23=1,C851,IF(Select!$E$23=2,D851,IF(Select!$E$23=3,E851)))</f>
        <v>0</v>
      </c>
    </row>
    <row r="852" spans="1:6">
      <c r="A852" t="s">
        <v>3092</v>
      </c>
      <c r="B852" s="249">
        <v>0</v>
      </c>
      <c r="C852" s="248">
        <f>ROUND(B852*(1-'Disc Dep'!$M$5),2)</f>
        <v>0</v>
      </c>
      <c r="D852" s="248">
        <f>ROUND(C852*(1+'Adaos Distr'!$C$112),2)</f>
        <v>0</v>
      </c>
      <c r="E852" s="248">
        <f>ROUND(D852*(1+'Adaos RESELLER'!$C$112),2)</f>
        <v>0</v>
      </c>
      <c r="F852" s="248">
        <f>IF(Select!$E$23=1,C852,IF(Select!$E$23=2,D852,IF(Select!$E$23=3,E852)))</f>
        <v>0</v>
      </c>
    </row>
    <row r="853" spans="1:6">
      <c r="A853" t="s">
        <v>3092</v>
      </c>
      <c r="B853" s="249">
        <v>0</v>
      </c>
      <c r="C853" s="248">
        <f>ROUND(B853*(1-'Disc Dep'!$M$5),2)</f>
        <v>0</v>
      </c>
      <c r="D853" s="248">
        <f>ROUND(C853*(1+'Adaos Distr'!$C$112),2)</f>
        <v>0</v>
      </c>
      <c r="E853" s="248">
        <f>ROUND(D853*(1+'Adaos RESELLER'!$C$112),2)</f>
        <v>0</v>
      </c>
      <c r="F853" s="248">
        <f>IF(Select!$E$23=1,C853,IF(Select!$E$23=2,D853,IF(Select!$E$23=3,E853)))</f>
        <v>0</v>
      </c>
    </row>
    <row r="854" spans="1:6">
      <c r="A854" t="s">
        <v>3093</v>
      </c>
      <c r="B854" s="249">
        <v>1.89</v>
      </c>
      <c r="C854" s="248">
        <f>ROUND(B854*(1-'Disc Dep'!$M$5),2)</f>
        <v>1.4</v>
      </c>
      <c r="D854" s="248">
        <f>ROUND(C854*(1+'Adaos Distr'!$C$112),2)</f>
        <v>1.4</v>
      </c>
      <c r="E854" s="248">
        <f>ROUND(D854*(1+'Adaos RESELLER'!$C$112),2)</f>
        <v>1.4</v>
      </c>
      <c r="F854" s="248">
        <f>IF(Select!$E$23=1,C854,IF(Select!$E$23=2,D854,IF(Select!$E$23=3,E854)))</f>
        <v>1.4</v>
      </c>
    </row>
    <row r="855" spans="1:6">
      <c r="A855" t="s">
        <v>3094</v>
      </c>
      <c r="B855" s="249">
        <v>1.99</v>
      </c>
      <c r="C855" s="248">
        <f>ROUND(B855*(1-'Disc Dep'!$M$5),2)</f>
        <v>1.47</v>
      </c>
      <c r="D855" s="248">
        <f>ROUND(C855*(1+'Adaos Distr'!$C$112),2)</f>
        <v>1.47</v>
      </c>
      <c r="E855" s="248">
        <f>ROUND(D855*(1+'Adaos RESELLER'!$C$112),2)</f>
        <v>1.47</v>
      </c>
      <c r="F855" s="248">
        <f>IF(Select!$E$23=1,C855,IF(Select!$E$23=2,D855,IF(Select!$E$23=3,E855)))</f>
        <v>1.47</v>
      </c>
    </row>
    <row r="856" spans="1:6">
      <c r="A856" t="s">
        <v>3092</v>
      </c>
      <c r="B856" s="249">
        <v>0</v>
      </c>
      <c r="C856" s="248">
        <f>ROUND(B856*(1-'Disc Dep'!$M$5),2)</f>
        <v>0</v>
      </c>
      <c r="D856" s="248">
        <f>ROUND(C856*(1+'Adaos Distr'!$C$112),2)</f>
        <v>0</v>
      </c>
      <c r="E856" s="248">
        <f>ROUND(D856*(1+'Adaos RESELLER'!$C$112),2)</f>
        <v>0</v>
      </c>
      <c r="F856" s="248">
        <f>IF(Select!$E$23=1,C856,IF(Select!$E$23=2,D856,IF(Select!$E$23=3,E856)))</f>
        <v>0</v>
      </c>
    </row>
    <row r="857" spans="1:6">
      <c r="A857" t="s">
        <v>3092</v>
      </c>
      <c r="B857" s="249">
        <v>0</v>
      </c>
      <c r="C857" s="248">
        <f>ROUND(B857*(1-'Disc Dep'!$M$5),2)</f>
        <v>0</v>
      </c>
      <c r="D857" s="248">
        <f>ROUND(C857*(1+'Adaos Distr'!$C$112),2)</f>
        <v>0</v>
      </c>
      <c r="E857" s="248">
        <f>ROUND(D857*(1+'Adaos RESELLER'!$C$112),2)</f>
        <v>0</v>
      </c>
      <c r="F857" s="248">
        <f>IF(Select!$E$23=1,C857,IF(Select!$E$23=2,D857,IF(Select!$E$23=3,E857)))</f>
        <v>0</v>
      </c>
    </row>
    <row r="858" spans="1:6">
      <c r="A858" t="s">
        <v>3092</v>
      </c>
      <c r="B858" s="249">
        <v>0</v>
      </c>
      <c r="C858" s="248">
        <f>ROUND(B858*(1-'Disc Dep'!$M$5),2)</f>
        <v>0</v>
      </c>
      <c r="D858" s="248">
        <f>ROUND(C858*(1+'Adaos Distr'!$C$112),2)</f>
        <v>0</v>
      </c>
      <c r="E858" s="248">
        <f>ROUND(D858*(1+'Adaos RESELLER'!$C$112),2)</f>
        <v>0</v>
      </c>
      <c r="F858" s="248">
        <f>IF(Select!$E$23=1,C858,IF(Select!$E$23=2,D858,IF(Select!$E$23=3,E858)))</f>
        <v>0</v>
      </c>
    </row>
    <row r="859" spans="1:6">
      <c r="A859" t="s">
        <v>3092</v>
      </c>
      <c r="B859" s="249">
        <v>0</v>
      </c>
      <c r="C859" s="248">
        <f>ROUND(B859*(1-'Disc Dep'!$M$5),2)</f>
        <v>0</v>
      </c>
      <c r="D859" s="248">
        <f>ROUND(C859*(1+'Adaos Distr'!$C$112),2)</f>
        <v>0</v>
      </c>
      <c r="E859" s="248">
        <f>ROUND(D859*(1+'Adaos RESELLER'!$C$112),2)</f>
        <v>0</v>
      </c>
      <c r="F859" s="248">
        <f>IF(Select!$E$23=1,C859,IF(Select!$E$23=2,D859,IF(Select!$E$23=3,E859)))</f>
        <v>0</v>
      </c>
    </row>
    <row r="860" spans="1:6">
      <c r="A860" t="s">
        <v>3095</v>
      </c>
      <c r="B860" s="249">
        <v>2.1800000000000002</v>
      </c>
      <c r="C860" s="248">
        <f>ROUND(B860*(1-'Disc Dep'!$M$5),2)</f>
        <v>1.61</v>
      </c>
      <c r="D860" s="248">
        <f>ROUND(C860*(1+'Adaos Distr'!$C$112),2)</f>
        <v>1.61</v>
      </c>
      <c r="E860" s="248">
        <f>ROUND(D860*(1+'Adaos RESELLER'!$C$112),2)</f>
        <v>1.61</v>
      </c>
      <c r="F860" s="248">
        <f>IF(Select!$E$23=1,C860,IF(Select!$E$23=2,D860,IF(Select!$E$23=3,E860)))</f>
        <v>1.61</v>
      </c>
    </row>
    <row r="861" spans="1:6">
      <c r="A861" t="s">
        <v>3096</v>
      </c>
      <c r="B861" s="249">
        <v>12.65</v>
      </c>
      <c r="C861" s="248">
        <f>ROUND(B861*(1-'Disc Dep'!$M$5),2)</f>
        <v>9.36</v>
      </c>
      <c r="D861" s="248">
        <f>ROUND(C861*(1+'Adaos Distr'!$C$112),2)</f>
        <v>9.36</v>
      </c>
      <c r="E861" s="248">
        <f>ROUND(D861*(1+'Adaos RESELLER'!$C$112),2)</f>
        <v>9.36</v>
      </c>
      <c r="F861" s="248">
        <f>IF(Select!$E$23=1,C861,IF(Select!$E$23=2,D861,IF(Select!$E$23=3,E861)))</f>
        <v>9.36</v>
      </c>
    </row>
    <row r="862" spans="1:6">
      <c r="A862" t="s">
        <v>3097</v>
      </c>
      <c r="B862" s="249">
        <v>6.33</v>
      </c>
      <c r="C862" s="248">
        <f>ROUND(B862*(1-'Disc Dep'!$M$5),2)</f>
        <v>4.68</v>
      </c>
      <c r="D862" s="248">
        <f>ROUND(C862*(1+'Adaos Distr'!$C$112),2)</f>
        <v>4.68</v>
      </c>
      <c r="E862" s="248">
        <f>ROUND(D862*(1+'Adaos RESELLER'!$C$112),2)</f>
        <v>4.68</v>
      </c>
      <c r="F862" s="248">
        <f>IF(Select!$E$23=1,C862,IF(Select!$E$23=2,D862,IF(Select!$E$23=3,E862)))</f>
        <v>4.68</v>
      </c>
    </row>
    <row r="863" spans="1:6">
      <c r="A863" t="s">
        <v>3098</v>
      </c>
      <c r="B863" s="249">
        <v>11.41</v>
      </c>
      <c r="C863" s="248">
        <f>ROUND(B863*(1-'Disc Dep'!$M$5),2)</f>
        <v>8.44</v>
      </c>
      <c r="D863" s="248">
        <f>ROUND(C863*(1+'Adaos Distr'!$C$112),2)</f>
        <v>8.44</v>
      </c>
      <c r="E863" s="248">
        <f>ROUND(D863*(1+'Adaos RESELLER'!$C$112),2)</f>
        <v>8.44</v>
      </c>
      <c r="F863" s="248">
        <f>IF(Select!$E$23=1,C863,IF(Select!$E$23=2,D863,IF(Select!$E$23=3,E863)))</f>
        <v>8.44</v>
      </c>
    </row>
    <row r="864" spans="1:6">
      <c r="A864" t="s">
        <v>3099</v>
      </c>
      <c r="B864" s="249">
        <v>11.41</v>
      </c>
      <c r="C864" s="248">
        <f>ROUND(B864*(1-'Disc Dep'!$M$5),2)</f>
        <v>8.44</v>
      </c>
      <c r="D864" s="248">
        <f>ROUND(C864*(1+'Adaos Distr'!$C$112),2)</f>
        <v>8.44</v>
      </c>
      <c r="E864" s="248">
        <f>ROUND(D864*(1+'Adaos RESELLER'!$C$112),2)</f>
        <v>8.44</v>
      </c>
      <c r="F864" s="248">
        <f>IF(Select!$E$23=1,C864,IF(Select!$E$23=2,D864,IF(Select!$E$23=3,E864)))</f>
        <v>8.44</v>
      </c>
    </row>
    <row r="865" spans="1:6">
      <c r="A865" t="s">
        <v>3100</v>
      </c>
      <c r="B865" s="249">
        <v>1.75</v>
      </c>
      <c r="C865" s="248">
        <f>ROUND(B865*(1-'Disc Dep'!$M$5),2)</f>
        <v>1.3</v>
      </c>
      <c r="D865" s="248">
        <f>ROUND(C865*(1+'Adaos Distr'!$C$112),2)</f>
        <v>1.3</v>
      </c>
      <c r="E865" s="248">
        <f>ROUND(D865*(1+'Adaos RESELLER'!$C$112),2)</f>
        <v>1.3</v>
      </c>
      <c r="F865" s="248">
        <f>IF(Select!$E$23=1,C865,IF(Select!$E$23=2,D865,IF(Select!$E$23=3,E865)))</f>
        <v>1.3</v>
      </c>
    </row>
    <row r="866" spans="1:6">
      <c r="A866" t="s">
        <v>3101</v>
      </c>
      <c r="B866" s="249">
        <v>1.31</v>
      </c>
      <c r="C866" s="248">
        <f>ROUND(B866*(1-'Disc Dep'!$M$5),2)</f>
        <v>0.97</v>
      </c>
      <c r="D866" s="248">
        <f>ROUND(C866*(1+'Adaos Distr'!$C$112),2)</f>
        <v>0.97</v>
      </c>
      <c r="E866" s="248">
        <f>ROUND(D866*(1+'Adaos RESELLER'!$C$112),2)</f>
        <v>0.97</v>
      </c>
      <c r="F866" s="248">
        <f>IF(Select!$E$23=1,C866,IF(Select!$E$23=2,D866,IF(Select!$E$23=3,E866)))</f>
        <v>0.97</v>
      </c>
    </row>
    <row r="867" spans="1:6">
      <c r="A867" t="s">
        <v>3102</v>
      </c>
      <c r="B867" s="249">
        <v>0.71</v>
      </c>
      <c r="C867" s="248">
        <f>ROUND(B867*(1-'Disc Dep'!$M$5),2)</f>
        <v>0.53</v>
      </c>
      <c r="D867" s="248">
        <f>ROUND(C867*(1+'Adaos Distr'!$C$112),2)</f>
        <v>0.53</v>
      </c>
      <c r="E867" s="248">
        <f>ROUND(D867*(1+'Adaos RESELLER'!$C$112),2)</f>
        <v>0.53</v>
      </c>
      <c r="F867" s="248">
        <f>IF(Select!$E$23=1,C867,IF(Select!$E$23=2,D867,IF(Select!$E$23=3,E867)))</f>
        <v>0.53</v>
      </c>
    </row>
    <row r="868" spans="1:6">
      <c r="A868" t="s">
        <v>3103</v>
      </c>
      <c r="B868" s="249">
        <v>3.83</v>
      </c>
      <c r="C868" s="248">
        <f>ROUND(B868*(1-'Disc Dep'!$M$5),2)</f>
        <v>2.83</v>
      </c>
      <c r="D868" s="248">
        <f>ROUND(C868*(1+'Adaos Distr'!$C$112),2)</f>
        <v>2.83</v>
      </c>
      <c r="E868" s="248">
        <f>ROUND(D868*(1+'Adaos RESELLER'!$C$112),2)</f>
        <v>2.83</v>
      </c>
      <c r="F868" s="248">
        <f>IF(Select!$E$23=1,C868,IF(Select!$E$23=2,D868,IF(Select!$E$23=3,E868)))</f>
        <v>2.83</v>
      </c>
    </row>
    <row r="869" spans="1:6">
      <c r="A869" t="s">
        <v>3104</v>
      </c>
      <c r="B869" s="249">
        <v>3.83</v>
      </c>
      <c r="C869" s="248">
        <f>ROUND(B869*(1-'Disc Dep'!$M$5),2)</f>
        <v>2.83</v>
      </c>
      <c r="D869" s="248">
        <f>ROUND(C869*(1+'Adaos Distr'!$C$112),2)</f>
        <v>2.83</v>
      </c>
      <c r="E869" s="248">
        <f>ROUND(D869*(1+'Adaos RESELLER'!$C$112),2)</f>
        <v>2.83</v>
      </c>
      <c r="F869" s="248">
        <f>IF(Select!$E$23=1,C869,IF(Select!$E$23=2,D869,IF(Select!$E$23=3,E869)))</f>
        <v>2.83</v>
      </c>
    </row>
    <row r="870" spans="1:6">
      <c r="A870" t="s">
        <v>3105</v>
      </c>
      <c r="B870" s="249">
        <v>3.74</v>
      </c>
      <c r="C870" s="248">
        <f>ROUND(B870*(1-'Disc Dep'!$M$5),2)</f>
        <v>2.77</v>
      </c>
      <c r="D870" s="248">
        <f>ROUND(C870*(1+'Adaos Distr'!$C$112),2)</f>
        <v>2.77</v>
      </c>
      <c r="E870" s="248">
        <f>ROUND(D870*(1+'Adaos RESELLER'!$C$112),2)</f>
        <v>2.77</v>
      </c>
      <c r="F870" s="248">
        <f>IF(Select!$E$23=1,C870,IF(Select!$E$23=2,D870,IF(Select!$E$23=3,E870)))</f>
        <v>2.77</v>
      </c>
    </row>
    <row r="871" spans="1:6">
      <c r="A871" t="s">
        <v>3106</v>
      </c>
      <c r="B871" s="249">
        <v>11.24</v>
      </c>
      <c r="C871" s="248">
        <f>ROUND(B871*(1-'Disc Dep'!$M$5),2)</f>
        <v>8.32</v>
      </c>
      <c r="D871" s="248">
        <f>ROUND(C871*(1+'Adaos Distr'!$C$112),2)</f>
        <v>8.32</v>
      </c>
      <c r="E871" s="248">
        <f>ROUND(D871*(1+'Adaos RESELLER'!$C$112),2)</f>
        <v>8.32</v>
      </c>
      <c r="F871" s="248">
        <f>IF(Select!$E$23=1,C871,IF(Select!$E$23=2,D871,IF(Select!$E$23=3,E871)))</f>
        <v>8.32</v>
      </c>
    </row>
    <row r="872" spans="1:6">
      <c r="A872" t="s">
        <v>3107</v>
      </c>
      <c r="B872" s="249">
        <v>1.31</v>
      </c>
      <c r="C872" s="248">
        <f>ROUND(B872*(1-'Disc Dep'!$M$5),2)</f>
        <v>0.97</v>
      </c>
      <c r="D872" s="248">
        <f>ROUND(C872*(1+'Adaos Distr'!$C$112),2)</f>
        <v>0.97</v>
      </c>
      <c r="E872" s="248">
        <f>ROUND(D872*(1+'Adaos RESELLER'!$C$112),2)</f>
        <v>0.97</v>
      </c>
      <c r="F872" s="248">
        <f>IF(Select!$E$23=1,C872,IF(Select!$E$23=2,D872,IF(Select!$E$23=3,E872)))</f>
        <v>0.97</v>
      </c>
    </row>
    <row r="873" spans="1:6">
      <c r="A873" t="s">
        <v>3108</v>
      </c>
      <c r="B873" s="249">
        <v>21.22</v>
      </c>
      <c r="C873" s="248">
        <f>ROUND(B873*(1-'Disc Dep'!$M$5),2)</f>
        <v>15.7</v>
      </c>
      <c r="D873" s="248">
        <f>ROUND(C873*(1+'Adaos Distr'!$C$112),2)</f>
        <v>15.7</v>
      </c>
      <c r="E873" s="248">
        <f>ROUND(D873*(1+'Adaos RESELLER'!$C$112),2)</f>
        <v>15.7</v>
      </c>
      <c r="F873" s="248">
        <f>IF(Select!$E$23=1,C873,IF(Select!$E$23=2,D873,IF(Select!$E$23=3,E873)))</f>
        <v>15.7</v>
      </c>
    </row>
    <row r="874" spans="1:6">
      <c r="A874" t="s">
        <v>3109</v>
      </c>
      <c r="B874" s="249">
        <v>3.83</v>
      </c>
      <c r="C874" s="248">
        <f>ROUND(B874*(1-'Disc Dep'!$M$5),2)</f>
        <v>2.83</v>
      </c>
      <c r="D874" s="248">
        <f>ROUND(C874*(1+'Adaos Distr'!$C$112),2)</f>
        <v>2.83</v>
      </c>
      <c r="E874" s="248">
        <f>ROUND(D874*(1+'Adaos RESELLER'!$C$112),2)</f>
        <v>2.83</v>
      </c>
      <c r="F874" s="248">
        <f>IF(Select!$E$23=1,C874,IF(Select!$E$23=2,D874,IF(Select!$E$23=3,E874)))</f>
        <v>2.83</v>
      </c>
    </row>
    <row r="875" spans="1:6">
      <c r="A875" t="s">
        <v>3110</v>
      </c>
      <c r="B875" s="249">
        <v>17.690000000000001</v>
      </c>
      <c r="C875" s="248">
        <f>ROUND(B875*(1-'Disc Dep'!$M$5),2)</f>
        <v>13.09</v>
      </c>
      <c r="D875" s="248">
        <f>ROUND(C875*(1+'Adaos Distr'!$C$112),2)</f>
        <v>13.09</v>
      </c>
      <c r="E875" s="248">
        <f>ROUND(D875*(1+'Adaos RESELLER'!$C$112),2)</f>
        <v>13.09</v>
      </c>
      <c r="F875" s="248">
        <f>IF(Select!$E$23=1,C875,IF(Select!$E$23=2,D875,IF(Select!$E$23=3,E875)))</f>
        <v>13.09</v>
      </c>
    </row>
    <row r="876" spans="1:6">
      <c r="C876" s="248">
        <f>ROUND(B876*(1-'Disc Dep'!$M$5),2)</f>
        <v>0</v>
      </c>
      <c r="D876" s="248">
        <f>ROUND(C876*(1+'Adaos Distr'!$C$112),2)</f>
        <v>0</v>
      </c>
      <c r="E876" s="248">
        <f>ROUND(D876*(1+'Adaos RESELLER'!$C$112),2)</f>
        <v>0</v>
      </c>
      <c r="F876" s="248">
        <f>IF(Select!$E$23=1,C876,IF(Select!$E$23=2,D876,IF(Select!$E$23=3,E876)))</f>
        <v>0</v>
      </c>
    </row>
    <row r="877" spans="1:6">
      <c r="A877" t="s">
        <v>3111</v>
      </c>
      <c r="B877" s="249">
        <v>2.12</v>
      </c>
      <c r="C877" s="248">
        <f>ROUND(B877*(1-'Disc Dep'!$M$5),2)</f>
        <v>1.57</v>
      </c>
      <c r="D877" s="248">
        <f>ROUND(C877*(1+'Adaos Distr'!$C$112),2)</f>
        <v>1.57</v>
      </c>
      <c r="E877" s="248">
        <f>ROUND(D877*(1+'Adaos RESELLER'!$C$112),2)</f>
        <v>1.57</v>
      </c>
      <c r="F877" s="248">
        <f>IF(Select!$E$23=1,C877,IF(Select!$E$23=2,D877,IF(Select!$E$23=3,E877)))</f>
        <v>1.57</v>
      </c>
    </row>
    <row r="878" spans="1:6">
      <c r="A878" t="s">
        <v>3112</v>
      </c>
      <c r="B878" s="249">
        <v>2.3199999999999998</v>
      </c>
      <c r="C878" s="248">
        <f>ROUND(B878*(1-'Disc Dep'!$M$5),2)</f>
        <v>1.72</v>
      </c>
      <c r="D878" s="248">
        <f>ROUND(C878*(1+'Adaos Distr'!$C$112),2)</f>
        <v>1.72</v>
      </c>
      <c r="E878" s="248">
        <f>ROUND(D878*(1+'Adaos RESELLER'!$C$112),2)</f>
        <v>1.72</v>
      </c>
      <c r="F878" s="248">
        <f>IF(Select!$E$23=1,C878,IF(Select!$E$23=2,D878,IF(Select!$E$23=3,E878)))</f>
        <v>1.72</v>
      </c>
    </row>
    <row r="879" spans="1:6">
      <c r="A879" t="s">
        <v>3113</v>
      </c>
      <c r="B879" s="249">
        <v>0</v>
      </c>
      <c r="C879" s="248">
        <f>ROUND(B879*(1-'Disc Dep'!$M$5),2)</f>
        <v>0</v>
      </c>
      <c r="D879" s="248">
        <f>ROUND(C879*(1+'Adaos Distr'!$C$112),2)</f>
        <v>0</v>
      </c>
      <c r="E879" s="248">
        <f>ROUND(D879*(1+'Adaos RESELLER'!$C$112),2)</f>
        <v>0</v>
      </c>
      <c r="F879" s="248">
        <f>IF(Select!$E$23=1,C879,IF(Select!$E$23=2,D879,IF(Select!$E$23=3,E879)))</f>
        <v>0</v>
      </c>
    </row>
    <row r="880" spans="1:6">
      <c r="A880" t="s">
        <v>3113</v>
      </c>
      <c r="B880" s="249">
        <v>0</v>
      </c>
      <c r="C880" s="248">
        <f>ROUND(B880*(1-'Disc Dep'!$M$5),2)</f>
        <v>0</v>
      </c>
      <c r="D880" s="248">
        <f>ROUND(C880*(1+'Adaos Distr'!$C$112),2)</f>
        <v>0</v>
      </c>
      <c r="E880" s="248">
        <f>ROUND(D880*(1+'Adaos RESELLER'!$C$112),2)</f>
        <v>0</v>
      </c>
      <c r="F880" s="248">
        <f>IF(Select!$E$23=1,C880,IF(Select!$E$23=2,D880,IF(Select!$E$23=3,E880)))</f>
        <v>0</v>
      </c>
    </row>
    <row r="881" spans="1:6">
      <c r="A881" t="s">
        <v>3114</v>
      </c>
      <c r="B881" s="249">
        <v>1.84</v>
      </c>
      <c r="C881" s="248">
        <f>ROUND(B881*(1-'Disc Dep'!$M$5),2)</f>
        <v>1.36</v>
      </c>
      <c r="D881" s="248">
        <f>ROUND(C881*(1+'Adaos Distr'!$C$112),2)</f>
        <v>1.36</v>
      </c>
      <c r="E881" s="248">
        <f>ROUND(D881*(1+'Adaos RESELLER'!$C$112),2)</f>
        <v>1.36</v>
      </c>
      <c r="F881" s="248">
        <f>IF(Select!$E$23=1,C881,IF(Select!$E$23=2,D881,IF(Select!$E$23=3,E881)))</f>
        <v>1.36</v>
      </c>
    </row>
    <row r="882" spans="1:6">
      <c r="A882" t="s">
        <v>3113</v>
      </c>
      <c r="B882" s="249">
        <v>0</v>
      </c>
      <c r="C882" s="248">
        <f>ROUND(B882*(1-'Disc Dep'!$M$5),2)</f>
        <v>0</v>
      </c>
      <c r="D882" s="248">
        <f>ROUND(C882*(1+'Adaos Distr'!$C$112),2)</f>
        <v>0</v>
      </c>
      <c r="E882" s="248">
        <f>ROUND(D882*(1+'Adaos RESELLER'!$C$112),2)</f>
        <v>0</v>
      </c>
      <c r="F882" s="248">
        <f>IF(Select!$E$23=1,C882,IF(Select!$E$23=2,D882,IF(Select!$E$23=3,E882)))</f>
        <v>0</v>
      </c>
    </row>
    <row r="883" spans="1:6">
      <c r="A883" t="s">
        <v>3113</v>
      </c>
      <c r="B883" s="249">
        <v>0</v>
      </c>
      <c r="C883" s="248">
        <f>ROUND(B883*(1-'Disc Dep'!$M$5),2)</f>
        <v>0</v>
      </c>
      <c r="D883" s="248">
        <f>ROUND(C883*(1+'Adaos Distr'!$C$112),2)</f>
        <v>0</v>
      </c>
      <c r="E883" s="248">
        <f>ROUND(D883*(1+'Adaos RESELLER'!$C$112),2)</f>
        <v>0</v>
      </c>
      <c r="F883" s="248">
        <f>IF(Select!$E$23=1,C883,IF(Select!$E$23=2,D883,IF(Select!$E$23=3,E883)))</f>
        <v>0</v>
      </c>
    </row>
    <row r="884" spans="1:6">
      <c r="A884" t="s">
        <v>3115</v>
      </c>
      <c r="B884" s="249">
        <v>1.72</v>
      </c>
      <c r="C884" s="248">
        <f>ROUND(B884*(1-'Disc Dep'!$M$5),2)</f>
        <v>1.27</v>
      </c>
      <c r="D884" s="248">
        <f>ROUND(C884*(1+'Adaos Distr'!$C$112),2)</f>
        <v>1.27</v>
      </c>
      <c r="E884" s="248">
        <f>ROUND(D884*(1+'Adaos RESELLER'!$C$112),2)</f>
        <v>1.27</v>
      </c>
      <c r="F884" s="248">
        <f>IF(Select!$E$23=1,C884,IF(Select!$E$23=2,D884,IF(Select!$E$23=3,E884)))</f>
        <v>1.27</v>
      </c>
    </row>
    <row r="885" spans="1:6">
      <c r="A885" t="s">
        <v>3113</v>
      </c>
      <c r="B885" s="249">
        <v>0</v>
      </c>
      <c r="C885" s="248">
        <f>ROUND(B885*(1-'Disc Dep'!$M$5),2)</f>
        <v>0</v>
      </c>
      <c r="D885" s="248">
        <f>ROUND(C885*(1+'Adaos Distr'!$C$112),2)</f>
        <v>0</v>
      </c>
      <c r="E885" s="248">
        <f>ROUND(D885*(1+'Adaos RESELLER'!$C$112),2)</f>
        <v>0</v>
      </c>
      <c r="F885" s="248">
        <f>IF(Select!$E$23=1,C885,IF(Select!$E$23=2,D885,IF(Select!$E$23=3,E885)))</f>
        <v>0</v>
      </c>
    </row>
    <row r="886" spans="1:6">
      <c r="A886" t="s">
        <v>3116</v>
      </c>
      <c r="B886" s="249">
        <v>12.82</v>
      </c>
      <c r="C886" s="248">
        <f>ROUND(B886*(1-'Disc Dep'!$M$5),2)</f>
        <v>9.49</v>
      </c>
      <c r="D886" s="248">
        <f>ROUND(C886*(1+'Adaos Distr'!$C$112),2)</f>
        <v>9.49</v>
      </c>
      <c r="E886" s="248">
        <f>ROUND(D886*(1+'Adaos RESELLER'!$C$112),2)</f>
        <v>9.49</v>
      </c>
      <c r="F886" s="248">
        <f>IF(Select!$E$23=1,C886,IF(Select!$E$23=2,D886,IF(Select!$E$23=3,E886)))</f>
        <v>9.49</v>
      </c>
    </row>
    <row r="887" spans="1:6">
      <c r="A887" t="s">
        <v>3117</v>
      </c>
      <c r="B887" s="249">
        <v>6.41</v>
      </c>
      <c r="C887" s="248">
        <f>ROUND(B887*(1-'Disc Dep'!$M$5),2)</f>
        <v>4.74</v>
      </c>
      <c r="D887" s="248">
        <f>ROUND(C887*(1+'Adaos Distr'!$C$112),2)</f>
        <v>4.74</v>
      </c>
      <c r="E887" s="248">
        <f>ROUND(D887*(1+'Adaos RESELLER'!$C$112),2)</f>
        <v>4.74</v>
      </c>
      <c r="F887" s="248">
        <f>IF(Select!$E$23=1,C887,IF(Select!$E$23=2,D887,IF(Select!$E$23=3,E887)))</f>
        <v>4.74</v>
      </c>
    </row>
    <row r="888" spans="1:6">
      <c r="A888" t="s">
        <v>3118</v>
      </c>
      <c r="B888" s="249">
        <v>12.65</v>
      </c>
      <c r="C888" s="248">
        <f>ROUND(B888*(1-'Disc Dep'!$M$5),2)</f>
        <v>9.36</v>
      </c>
      <c r="D888" s="248">
        <f>ROUND(C888*(1+'Adaos Distr'!$C$112),2)</f>
        <v>9.36</v>
      </c>
      <c r="E888" s="248">
        <f>ROUND(D888*(1+'Adaos RESELLER'!$C$112),2)</f>
        <v>9.36</v>
      </c>
      <c r="F888" s="248">
        <f>IF(Select!$E$23=1,C888,IF(Select!$E$23=2,D888,IF(Select!$E$23=3,E888)))</f>
        <v>9.36</v>
      </c>
    </row>
    <row r="889" spans="1:6">
      <c r="A889" t="s">
        <v>3119</v>
      </c>
      <c r="B889" s="249">
        <v>12.65</v>
      </c>
      <c r="C889" s="248">
        <f>ROUND(B889*(1-'Disc Dep'!$M$5),2)</f>
        <v>9.36</v>
      </c>
      <c r="D889" s="248">
        <f>ROUND(C889*(1+'Adaos Distr'!$C$112),2)</f>
        <v>9.36</v>
      </c>
      <c r="E889" s="248">
        <f>ROUND(D889*(1+'Adaos RESELLER'!$C$112),2)</f>
        <v>9.36</v>
      </c>
      <c r="F889" s="248">
        <f>IF(Select!$E$23=1,C889,IF(Select!$E$23=2,D889,IF(Select!$E$23=3,E889)))</f>
        <v>9.36</v>
      </c>
    </row>
    <row r="890" spans="1:6">
      <c r="A890" t="s">
        <v>3120</v>
      </c>
      <c r="B890" s="249">
        <v>1.94</v>
      </c>
      <c r="C890" s="248">
        <f>ROUND(B890*(1-'Disc Dep'!$M$5),2)</f>
        <v>1.44</v>
      </c>
      <c r="D890" s="248">
        <f>ROUND(C890*(1+'Adaos Distr'!$C$112),2)</f>
        <v>1.44</v>
      </c>
      <c r="E890" s="248">
        <f>ROUND(D890*(1+'Adaos RESELLER'!$C$112),2)</f>
        <v>1.44</v>
      </c>
      <c r="F890" s="248">
        <f>IF(Select!$E$23=1,C890,IF(Select!$E$23=2,D890,IF(Select!$E$23=3,E890)))</f>
        <v>1.44</v>
      </c>
    </row>
    <row r="891" spans="1:6">
      <c r="A891" t="s">
        <v>3121</v>
      </c>
      <c r="B891" s="249">
        <v>1.21</v>
      </c>
      <c r="C891" s="248">
        <f>ROUND(B891*(1-'Disc Dep'!$M$5),2)</f>
        <v>0.9</v>
      </c>
      <c r="D891" s="248">
        <f>ROUND(C891*(1+'Adaos Distr'!$C$112),2)</f>
        <v>0.9</v>
      </c>
      <c r="E891" s="248">
        <f>ROUND(D891*(1+'Adaos RESELLER'!$C$112),2)</f>
        <v>0.9</v>
      </c>
      <c r="F891" s="248">
        <f>IF(Select!$E$23=1,C891,IF(Select!$E$23=2,D891,IF(Select!$E$23=3,E891)))</f>
        <v>0.9</v>
      </c>
    </row>
    <row r="892" spans="1:6">
      <c r="A892" t="s">
        <v>3113</v>
      </c>
      <c r="B892" s="249">
        <v>0</v>
      </c>
      <c r="C892" s="248">
        <f>ROUND(B892*(1-'Disc Dep'!$M$5),2)</f>
        <v>0</v>
      </c>
      <c r="D892" s="248">
        <f>ROUND(C892*(1+'Adaos Distr'!$C$112),2)</f>
        <v>0</v>
      </c>
      <c r="E892" s="248">
        <f>ROUND(D892*(1+'Adaos RESELLER'!$C$112),2)</f>
        <v>0</v>
      </c>
      <c r="F892" s="248">
        <f>IF(Select!$E$23=1,C892,IF(Select!$E$23=2,D892,IF(Select!$E$23=3,E892)))</f>
        <v>0</v>
      </c>
    </row>
    <row r="893" spans="1:6">
      <c r="A893" t="s">
        <v>3122</v>
      </c>
      <c r="B893" s="249">
        <v>3.29</v>
      </c>
      <c r="C893" s="248">
        <f>ROUND(B893*(1-'Disc Dep'!$M$5),2)</f>
        <v>2.4300000000000002</v>
      </c>
      <c r="D893" s="248">
        <f>ROUND(C893*(1+'Adaos Distr'!$C$112),2)</f>
        <v>2.4300000000000002</v>
      </c>
      <c r="E893" s="248">
        <f>ROUND(D893*(1+'Adaos RESELLER'!$C$112),2)</f>
        <v>2.4300000000000002</v>
      </c>
      <c r="F893" s="248">
        <f>IF(Select!$E$23=1,C893,IF(Select!$E$23=2,D893,IF(Select!$E$23=3,E893)))</f>
        <v>2.4300000000000002</v>
      </c>
    </row>
    <row r="894" spans="1:6">
      <c r="A894" t="s">
        <v>3123</v>
      </c>
      <c r="B894" s="249">
        <v>3.29</v>
      </c>
      <c r="C894" s="248">
        <f>ROUND(B894*(1-'Disc Dep'!$M$5),2)</f>
        <v>2.4300000000000002</v>
      </c>
      <c r="D894" s="248">
        <f>ROUND(C894*(1+'Adaos Distr'!$C$112),2)</f>
        <v>2.4300000000000002</v>
      </c>
      <c r="E894" s="248">
        <f>ROUND(D894*(1+'Adaos RESELLER'!$C$112),2)</f>
        <v>2.4300000000000002</v>
      </c>
      <c r="F894" s="248">
        <f>IF(Select!$E$23=1,C894,IF(Select!$E$23=2,D894,IF(Select!$E$23=3,E894)))</f>
        <v>2.4300000000000002</v>
      </c>
    </row>
    <row r="895" spans="1:6">
      <c r="A895" t="s">
        <v>3124</v>
      </c>
      <c r="B895" s="249">
        <v>3.94</v>
      </c>
      <c r="C895" s="248">
        <f>ROUND(B895*(1-'Disc Dep'!$M$5),2)</f>
        <v>2.92</v>
      </c>
      <c r="D895" s="248">
        <f>ROUND(C895*(1+'Adaos Distr'!$C$112),2)</f>
        <v>2.92</v>
      </c>
      <c r="E895" s="248">
        <f>ROUND(D895*(1+'Adaos RESELLER'!$C$112),2)</f>
        <v>2.92</v>
      </c>
      <c r="F895" s="248">
        <f>IF(Select!$E$23=1,C895,IF(Select!$E$23=2,D895,IF(Select!$E$23=3,E895)))</f>
        <v>2.92</v>
      </c>
    </row>
    <row r="896" spans="1:6">
      <c r="A896" t="s">
        <v>3125</v>
      </c>
      <c r="B896" s="249">
        <v>11.81</v>
      </c>
      <c r="C896" s="248">
        <f>ROUND(B896*(1-'Disc Dep'!$M$5),2)</f>
        <v>8.74</v>
      </c>
      <c r="D896" s="248">
        <f>ROUND(C896*(1+'Adaos Distr'!$C$112),2)</f>
        <v>8.74</v>
      </c>
      <c r="E896" s="248">
        <f>ROUND(D896*(1+'Adaos RESELLER'!$C$112),2)</f>
        <v>8.74</v>
      </c>
      <c r="F896" s="248">
        <f>IF(Select!$E$23=1,C896,IF(Select!$E$23=2,D896,IF(Select!$E$23=3,E896)))</f>
        <v>8.74</v>
      </c>
    </row>
    <row r="897" spans="1:6">
      <c r="A897" t="s">
        <v>3126</v>
      </c>
      <c r="B897" s="249">
        <v>1.21</v>
      </c>
      <c r="C897" s="248">
        <f>ROUND(B897*(1-'Disc Dep'!$M$5),2)</f>
        <v>0.9</v>
      </c>
      <c r="D897" s="248">
        <f>ROUND(C897*(1+'Adaos Distr'!$C$112),2)</f>
        <v>0.9</v>
      </c>
      <c r="E897" s="248">
        <f>ROUND(D897*(1+'Adaos RESELLER'!$C$112),2)</f>
        <v>0.9</v>
      </c>
      <c r="F897" s="248">
        <f>IF(Select!$E$23=1,C897,IF(Select!$E$23=2,D897,IF(Select!$E$23=3,E897)))</f>
        <v>0.9</v>
      </c>
    </row>
    <row r="898" spans="1:6">
      <c r="A898" t="s">
        <v>3127</v>
      </c>
      <c r="B898" s="249">
        <v>27.85</v>
      </c>
      <c r="C898" s="248">
        <f>ROUND(B898*(1-'Disc Dep'!$M$5),2)</f>
        <v>20.61</v>
      </c>
      <c r="D898" s="248">
        <f>ROUND(C898*(1+'Adaos Distr'!$C$112),2)</f>
        <v>20.61</v>
      </c>
      <c r="E898" s="248">
        <f>ROUND(D898*(1+'Adaos RESELLER'!$C$112),2)</f>
        <v>20.61</v>
      </c>
      <c r="F898" s="248">
        <f>IF(Select!$E$23=1,C898,IF(Select!$E$23=2,D898,IF(Select!$E$23=3,E898)))</f>
        <v>20.61</v>
      </c>
    </row>
    <row r="899" spans="1:6">
      <c r="A899" t="s">
        <v>3128</v>
      </c>
      <c r="B899" s="249">
        <v>3.29</v>
      </c>
      <c r="C899" s="248">
        <f>ROUND(B899*(1-'Disc Dep'!$M$5),2)</f>
        <v>2.4300000000000002</v>
      </c>
      <c r="D899" s="248">
        <f>ROUND(C899*(1+'Adaos Distr'!$C$112),2)</f>
        <v>2.4300000000000002</v>
      </c>
      <c r="E899" s="248">
        <f>ROUND(D899*(1+'Adaos RESELLER'!$C$112),2)</f>
        <v>2.4300000000000002</v>
      </c>
      <c r="F899" s="248">
        <f>IF(Select!$E$23=1,C899,IF(Select!$E$23=2,D899,IF(Select!$E$23=3,E899)))</f>
        <v>2.4300000000000002</v>
      </c>
    </row>
    <row r="900" spans="1:6">
      <c r="A900" t="s">
        <v>3113</v>
      </c>
      <c r="B900" s="249">
        <v>0</v>
      </c>
      <c r="C900" s="248">
        <f>ROUND(B900*(1-'Disc Dep'!$M$5),2)</f>
        <v>0</v>
      </c>
      <c r="D900" s="248">
        <f>ROUND(C900*(1+'Adaos Distr'!$C$112),2)</f>
        <v>0</v>
      </c>
      <c r="E900" s="248">
        <f>ROUND(D900*(1+'Adaos RESELLER'!$C$112),2)</f>
        <v>0</v>
      </c>
      <c r="F900" s="248">
        <f>IF(Select!$E$23=1,C900,IF(Select!$E$23=2,D900,IF(Select!$E$23=3,E900)))</f>
        <v>0</v>
      </c>
    </row>
    <row r="901" spans="1:6">
      <c r="C901" s="248">
        <f>ROUND(B901*(1-'Disc Dep'!$M$5),2)</f>
        <v>0</v>
      </c>
      <c r="D901" s="248">
        <f>ROUND(C901*(1+'Adaos Distr'!$C$112),2)</f>
        <v>0</v>
      </c>
      <c r="E901" s="248">
        <f>ROUND(D901*(1+'Adaos RESELLER'!$C$112),2)</f>
        <v>0</v>
      </c>
      <c r="F901" s="248">
        <f>IF(Select!$E$23=1,C901,IF(Select!$E$23=2,D901,IF(Select!$E$23=3,E901)))</f>
        <v>0</v>
      </c>
    </row>
    <row r="902" spans="1:6">
      <c r="A902" t="s">
        <v>3129</v>
      </c>
      <c r="B902" s="249">
        <v>2.29</v>
      </c>
      <c r="C902" s="248">
        <f>ROUND(B902*(1-'Disc Dep'!$M$5),2)</f>
        <v>1.69</v>
      </c>
      <c r="D902" s="248">
        <f>ROUND(C902*(1+'Adaos Distr'!$C$112),2)</f>
        <v>1.69</v>
      </c>
      <c r="E902" s="248">
        <f>ROUND(D902*(1+'Adaos RESELLER'!$C$112),2)</f>
        <v>1.69</v>
      </c>
      <c r="F902" s="248">
        <f>IF(Select!$E$23=1,C902,IF(Select!$E$23=2,D902,IF(Select!$E$23=3,E902)))</f>
        <v>1.69</v>
      </c>
    </row>
    <row r="903" spans="1:6">
      <c r="A903" t="s">
        <v>3130</v>
      </c>
      <c r="B903" s="249">
        <v>2.5099999999999998</v>
      </c>
      <c r="C903" s="248">
        <f>ROUND(B903*(1-'Disc Dep'!$M$5),2)</f>
        <v>1.86</v>
      </c>
      <c r="D903" s="248">
        <f>ROUND(C903*(1+'Adaos Distr'!$C$112),2)</f>
        <v>1.86</v>
      </c>
      <c r="E903" s="248">
        <f>ROUND(D903*(1+'Adaos RESELLER'!$C$112),2)</f>
        <v>1.86</v>
      </c>
      <c r="F903" s="248">
        <f>IF(Select!$E$23=1,C903,IF(Select!$E$23=2,D903,IF(Select!$E$23=3,E903)))</f>
        <v>1.86</v>
      </c>
    </row>
    <row r="904" spans="1:6">
      <c r="A904" t="s">
        <v>3131</v>
      </c>
      <c r="B904" s="249">
        <v>0</v>
      </c>
      <c r="C904" s="248">
        <f>ROUND(B904*(1-'Disc Dep'!$M$5),2)</f>
        <v>0</v>
      </c>
      <c r="D904" s="248">
        <f>ROUND(C904*(1+'Adaos Distr'!$C$112),2)</f>
        <v>0</v>
      </c>
      <c r="E904" s="248">
        <f>ROUND(D904*(1+'Adaos RESELLER'!$C$112),2)</f>
        <v>0</v>
      </c>
      <c r="F904" s="248">
        <f>IF(Select!$E$23=1,C904,IF(Select!$E$23=2,D904,IF(Select!$E$23=3,E904)))</f>
        <v>0</v>
      </c>
    </row>
    <row r="905" spans="1:6">
      <c r="A905" t="s">
        <v>3131</v>
      </c>
      <c r="B905" s="249">
        <v>0</v>
      </c>
      <c r="C905" s="248">
        <f>ROUND(B905*(1-'Disc Dep'!$M$5),2)</f>
        <v>0</v>
      </c>
      <c r="D905" s="248">
        <f>ROUND(C905*(1+'Adaos Distr'!$C$112),2)</f>
        <v>0</v>
      </c>
      <c r="E905" s="248">
        <f>ROUND(D905*(1+'Adaos RESELLER'!$C$112),2)</f>
        <v>0</v>
      </c>
      <c r="F905" s="248">
        <f>IF(Select!$E$23=1,C905,IF(Select!$E$23=2,D905,IF(Select!$E$23=3,E905)))</f>
        <v>0</v>
      </c>
    </row>
    <row r="906" spans="1:6">
      <c r="A906" t="s">
        <v>3131</v>
      </c>
      <c r="B906" s="249">
        <v>0</v>
      </c>
      <c r="C906" s="248">
        <f>ROUND(B906*(1-'Disc Dep'!$M$5),2)</f>
        <v>0</v>
      </c>
      <c r="D906" s="248">
        <f>ROUND(C906*(1+'Adaos Distr'!$C$112),2)</f>
        <v>0</v>
      </c>
      <c r="E906" s="248">
        <f>ROUND(D906*(1+'Adaos RESELLER'!$C$112),2)</f>
        <v>0</v>
      </c>
      <c r="F906" s="248">
        <f>IF(Select!$E$23=1,C906,IF(Select!$E$23=2,D906,IF(Select!$E$23=3,E906)))</f>
        <v>0</v>
      </c>
    </row>
    <row r="907" spans="1:6">
      <c r="A907" t="s">
        <v>3131</v>
      </c>
      <c r="B907" s="249">
        <v>0</v>
      </c>
      <c r="C907" s="248">
        <f>ROUND(B907*(1-'Disc Dep'!$M$5),2)</f>
        <v>0</v>
      </c>
      <c r="D907" s="248">
        <f>ROUND(C907*(1+'Adaos Distr'!$C$112),2)</f>
        <v>0</v>
      </c>
      <c r="E907" s="248">
        <f>ROUND(D907*(1+'Adaos RESELLER'!$C$112),2)</f>
        <v>0</v>
      </c>
      <c r="F907" s="248">
        <f>IF(Select!$E$23=1,C907,IF(Select!$E$23=2,D907,IF(Select!$E$23=3,E907)))</f>
        <v>0</v>
      </c>
    </row>
    <row r="908" spans="1:6">
      <c r="A908" t="s">
        <v>3131</v>
      </c>
      <c r="B908" s="249">
        <v>0</v>
      </c>
      <c r="C908" s="248">
        <f>ROUND(B908*(1-'Disc Dep'!$M$5),2)</f>
        <v>0</v>
      </c>
      <c r="D908" s="248">
        <f>ROUND(C908*(1+'Adaos Distr'!$C$112),2)</f>
        <v>0</v>
      </c>
      <c r="E908" s="248">
        <f>ROUND(D908*(1+'Adaos RESELLER'!$C$112),2)</f>
        <v>0</v>
      </c>
      <c r="F908" s="248">
        <f>IF(Select!$E$23=1,C908,IF(Select!$E$23=2,D908,IF(Select!$E$23=3,E908)))</f>
        <v>0</v>
      </c>
    </row>
    <row r="909" spans="1:6">
      <c r="A909" t="s">
        <v>3132</v>
      </c>
      <c r="B909" s="249">
        <v>2.8</v>
      </c>
      <c r="C909" s="248">
        <f>ROUND(B909*(1-'Disc Dep'!$M$5),2)</f>
        <v>2.0699999999999998</v>
      </c>
      <c r="D909" s="248">
        <f>ROUND(C909*(1+'Adaos Distr'!$C$112),2)</f>
        <v>2.0699999999999998</v>
      </c>
      <c r="E909" s="248">
        <f>ROUND(D909*(1+'Adaos RESELLER'!$C$112),2)</f>
        <v>2.0699999999999998</v>
      </c>
      <c r="F909" s="248">
        <f>IF(Select!$E$23=1,C909,IF(Select!$E$23=2,D909,IF(Select!$E$23=3,E909)))</f>
        <v>2.0699999999999998</v>
      </c>
    </row>
    <row r="910" spans="1:6">
      <c r="A910" t="s">
        <v>3131</v>
      </c>
      <c r="B910" s="249">
        <v>0</v>
      </c>
      <c r="C910" s="248">
        <f>ROUND(B910*(1-'Disc Dep'!$M$5),2)</f>
        <v>0</v>
      </c>
      <c r="D910" s="248">
        <f>ROUND(C910*(1+'Adaos Distr'!$C$112),2)</f>
        <v>0</v>
      </c>
      <c r="E910" s="248">
        <f>ROUND(D910*(1+'Adaos RESELLER'!$C$112),2)</f>
        <v>0</v>
      </c>
      <c r="F910" s="248">
        <f>IF(Select!$E$23=1,C910,IF(Select!$E$23=2,D910,IF(Select!$E$23=3,E910)))</f>
        <v>0</v>
      </c>
    </row>
    <row r="911" spans="1:6">
      <c r="A911" t="s">
        <v>3133</v>
      </c>
      <c r="B911" s="249">
        <v>16.920000000000002</v>
      </c>
      <c r="C911" s="248">
        <f>ROUND(B911*(1-'Disc Dep'!$M$5),2)</f>
        <v>12.52</v>
      </c>
      <c r="D911" s="248">
        <f>ROUND(C911*(1+'Adaos Distr'!$C$112),2)</f>
        <v>12.52</v>
      </c>
      <c r="E911" s="248">
        <f>ROUND(D911*(1+'Adaos RESELLER'!$C$112),2)</f>
        <v>12.52</v>
      </c>
      <c r="F911" s="248">
        <f>IF(Select!$E$23=1,C911,IF(Select!$E$23=2,D911,IF(Select!$E$23=3,E911)))</f>
        <v>12.52</v>
      </c>
    </row>
    <row r="912" spans="1:6">
      <c r="A912" t="s">
        <v>3134</v>
      </c>
      <c r="B912" s="249">
        <v>8.4600000000000009</v>
      </c>
      <c r="C912" s="248">
        <f>ROUND(B912*(1-'Disc Dep'!$M$5),2)</f>
        <v>6.26</v>
      </c>
      <c r="D912" s="248">
        <f>ROUND(C912*(1+'Adaos Distr'!$C$112),2)</f>
        <v>6.26</v>
      </c>
      <c r="E912" s="248">
        <f>ROUND(D912*(1+'Adaos RESELLER'!$C$112),2)</f>
        <v>6.26</v>
      </c>
      <c r="F912" s="248">
        <f>IF(Select!$E$23=1,C912,IF(Select!$E$23=2,D912,IF(Select!$E$23=3,E912)))</f>
        <v>6.26</v>
      </c>
    </row>
    <row r="913" spans="1:6">
      <c r="A913" t="s">
        <v>3135</v>
      </c>
      <c r="B913" s="249">
        <v>15.39</v>
      </c>
      <c r="C913" s="248">
        <f>ROUND(B913*(1-'Disc Dep'!$M$5),2)</f>
        <v>11.39</v>
      </c>
      <c r="D913" s="248">
        <f>ROUND(C913*(1+'Adaos Distr'!$C$112),2)</f>
        <v>11.39</v>
      </c>
      <c r="E913" s="248">
        <f>ROUND(D913*(1+'Adaos RESELLER'!$C$112),2)</f>
        <v>11.39</v>
      </c>
      <c r="F913" s="248">
        <f>IF(Select!$E$23=1,C913,IF(Select!$E$23=2,D913,IF(Select!$E$23=3,E913)))</f>
        <v>11.39</v>
      </c>
    </row>
    <row r="914" spans="1:6">
      <c r="A914" t="s">
        <v>3136</v>
      </c>
      <c r="B914" s="249">
        <v>15.39</v>
      </c>
      <c r="C914" s="248">
        <f>ROUND(B914*(1-'Disc Dep'!$M$5),2)</f>
        <v>11.39</v>
      </c>
      <c r="D914" s="248">
        <f>ROUND(C914*(1+'Adaos Distr'!$C$112),2)</f>
        <v>11.39</v>
      </c>
      <c r="E914" s="248">
        <f>ROUND(D914*(1+'Adaos RESELLER'!$C$112),2)</f>
        <v>11.39</v>
      </c>
      <c r="F914" s="248">
        <f>IF(Select!$E$23=1,C914,IF(Select!$E$23=2,D914,IF(Select!$E$23=3,E914)))</f>
        <v>11.39</v>
      </c>
    </row>
    <row r="915" spans="1:6">
      <c r="A915" t="s">
        <v>3137</v>
      </c>
      <c r="B915" s="249">
        <v>2.4300000000000002</v>
      </c>
      <c r="C915" s="248">
        <f>ROUND(B915*(1-'Disc Dep'!$M$5),2)</f>
        <v>1.8</v>
      </c>
      <c r="D915" s="248">
        <f>ROUND(C915*(1+'Adaos Distr'!$C$112),2)</f>
        <v>1.8</v>
      </c>
      <c r="E915" s="248">
        <f>ROUND(D915*(1+'Adaos RESELLER'!$C$112),2)</f>
        <v>1.8</v>
      </c>
      <c r="F915" s="248">
        <f>IF(Select!$E$23=1,C915,IF(Select!$E$23=2,D915,IF(Select!$E$23=3,E915)))</f>
        <v>1.8</v>
      </c>
    </row>
    <row r="916" spans="1:6">
      <c r="A916" t="s">
        <v>3138</v>
      </c>
      <c r="B916" s="249">
        <v>1.6</v>
      </c>
      <c r="C916" s="248">
        <f>ROUND(B916*(1-'Disc Dep'!$M$5),2)</f>
        <v>1.18</v>
      </c>
      <c r="D916" s="248">
        <f>ROUND(C916*(1+'Adaos Distr'!$C$112),2)</f>
        <v>1.18</v>
      </c>
      <c r="E916" s="248">
        <f>ROUND(D916*(1+'Adaos RESELLER'!$C$112),2)</f>
        <v>1.18</v>
      </c>
      <c r="F916" s="248">
        <f>IF(Select!$E$23=1,C916,IF(Select!$E$23=2,D916,IF(Select!$E$23=3,E916)))</f>
        <v>1.18</v>
      </c>
    </row>
    <row r="917" spans="1:6">
      <c r="A917" t="s">
        <v>3131</v>
      </c>
      <c r="B917" s="249">
        <v>0</v>
      </c>
      <c r="C917" s="248">
        <f>ROUND(B917*(1-'Disc Dep'!$M$5),2)</f>
        <v>0</v>
      </c>
      <c r="D917" s="248">
        <f>ROUND(C917*(1+'Adaos Distr'!$C$112),2)</f>
        <v>0</v>
      </c>
      <c r="E917" s="248">
        <f>ROUND(D917*(1+'Adaos RESELLER'!$C$112),2)</f>
        <v>0</v>
      </c>
      <c r="F917" s="248">
        <f>IF(Select!$E$23=1,C917,IF(Select!$E$23=2,D917,IF(Select!$E$23=3,E917)))</f>
        <v>0</v>
      </c>
    </row>
    <row r="918" spans="1:6">
      <c r="A918" t="s">
        <v>3139</v>
      </c>
      <c r="B918" s="249">
        <v>5.17</v>
      </c>
      <c r="C918" s="248">
        <f>ROUND(B918*(1-'Disc Dep'!$M$5),2)</f>
        <v>3.83</v>
      </c>
      <c r="D918" s="248">
        <f>ROUND(C918*(1+'Adaos Distr'!$C$112),2)</f>
        <v>3.83</v>
      </c>
      <c r="E918" s="248">
        <f>ROUND(D918*(1+'Adaos RESELLER'!$C$112),2)</f>
        <v>3.83</v>
      </c>
      <c r="F918" s="248">
        <f>IF(Select!$E$23=1,C918,IF(Select!$E$23=2,D918,IF(Select!$E$23=3,E918)))</f>
        <v>3.83</v>
      </c>
    </row>
    <row r="919" spans="1:6">
      <c r="A919" t="s">
        <v>3140</v>
      </c>
      <c r="B919" s="249">
        <v>5.17</v>
      </c>
      <c r="C919" s="248">
        <f>ROUND(B919*(1-'Disc Dep'!$M$5),2)</f>
        <v>3.83</v>
      </c>
      <c r="D919" s="248">
        <f>ROUND(C919*(1+'Adaos Distr'!$C$112),2)</f>
        <v>3.83</v>
      </c>
      <c r="E919" s="248">
        <f>ROUND(D919*(1+'Adaos RESELLER'!$C$112),2)</f>
        <v>3.83</v>
      </c>
      <c r="F919" s="248">
        <f>IF(Select!$E$23=1,C919,IF(Select!$E$23=2,D919,IF(Select!$E$23=3,E919)))</f>
        <v>3.83</v>
      </c>
    </row>
    <row r="920" spans="1:6">
      <c r="A920" t="s">
        <v>3141</v>
      </c>
      <c r="B920" s="249">
        <v>5.2</v>
      </c>
      <c r="C920" s="248">
        <f>ROUND(B920*(1-'Disc Dep'!$M$5),2)</f>
        <v>3.85</v>
      </c>
      <c r="D920" s="248">
        <f>ROUND(C920*(1+'Adaos Distr'!$C$112),2)</f>
        <v>3.85</v>
      </c>
      <c r="E920" s="248">
        <f>ROUND(D920*(1+'Adaos RESELLER'!$C$112),2)</f>
        <v>3.85</v>
      </c>
      <c r="F920" s="248">
        <f>IF(Select!$E$23=1,C920,IF(Select!$E$23=2,D920,IF(Select!$E$23=3,E920)))</f>
        <v>3.85</v>
      </c>
    </row>
    <row r="921" spans="1:6">
      <c r="A921" t="s">
        <v>3142</v>
      </c>
      <c r="B921" s="249">
        <v>15.59</v>
      </c>
      <c r="C921" s="248">
        <f>ROUND(B921*(1-'Disc Dep'!$M$5),2)</f>
        <v>11.54</v>
      </c>
      <c r="D921" s="248">
        <f>ROUND(C921*(1+'Adaos Distr'!$C$112),2)</f>
        <v>11.54</v>
      </c>
      <c r="E921" s="248">
        <f>ROUND(D921*(1+'Adaos RESELLER'!$C$112),2)</f>
        <v>11.54</v>
      </c>
      <c r="F921" s="248">
        <f>IF(Select!$E$23=1,C921,IF(Select!$E$23=2,D921,IF(Select!$E$23=3,E921)))</f>
        <v>11.54</v>
      </c>
    </row>
    <row r="922" spans="1:6">
      <c r="A922" t="s">
        <v>3143</v>
      </c>
      <c r="B922" s="249">
        <v>1.6</v>
      </c>
      <c r="C922" s="248">
        <f>ROUND(B922*(1-'Disc Dep'!$M$5),2)</f>
        <v>1.18</v>
      </c>
      <c r="D922" s="248">
        <f>ROUND(C922*(1+'Adaos Distr'!$C$112),2)</f>
        <v>1.18</v>
      </c>
      <c r="E922" s="248">
        <f>ROUND(D922*(1+'Adaos RESELLER'!$C$112),2)</f>
        <v>1.18</v>
      </c>
      <c r="F922" s="248">
        <f>IF(Select!$E$23=1,C922,IF(Select!$E$23=2,D922,IF(Select!$E$23=3,E922)))</f>
        <v>1.18</v>
      </c>
    </row>
    <row r="923" spans="1:6">
      <c r="A923" t="s">
        <v>3144</v>
      </c>
      <c r="B923" s="249">
        <v>27.85</v>
      </c>
      <c r="C923" s="248">
        <f>ROUND(B923*(1-'Disc Dep'!$M$5),2)</f>
        <v>20.61</v>
      </c>
      <c r="D923" s="248">
        <f>ROUND(C923*(1+'Adaos Distr'!$C$112),2)</f>
        <v>20.61</v>
      </c>
      <c r="E923" s="248">
        <f>ROUND(D923*(1+'Adaos RESELLER'!$C$112),2)</f>
        <v>20.61</v>
      </c>
      <c r="F923" s="248">
        <f>IF(Select!$E$23=1,C923,IF(Select!$E$23=2,D923,IF(Select!$E$23=3,E923)))</f>
        <v>20.61</v>
      </c>
    </row>
    <row r="924" spans="1:6">
      <c r="A924" t="s">
        <v>3145</v>
      </c>
      <c r="B924" s="249">
        <v>5.17</v>
      </c>
      <c r="C924" s="248">
        <f>ROUND(B924*(1-'Disc Dep'!$M$5),2)</f>
        <v>3.83</v>
      </c>
      <c r="D924" s="248">
        <f>ROUND(C924*(1+'Adaos Distr'!$C$112),2)</f>
        <v>3.83</v>
      </c>
      <c r="E924" s="248">
        <f>ROUND(D924*(1+'Adaos RESELLER'!$C$112),2)</f>
        <v>3.83</v>
      </c>
      <c r="F924" s="248">
        <f>IF(Select!$E$23=1,C924,IF(Select!$E$23=2,D924,IF(Select!$E$23=3,E924)))</f>
        <v>3.83</v>
      </c>
    </row>
    <row r="925" spans="1:6">
      <c r="A925" t="s">
        <v>3131</v>
      </c>
      <c r="B925" s="249">
        <v>0</v>
      </c>
      <c r="C925" s="248">
        <f>ROUND(B925*(1-'Disc Dep'!$M$5),2)</f>
        <v>0</v>
      </c>
      <c r="D925" s="248">
        <f>ROUND(C925*(1+'Adaos Distr'!$C$112),2)</f>
        <v>0</v>
      </c>
      <c r="E925" s="248">
        <f>ROUND(D925*(1+'Adaos RESELLER'!$C$112),2)</f>
        <v>0</v>
      </c>
      <c r="F925" s="248">
        <f>IF(Select!$E$23=1,C925,IF(Select!$E$23=2,D925,IF(Select!$E$23=3,E925)))</f>
        <v>0</v>
      </c>
    </row>
    <row r="927" spans="1:6">
      <c r="A927" t="s">
        <v>3168</v>
      </c>
      <c r="B927" s="249">
        <v>1.1100000000000001</v>
      </c>
      <c r="C927" s="248">
        <f>ROUND(B927*(1-'Disc Dep'!$C$112),2)</f>
        <v>0.82</v>
      </c>
      <c r="D927" s="248">
        <f>ROUND(C927*(1+'Adaos Distr'!$C$110),2)</f>
        <v>0.82</v>
      </c>
      <c r="E927" s="248">
        <f>ROUND(D927*(1+'Adaos RESELLER'!$C$110),2)</f>
        <v>0.82</v>
      </c>
      <c r="F927" s="248">
        <f>IF(Select!$E$23=1,C927,IF(Select!$E$23=2,D927,IF(Select!$E$23=3,E927)))</f>
        <v>0.82</v>
      </c>
    </row>
    <row r="928" spans="1:6">
      <c r="A928" t="s">
        <v>3169</v>
      </c>
      <c r="B928" s="249">
        <v>1.39</v>
      </c>
      <c r="C928" s="248">
        <f>ROUND(B928*(1-'Disc Dep'!$C$112),2)</f>
        <v>1.03</v>
      </c>
      <c r="D928" s="248">
        <f>ROUND(C928*(1+'Adaos Distr'!$C$110),2)</f>
        <v>1.03</v>
      </c>
      <c r="E928" s="248">
        <f>ROUND(D928*(1+'Adaos RESELLER'!$C$110),2)</f>
        <v>1.03</v>
      </c>
      <c r="F928" s="248">
        <f>IF(Select!$E$23=1,C928,IF(Select!$E$23=2,D928,IF(Select!$E$23=3,E928)))</f>
        <v>1.03</v>
      </c>
    </row>
    <row r="929" spans="1:6">
      <c r="A929" t="s">
        <v>3170</v>
      </c>
      <c r="B929" s="249">
        <v>1.45</v>
      </c>
      <c r="C929" s="248">
        <f>ROUND(B929*(1-'Disc Dep'!$C$112),2)</f>
        <v>1.07</v>
      </c>
      <c r="D929" s="248">
        <f>ROUND(C929*(1+'Adaos Distr'!$C$110),2)</f>
        <v>1.07</v>
      </c>
      <c r="E929" s="248">
        <f>ROUND(D929*(1+'Adaos RESELLER'!$C$110),2)</f>
        <v>1.07</v>
      </c>
      <c r="F929" s="248">
        <f>IF(Select!$E$23=1,C929,IF(Select!$E$23=2,D929,IF(Select!$E$23=3,E929)))</f>
        <v>1.07</v>
      </c>
    </row>
    <row r="930" spans="1:6">
      <c r="A930" t="s">
        <v>3171</v>
      </c>
      <c r="B930" s="249">
        <v>1.45</v>
      </c>
      <c r="C930" s="248">
        <f>ROUND(B930*(1-'Disc Dep'!$C$112),2)</f>
        <v>1.07</v>
      </c>
      <c r="D930" s="248">
        <f>ROUND(C930*(1+'Adaos Distr'!$C$110),2)</f>
        <v>1.07</v>
      </c>
      <c r="E930" s="248">
        <f>ROUND(D930*(1+'Adaos RESELLER'!$C$110),2)</f>
        <v>1.07</v>
      </c>
      <c r="F930" s="248">
        <f>IF(Select!$E$23=1,C930,IF(Select!$E$23=2,D930,IF(Select!$E$23=3,E930)))</f>
        <v>1.07</v>
      </c>
    </row>
    <row r="931" spans="1:6">
      <c r="A931" t="s">
        <v>3172</v>
      </c>
      <c r="B931" s="249">
        <v>1.7</v>
      </c>
      <c r="C931" s="248">
        <f>ROUND(B931*(1-'Disc Dep'!$C$112),2)</f>
        <v>1.26</v>
      </c>
      <c r="D931" s="248">
        <f>ROUND(C931*(1+'Adaos Distr'!$C$110),2)</f>
        <v>1.26</v>
      </c>
      <c r="E931" s="248">
        <f>ROUND(D931*(1+'Adaos RESELLER'!$C$110),2)</f>
        <v>1.26</v>
      </c>
      <c r="F931" s="248">
        <f>IF(Select!$E$23=1,C931,IF(Select!$E$23=2,D931,IF(Select!$E$23=3,E931)))</f>
        <v>1.26</v>
      </c>
    </row>
    <row r="932" spans="1:6">
      <c r="A932" t="s">
        <v>3173</v>
      </c>
      <c r="B932" s="249">
        <v>2.12</v>
      </c>
      <c r="C932" s="248">
        <f>ROUND(B932*(1-'Disc Dep'!$C$112),2)</f>
        <v>1.57</v>
      </c>
      <c r="D932" s="248">
        <f>ROUND(C932*(1+'Adaos Distr'!$C$110),2)</f>
        <v>1.57</v>
      </c>
      <c r="E932" s="248">
        <f>ROUND(D932*(1+'Adaos RESELLER'!$C$110),2)</f>
        <v>1.57</v>
      </c>
      <c r="F932" s="248">
        <f>IF(Select!$E$23=1,C932,IF(Select!$E$23=2,D932,IF(Select!$E$23=3,E932)))</f>
        <v>1.57</v>
      </c>
    </row>
    <row r="933" spans="1:6">
      <c r="A933" t="s">
        <v>3174</v>
      </c>
      <c r="B933" s="249">
        <v>2.13</v>
      </c>
      <c r="C933" s="248">
        <f>ROUND(B933*(1-'Disc Dep'!$C$112),2)</f>
        <v>1.58</v>
      </c>
      <c r="D933" s="248">
        <f>ROUND(C933*(1+'Adaos Distr'!$C$110),2)</f>
        <v>1.58</v>
      </c>
      <c r="E933" s="248">
        <f>ROUND(D933*(1+'Adaos RESELLER'!$C$110),2)</f>
        <v>1.58</v>
      </c>
      <c r="F933" s="248">
        <f>IF(Select!$E$23=1,C933,IF(Select!$E$23=2,D933,IF(Select!$E$23=3,E933)))</f>
        <v>1.58</v>
      </c>
    </row>
    <row r="934" spans="1:6">
      <c r="A934" s="77" t="s">
        <v>3206</v>
      </c>
      <c r="B934" s="249">
        <v>1.85</v>
      </c>
      <c r="C934" s="248">
        <f>ROUND(B934*(1-'Disc Dep'!$C$112),2)</f>
        <v>1.37</v>
      </c>
      <c r="D934" s="248">
        <f>ROUND(C934*(1+'Adaos Distr'!$C$110),2)</f>
        <v>1.37</v>
      </c>
      <c r="E934" s="248">
        <f>ROUND(D934*(1+'Adaos RESELLER'!$C$110),2)</f>
        <v>1.37</v>
      </c>
      <c r="F934" s="248">
        <f>IF(Select!$E$23=1,C934,IF(Select!$E$23=2,D934,IF(Select!$E$23=3,E934)))</f>
        <v>1.37</v>
      </c>
    </row>
    <row r="935" spans="1:6">
      <c r="A935" s="77" t="s">
        <v>3211</v>
      </c>
      <c r="B935" s="249">
        <v>2.2999999999999998</v>
      </c>
      <c r="C935" s="248">
        <f>ROUND(B935*(1-'Disc Dep'!$C$112),2)</f>
        <v>1.7</v>
      </c>
      <c r="D935" s="248">
        <f>ROUND(C935*(1+'Adaos Distr'!$C$110),2)</f>
        <v>1.7</v>
      </c>
      <c r="E935" s="248">
        <f>ROUND(D935*(1+'Adaos RESELLER'!$C$110),2)</f>
        <v>1.7</v>
      </c>
      <c r="F935" s="248">
        <f>IF(Select!$E$23=1,C935,IF(Select!$E$23=2,D935,IF(Select!$E$23=3,E935)))</f>
        <v>1.7</v>
      </c>
    </row>
    <row r="936" spans="1:6">
      <c r="A936" t="s">
        <v>3175</v>
      </c>
      <c r="B936" s="249">
        <v>2.02</v>
      </c>
      <c r="C936" s="248">
        <f>ROUND(B936*(1-'Disc Dep'!$C$112),2)</f>
        <v>1.49</v>
      </c>
      <c r="D936" s="248">
        <f>ROUND(C936*(1+'Adaos Distr'!$C$110),2)</f>
        <v>1.49</v>
      </c>
      <c r="E936" s="248">
        <f>ROUND(D936*(1+'Adaos RESELLER'!$C$110),2)</f>
        <v>1.49</v>
      </c>
      <c r="F936" s="248">
        <f>IF(Select!$E$23=1,C936,IF(Select!$E$23=2,D936,IF(Select!$E$23=3,E936)))</f>
        <v>1.49</v>
      </c>
    </row>
    <row r="937" spans="1:6">
      <c r="A937" t="s">
        <v>3176</v>
      </c>
      <c r="B937" s="249">
        <v>2.5</v>
      </c>
      <c r="C937" s="248">
        <f>ROUND(B937*(1-'Disc Dep'!$C$112),2)</f>
        <v>1.85</v>
      </c>
      <c r="D937" s="248">
        <f>ROUND(C937*(1+'Adaos Distr'!$C$110),2)</f>
        <v>1.85</v>
      </c>
      <c r="E937" s="248">
        <f>ROUND(D937*(1+'Adaos RESELLER'!$C$110),2)</f>
        <v>1.85</v>
      </c>
      <c r="F937" s="248">
        <f>IF(Select!$E$23=1,C937,IF(Select!$E$23=2,D937,IF(Select!$E$23=3,E937)))</f>
        <v>1.85</v>
      </c>
    </row>
    <row r="938" spans="1:6">
      <c r="C938" s="248">
        <f>ROUND(B938*(1-'Disc Dep'!$C$112),2)</f>
        <v>0</v>
      </c>
      <c r="D938" s="248">
        <f>ROUND(C938*(1+'Adaos Distr'!$C$110),2)</f>
        <v>0</v>
      </c>
      <c r="E938" s="248">
        <f>ROUND(D938*(1+'Adaos RESELLER'!$C$110),2)</f>
        <v>0</v>
      </c>
      <c r="F938" s="248">
        <f>IF(Select!$E$23=1,C938,IF(Select!$E$23=2,D938,IF(Select!$E$23=3,E938)))</f>
        <v>0</v>
      </c>
    </row>
    <row r="939" spans="1:6">
      <c r="A939" t="s">
        <v>3177</v>
      </c>
      <c r="B939" s="249">
        <v>0.81</v>
      </c>
      <c r="C939" s="248">
        <f>ROUND(B939*(1-'Disc Dep'!$C$112),2)</f>
        <v>0.6</v>
      </c>
      <c r="D939" s="248">
        <f>ROUND(C939*(1+'Adaos Distr'!$C$110),2)</f>
        <v>0.6</v>
      </c>
      <c r="E939" s="248">
        <f>ROUND(D939*(1+'Adaos RESELLER'!$C$110),2)</f>
        <v>0.6</v>
      </c>
      <c r="F939" s="248">
        <f>IF(Select!$E$23=1,C939,IF(Select!$E$23=2,D939,IF(Select!$E$23=3,E939)))</f>
        <v>0.6</v>
      </c>
    </row>
    <row r="940" spans="1:6">
      <c r="A940" t="s">
        <v>3178</v>
      </c>
      <c r="B940" s="249">
        <v>1.02</v>
      </c>
      <c r="C940" s="248">
        <f>ROUND(B940*(1-'Disc Dep'!$C$112),2)</f>
        <v>0.75</v>
      </c>
      <c r="D940" s="248">
        <f>ROUND(C940*(1+'Adaos Distr'!$C$110),2)</f>
        <v>0.75</v>
      </c>
      <c r="E940" s="248">
        <f>ROUND(D940*(1+'Adaos RESELLER'!$C$110),2)</f>
        <v>0.75</v>
      </c>
      <c r="F940" s="248">
        <f>IF(Select!$E$23=1,C940,IF(Select!$E$23=2,D940,IF(Select!$E$23=3,E940)))</f>
        <v>0.75</v>
      </c>
    </row>
    <row r="941" spans="1:6">
      <c r="A941" t="s">
        <v>3179</v>
      </c>
      <c r="B941" s="249">
        <v>1.1000000000000001</v>
      </c>
      <c r="C941" s="248">
        <f>ROUND(B941*(1-'Disc Dep'!$C$112),2)</f>
        <v>0.81</v>
      </c>
      <c r="D941" s="248">
        <f>ROUND(C941*(1+'Adaos Distr'!$C$110),2)</f>
        <v>0.81</v>
      </c>
      <c r="E941" s="248">
        <f>ROUND(D941*(1+'Adaos RESELLER'!$C$110),2)</f>
        <v>0.81</v>
      </c>
      <c r="F941" s="248">
        <f>IF(Select!$E$23=1,C941,IF(Select!$E$23=2,D941,IF(Select!$E$23=3,E941)))</f>
        <v>0.81</v>
      </c>
    </row>
    <row r="942" spans="1:6">
      <c r="A942" t="s">
        <v>3180</v>
      </c>
      <c r="B942" s="249">
        <v>1.1000000000000001</v>
      </c>
      <c r="C942" s="248">
        <f>ROUND(B942*(1-'Disc Dep'!$C$112),2)</f>
        <v>0.81</v>
      </c>
      <c r="D942" s="248">
        <f>ROUND(C942*(1+'Adaos Distr'!$C$110),2)</f>
        <v>0.81</v>
      </c>
      <c r="E942" s="248">
        <f>ROUND(D942*(1+'Adaos RESELLER'!$C$110),2)</f>
        <v>0.81</v>
      </c>
      <c r="F942" s="248">
        <f>IF(Select!$E$23=1,C942,IF(Select!$E$23=2,D942,IF(Select!$E$23=3,E942)))</f>
        <v>0.81</v>
      </c>
    </row>
    <row r="943" spans="1:6">
      <c r="A943" t="s">
        <v>3181</v>
      </c>
      <c r="B943" s="249">
        <v>1.3</v>
      </c>
      <c r="C943" s="248">
        <f>ROUND(B943*(1-'Disc Dep'!$C$112),2)</f>
        <v>0.96</v>
      </c>
      <c r="D943" s="248">
        <f>ROUND(C943*(1+'Adaos Distr'!$C$110),2)</f>
        <v>0.96</v>
      </c>
      <c r="E943" s="248">
        <f>ROUND(D943*(1+'Adaos RESELLER'!$C$110),2)</f>
        <v>0.96</v>
      </c>
      <c r="F943" s="248">
        <f>IF(Select!$E$23=1,C943,IF(Select!$E$23=2,D943,IF(Select!$E$23=3,E943)))</f>
        <v>0.96</v>
      </c>
    </row>
    <row r="944" spans="1:6">
      <c r="A944" t="s">
        <v>3182</v>
      </c>
      <c r="B944" s="249">
        <v>1.61</v>
      </c>
      <c r="C944" s="248">
        <f>ROUND(B944*(1-'Disc Dep'!$C$112),2)</f>
        <v>1.19</v>
      </c>
      <c r="D944" s="248">
        <f>ROUND(C944*(1+'Adaos Distr'!$C$110),2)</f>
        <v>1.19</v>
      </c>
      <c r="E944" s="248">
        <f>ROUND(D944*(1+'Adaos RESELLER'!$C$110),2)</f>
        <v>1.19</v>
      </c>
      <c r="F944" s="248">
        <f>IF(Select!$E$23=1,C944,IF(Select!$E$23=2,D944,IF(Select!$E$23=3,E944)))</f>
        <v>1.19</v>
      </c>
    </row>
    <row r="945" spans="1:6">
      <c r="A945" t="s">
        <v>3183</v>
      </c>
      <c r="B945" s="249">
        <v>1.63</v>
      </c>
      <c r="C945" s="248">
        <f>ROUND(B945*(1-'Disc Dep'!$C$112),2)</f>
        <v>1.21</v>
      </c>
      <c r="D945" s="248">
        <f>ROUND(C945*(1+'Adaos Distr'!$C$110),2)</f>
        <v>1.21</v>
      </c>
      <c r="E945" s="248">
        <f>ROUND(D945*(1+'Adaos RESELLER'!$C$110),2)</f>
        <v>1.21</v>
      </c>
      <c r="F945" s="248">
        <f>IF(Select!$E$23=1,C945,IF(Select!$E$23=2,D945,IF(Select!$E$23=3,E945)))</f>
        <v>1.21</v>
      </c>
    </row>
    <row r="946" spans="1:6">
      <c r="A946" s="77" t="s">
        <v>3207</v>
      </c>
      <c r="B946" s="249">
        <v>1.47</v>
      </c>
      <c r="C946" s="248">
        <f>ROUND(B946*(1-'Disc Dep'!$C$112),2)</f>
        <v>1.0900000000000001</v>
      </c>
      <c r="D946" s="248">
        <f>ROUND(C946*(1+'Adaos Distr'!$C$110),2)</f>
        <v>1.0900000000000001</v>
      </c>
      <c r="E946" s="248">
        <f>ROUND(D946*(1+'Adaos RESELLER'!$C$110),2)</f>
        <v>1.0900000000000001</v>
      </c>
      <c r="F946" s="248">
        <f>IF(Select!$E$23=1,C946,IF(Select!$E$23=2,D946,IF(Select!$E$23=3,E946)))</f>
        <v>1.0900000000000001</v>
      </c>
    </row>
    <row r="947" spans="1:6">
      <c r="A947" s="77" t="s">
        <v>3210</v>
      </c>
      <c r="B947" s="249">
        <v>1.62</v>
      </c>
      <c r="C947" s="248">
        <f>ROUND(B947*(1-'Disc Dep'!$C$112),2)</f>
        <v>1.2</v>
      </c>
      <c r="D947" s="248">
        <f>ROUND(C947*(1+'Adaos Distr'!$C$110),2)</f>
        <v>1.2</v>
      </c>
      <c r="E947" s="248">
        <f>ROUND(D947*(1+'Adaos RESELLER'!$C$110),2)</f>
        <v>1.2</v>
      </c>
      <c r="F947" s="248">
        <f>IF(Select!$E$23=1,C947,IF(Select!$E$23=2,D947,IF(Select!$E$23=3,E947)))</f>
        <v>1.2</v>
      </c>
    </row>
    <row r="948" spans="1:6">
      <c r="A948" t="s">
        <v>3184</v>
      </c>
      <c r="B948" s="249">
        <v>1.47</v>
      </c>
      <c r="C948" s="248">
        <f>ROUND(B948*(1-'Disc Dep'!$C$112),2)</f>
        <v>1.0900000000000001</v>
      </c>
      <c r="D948" s="248">
        <f>ROUND(C948*(1+'Adaos Distr'!$C$110),2)</f>
        <v>1.0900000000000001</v>
      </c>
      <c r="E948" s="248">
        <f>ROUND(D948*(1+'Adaos RESELLER'!$C$110),2)</f>
        <v>1.0900000000000001</v>
      </c>
      <c r="F948" s="248">
        <f>IF(Select!$E$23=1,C948,IF(Select!$E$23=2,D948,IF(Select!$E$23=3,E948)))</f>
        <v>1.0900000000000001</v>
      </c>
    </row>
    <row r="949" spans="1:6">
      <c r="A949" t="s">
        <v>3185</v>
      </c>
      <c r="B949" s="249">
        <v>1.76</v>
      </c>
      <c r="C949" s="248">
        <f>ROUND(B949*(1-'Disc Dep'!$C$112),2)</f>
        <v>1.3</v>
      </c>
      <c r="D949" s="248">
        <f>ROUND(C949*(1+'Adaos Distr'!$C$110),2)</f>
        <v>1.3</v>
      </c>
      <c r="E949" s="248">
        <f>ROUND(D949*(1+'Adaos RESELLER'!$C$110),2)</f>
        <v>1.3</v>
      </c>
      <c r="F949" s="248">
        <f>IF(Select!$E$23=1,C949,IF(Select!$E$23=2,D949,IF(Select!$E$23=3,E949)))</f>
        <v>1.3</v>
      </c>
    </row>
    <row r="950" spans="1:6">
      <c r="C950" s="248">
        <f>ROUND(B950*(1-'Disc Dep'!$C$112),2)</f>
        <v>0</v>
      </c>
      <c r="D950" s="248">
        <f>ROUND(C950*(1+'Adaos Distr'!$C$110),2)</f>
        <v>0</v>
      </c>
      <c r="E950" s="248">
        <f>ROUND(D950*(1+'Adaos RESELLER'!$C$110),2)</f>
        <v>0</v>
      </c>
      <c r="F950" s="248">
        <f>IF(Select!$E$23=1,C950,IF(Select!$E$23=2,D950,IF(Select!$E$23=3,E950)))</f>
        <v>0</v>
      </c>
    </row>
    <row r="951" spans="1:6">
      <c r="A951" t="s">
        <v>3186</v>
      </c>
      <c r="B951" s="249">
        <f>B939</f>
        <v>0.81</v>
      </c>
      <c r="C951" s="248">
        <f>ROUND(B951*(1-'Disc Dep'!$C$112),2)</f>
        <v>0.6</v>
      </c>
      <c r="D951" s="248">
        <f>ROUND(C951*(1+'Adaos Distr'!$C$110),2)</f>
        <v>0.6</v>
      </c>
      <c r="E951" s="248">
        <f>ROUND(D951*(1+'Adaos RESELLER'!$C$110),2)</f>
        <v>0.6</v>
      </c>
      <c r="F951" s="248">
        <f>IF(Select!$E$23=1,C951,IF(Select!$E$23=2,D951,IF(Select!$E$23=3,E951)))</f>
        <v>0.6</v>
      </c>
    </row>
    <row r="952" spans="1:6">
      <c r="A952" t="s">
        <v>3187</v>
      </c>
      <c r="B952" s="249">
        <f t="shared" ref="B952:B961" si="49">B940</f>
        <v>1.02</v>
      </c>
      <c r="C952" s="248">
        <f>ROUND(B952*(1-'Disc Dep'!$C$112),2)</f>
        <v>0.75</v>
      </c>
      <c r="D952" s="248">
        <f>ROUND(C952*(1+'Adaos Distr'!$C$110),2)</f>
        <v>0.75</v>
      </c>
      <c r="E952" s="248">
        <f>ROUND(D952*(1+'Adaos RESELLER'!$C$110),2)</f>
        <v>0.75</v>
      </c>
      <c r="F952" s="248">
        <f>IF(Select!$E$23=1,C952,IF(Select!$E$23=2,D952,IF(Select!$E$23=3,E952)))</f>
        <v>0.75</v>
      </c>
    </row>
    <row r="953" spans="1:6">
      <c r="A953" t="s">
        <v>3188</v>
      </c>
      <c r="B953" s="249">
        <f t="shared" si="49"/>
        <v>1.1000000000000001</v>
      </c>
      <c r="C953" s="248">
        <f>ROUND(B953*(1-'Disc Dep'!$C$112),2)</f>
        <v>0.81</v>
      </c>
      <c r="D953" s="248">
        <f>ROUND(C953*(1+'Adaos Distr'!$C$110),2)</f>
        <v>0.81</v>
      </c>
      <c r="E953" s="248">
        <f>ROUND(D953*(1+'Adaos RESELLER'!$C$110),2)</f>
        <v>0.81</v>
      </c>
      <c r="F953" s="248">
        <f>IF(Select!$E$23=1,C953,IF(Select!$E$23=2,D953,IF(Select!$E$23=3,E953)))</f>
        <v>0.81</v>
      </c>
    </row>
    <row r="954" spans="1:6">
      <c r="A954" t="s">
        <v>3189</v>
      </c>
      <c r="B954" s="249">
        <f t="shared" si="49"/>
        <v>1.1000000000000001</v>
      </c>
      <c r="C954" s="248">
        <f>ROUND(B954*(1-'Disc Dep'!$C$112),2)</f>
        <v>0.81</v>
      </c>
      <c r="D954" s="248">
        <f>ROUND(C954*(1+'Adaos Distr'!$C$110),2)</f>
        <v>0.81</v>
      </c>
      <c r="E954" s="248">
        <f>ROUND(D954*(1+'Adaos RESELLER'!$C$110),2)</f>
        <v>0.81</v>
      </c>
      <c r="F954" s="248">
        <f>IF(Select!$E$23=1,C954,IF(Select!$E$23=2,D954,IF(Select!$E$23=3,E954)))</f>
        <v>0.81</v>
      </c>
    </row>
    <row r="955" spans="1:6">
      <c r="A955" t="s">
        <v>3190</v>
      </c>
      <c r="B955" s="249">
        <f t="shared" si="49"/>
        <v>1.3</v>
      </c>
      <c r="C955" s="248">
        <f>ROUND(B955*(1-'Disc Dep'!$C$112),2)</f>
        <v>0.96</v>
      </c>
      <c r="D955" s="248">
        <f>ROUND(C955*(1+'Adaos Distr'!$C$110),2)</f>
        <v>0.96</v>
      </c>
      <c r="E955" s="248">
        <f>ROUND(D955*(1+'Adaos RESELLER'!$C$110),2)</f>
        <v>0.96</v>
      </c>
      <c r="F955" s="248">
        <f>IF(Select!$E$23=1,C955,IF(Select!$E$23=2,D955,IF(Select!$E$23=3,E955)))</f>
        <v>0.96</v>
      </c>
    </row>
    <row r="956" spans="1:6">
      <c r="A956" t="s">
        <v>3191</v>
      </c>
      <c r="B956" s="249">
        <f t="shared" si="49"/>
        <v>1.61</v>
      </c>
      <c r="C956" s="248">
        <f>ROUND(B956*(1-'Disc Dep'!$C$112),2)</f>
        <v>1.19</v>
      </c>
      <c r="D956" s="248">
        <f>ROUND(C956*(1+'Adaos Distr'!$C$110),2)</f>
        <v>1.19</v>
      </c>
      <c r="E956" s="248">
        <f>ROUND(D956*(1+'Adaos RESELLER'!$C$110),2)</f>
        <v>1.19</v>
      </c>
      <c r="F956" s="248">
        <f>IF(Select!$E$23=1,C956,IF(Select!$E$23=2,D956,IF(Select!$E$23=3,E956)))</f>
        <v>1.19</v>
      </c>
    </row>
    <row r="957" spans="1:6">
      <c r="A957" t="s">
        <v>3192</v>
      </c>
      <c r="B957" s="249">
        <f t="shared" si="49"/>
        <v>1.63</v>
      </c>
      <c r="C957" s="248">
        <f>ROUND(B957*(1-'Disc Dep'!$C$112),2)</f>
        <v>1.21</v>
      </c>
      <c r="D957" s="248">
        <f>ROUND(C957*(1+'Adaos Distr'!$C$110),2)</f>
        <v>1.21</v>
      </c>
      <c r="E957" s="248">
        <f>ROUND(D957*(1+'Adaos RESELLER'!$C$110),2)</f>
        <v>1.21</v>
      </c>
      <c r="F957" s="248">
        <f>IF(Select!$E$23=1,C957,IF(Select!$E$23=2,D957,IF(Select!$E$23=3,E957)))</f>
        <v>1.21</v>
      </c>
    </row>
    <row r="958" spans="1:6">
      <c r="A958" s="77" t="s">
        <v>3208</v>
      </c>
      <c r="B958" s="249">
        <f t="shared" si="49"/>
        <v>1.47</v>
      </c>
      <c r="C958" s="248">
        <f>ROUND(B958*(1-'Disc Dep'!$C$112),2)</f>
        <v>1.0900000000000001</v>
      </c>
      <c r="D958" s="248">
        <f>ROUND(C958*(1+'Adaos Distr'!$C$110),2)</f>
        <v>1.0900000000000001</v>
      </c>
      <c r="E958" s="248">
        <f>ROUND(D958*(1+'Adaos RESELLER'!$C$110),2)</f>
        <v>1.0900000000000001</v>
      </c>
      <c r="F958" s="248">
        <f>IF(Select!$E$23=1,C958,IF(Select!$E$23=2,D958,IF(Select!$E$23=3,E958)))</f>
        <v>1.0900000000000001</v>
      </c>
    </row>
    <row r="959" spans="1:6">
      <c r="A959" s="77" t="s">
        <v>3212</v>
      </c>
      <c r="B959" s="249">
        <f t="shared" si="49"/>
        <v>1.62</v>
      </c>
      <c r="C959" s="248">
        <f>ROUND(B959*(1-'Disc Dep'!$C$112),2)</f>
        <v>1.2</v>
      </c>
      <c r="D959" s="248">
        <f>ROUND(C959*(1+'Adaos Distr'!$C$110),2)</f>
        <v>1.2</v>
      </c>
      <c r="E959" s="248">
        <f>ROUND(D959*(1+'Adaos RESELLER'!$C$110),2)</f>
        <v>1.2</v>
      </c>
      <c r="F959" s="248">
        <f>IF(Select!$E$23=1,C959,IF(Select!$E$23=2,D959,IF(Select!$E$23=3,E959)))</f>
        <v>1.2</v>
      </c>
    </row>
    <row r="960" spans="1:6">
      <c r="A960" t="s">
        <v>3193</v>
      </c>
      <c r="B960" s="249">
        <f t="shared" si="49"/>
        <v>1.47</v>
      </c>
      <c r="C960" s="248">
        <f>ROUND(B960*(1-'Disc Dep'!$C$112),2)</f>
        <v>1.0900000000000001</v>
      </c>
      <c r="D960" s="248">
        <f>ROUND(C960*(1+'Adaos Distr'!$C$110),2)</f>
        <v>1.0900000000000001</v>
      </c>
      <c r="E960" s="248">
        <f>ROUND(D960*(1+'Adaos RESELLER'!$C$110),2)</f>
        <v>1.0900000000000001</v>
      </c>
      <c r="F960" s="248">
        <f>IF(Select!$E$23=1,C960,IF(Select!$E$23=2,D960,IF(Select!$E$23=3,E960)))</f>
        <v>1.0900000000000001</v>
      </c>
    </row>
    <row r="961" spans="1:6">
      <c r="A961" t="s">
        <v>3194</v>
      </c>
      <c r="B961" s="249">
        <f t="shared" si="49"/>
        <v>1.76</v>
      </c>
      <c r="C961" s="248">
        <f>ROUND(B961*(1-'Disc Dep'!$C$112),2)</f>
        <v>1.3</v>
      </c>
      <c r="D961" s="248">
        <f>ROUND(C961*(1+'Adaos Distr'!$C$110),2)</f>
        <v>1.3</v>
      </c>
      <c r="E961" s="248">
        <f>ROUND(D961*(1+'Adaos RESELLER'!$C$110),2)</f>
        <v>1.3</v>
      </c>
      <c r="F961" s="248">
        <f>IF(Select!$E$23=1,C961,IF(Select!$E$23=2,D961,IF(Select!$E$23=3,E961)))</f>
        <v>1.3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135"/>
  <sheetViews>
    <sheetView workbookViewId="0">
      <selection activeCell="F16" sqref="F16"/>
    </sheetView>
  </sheetViews>
  <sheetFormatPr defaultRowHeight="14.4"/>
  <cols>
    <col min="1" max="1" width="9.109375" style="5"/>
    <col min="3" max="3" width="9.109375" style="2"/>
    <col min="4" max="4" width="9.88671875" bestFit="1" customWidth="1"/>
    <col min="8" max="8" width="26.6640625" customWidth="1"/>
    <col min="9" max="9" width="21" customWidth="1"/>
    <col min="10" max="10" width="3.33203125" customWidth="1"/>
    <col min="13" max="13" width="13.33203125" customWidth="1"/>
    <col min="14" max="14" width="14" customWidth="1"/>
  </cols>
  <sheetData>
    <row r="1" spans="1:14">
      <c r="A1" s="899" t="s">
        <v>429</v>
      </c>
      <c r="B1" s="899"/>
      <c r="C1" s="899"/>
      <c r="D1" s="899"/>
      <c r="E1" s="899"/>
      <c r="H1" s="899" t="s">
        <v>278</v>
      </c>
      <c r="I1" s="899"/>
      <c r="J1" s="899"/>
      <c r="K1" s="899"/>
    </row>
    <row r="2" spans="1:14" ht="15" thickBot="1">
      <c r="A2" s="899"/>
      <c r="B2" s="899"/>
      <c r="C2" s="899"/>
      <c r="D2" s="899"/>
      <c r="E2" s="899"/>
      <c r="H2" s="900"/>
      <c r="I2" s="900"/>
      <c r="J2" s="900"/>
      <c r="K2" s="900"/>
    </row>
    <row r="3" spans="1:14" ht="15" thickBot="1">
      <c r="A3" s="327" t="s">
        <v>154</v>
      </c>
      <c r="B3" s="328"/>
      <c r="C3" s="329"/>
      <c r="D3" s="330"/>
      <c r="E3" s="326">
        <v>0.26</v>
      </c>
      <c r="H3" s="901" t="s">
        <v>332</v>
      </c>
      <c r="I3" s="25" t="str">
        <f>Select!E199</f>
        <v xml:space="preserve"> </v>
      </c>
      <c r="J3" s="26">
        <f>IF(K3&lt;0,(K3*(-1)),K3)</f>
        <v>0.26</v>
      </c>
      <c r="K3" s="27">
        <v>0.26</v>
      </c>
    </row>
    <row r="4" spans="1:14" ht="15" thickBot="1">
      <c r="A4" s="327" t="s">
        <v>2205</v>
      </c>
      <c r="B4" s="328"/>
      <c r="C4" s="329"/>
      <c r="D4" s="330"/>
      <c r="E4" s="331">
        <v>0.26</v>
      </c>
      <c r="H4" s="902"/>
      <c r="I4" s="25" t="str">
        <f>Select!E200</f>
        <v xml:space="preserve"> </v>
      </c>
      <c r="J4" s="26">
        <f t="shared" ref="J4:J57" si="0">IF(K4&lt;0,(K4*(-1)),K4)</f>
        <v>0.26</v>
      </c>
      <c r="K4" s="27">
        <v>0.26</v>
      </c>
    </row>
    <row r="5" spans="1:14" ht="15" thickBot="1">
      <c r="A5" s="327" t="s">
        <v>2229</v>
      </c>
      <c r="B5" s="328"/>
      <c r="C5" s="329"/>
      <c r="D5" s="330"/>
      <c r="E5" s="331">
        <v>0.26</v>
      </c>
      <c r="H5" s="902"/>
      <c r="I5" s="25" t="str">
        <f>Select!E201</f>
        <v xml:space="preserve"> </v>
      </c>
      <c r="J5" s="26">
        <f t="shared" si="0"/>
        <v>0.26</v>
      </c>
      <c r="K5" s="27">
        <v>0.26</v>
      </c>
      <c r="M5" s="12">
        <f>IF(M112&lt;0,(M112*(-1)),M112)</f>
        <v>0.26</v>
      </c>
      <c r="N5" s="12">
        <f>IF(N112&lt;0,(N112*(-1)),N112)</f>
        <v>0.26</v>
      </c>
    </row>
    <row r="6" spans="1:14" ht="15" thickBot="1">
      <c r="A6" s="327" t="s">
        <v>553</v>
      </c>
      <c r="B6" s="328"/>
      <c r="C6" s="329"/>
      <c r="D6" s="330"/>
      <c r="E6" s="331">
        <v>0.26</v>
      </c>
      <c r="H6" s="902"/>
      <c r="I6" s="25" t="str">
        <f>Select!E202</f>
        <v xml:space="preserve"> </v>
      </c>
      <c r="J6" s="26">
        <f t="shared" si="0"/>
        <v>0.26</v>
      </c>
      <c r="K6" s="27">
        <v>0.26</v>
      </c>
    </row>
    <row r="7" spans="1:14" ht="15" thickBot="1">
      <c r="A7" s="327" t="s">
        <v>171</v>
      </c>
      <c r="B7" s="328"/>
      <c r="C7" s="329"/>
      <c r="D7" s="330"/>
      <c r="E7" s="331">
        <v>0.26</v>
      </c>
      <c r="H7" s="902"/>
      <c r="I7" s="25" t="str">
        <f>Select!E203</f>
        <v xml:space="preserve"> </v>
      </c>
      <c r="J7" s="26">
        <f t="shared" si="0"/>
        <v>0.26</v>
      </c>
      <c r="K7" s="27">
        <v>0.26</v>
      </c>
    </row>
    <row r="8" spans="1:14" ht="15" thickBot="1">
      <c r="A8" s="327" t="s">
        <v>554</v>
      </c>
      <c r="B8" s="328"/>
      <c r="C8" s="329"/>
      <c r="D8" s="330"/>
      <c r="E8" s="331">
        <v>0.26</v>
      </c>
      <c r="H8" s="902"/>
      <c r="I8" s="25" t="str">
        <f>Select!E204</f>
        <v xml:space="preserve"> </v>
      </c>
      <c r="J8" s="26">
        <f t="shared" si="0"/>
        <v>0.26</v>
      </c>
      <c r="K8" s="27">
        <v>0.26</v>
      </c>
    </row>
    <row r="9" spans="1:14" ht="15" thickBot="1">
      <c r="A9" s="327" t="s">
        <v>555</v>
      </c>
      <c r="B9" s="328"/>
      <c r="C9" s="329"/>
      <c r="D9" s="330"/>
      <c r="E9" s="331">
        <v>0.26</v>
      </c>
      <c r="H9" s="902"/>
      <c r="I9" s="25" t="str">
        <f>Select!E205</f>
        <v>MAT 0.5</v>
      </c>
      <c r="J9" s="26">
        <f t="shared" si="0"/>
        <v>0.26</v>
      </c>
      <c r="K9" s="27">
        <v>0.26</v>
      </c>
    </row>
    <row r="10" spans="1:14" ht="15" thickBot="1">
      <c r="A10" s="449" t="s">
        <v>68</v>
      </c>
      <c r="B10" s="450"/>
      <c r="C10" s="451"/>
      <c r="D10" s="452"/>
      <c r="E10" s="453">
        <v>0.26</v>
      </c>
      <c r="H10" s="902"/>
      <c r="I10" s="25" t="str">
        <f>Select!E206</f>
        <v>SUPREM 50 0.5</v>
      </c>
      <c r="J10" s="26">
        <f t="shared" si="0"/>
        <v>0.26</v>
      </c>
      <c r="K10" s="27">
        <v>0.26</v>
      </c>
    </row>
    <row r="11" spans="1:14" ht="15" thickBot="1">
      <c r="A11" s="454" t="s">
        <v>91</v>
      </c>
      <c r="B11" s="455"/>
      <c r="C11" s="456"/>
      <c r="D11" s="457"/>
      <c r="E11" s="458">
        <v>0.2</v>
      </c>
      <c r="H11" s="903"/>
      <c r="I11" s="25" t="str">
        <f>Select!E207</f>
        <v>NEOMAT 30 0.5</v>
      </c>
      <c r="J11" s="26">
        <f t="shared" si="0"/>
        <v>0.26</v>
      </c>
      <c r="K11" s="27">
        <v>0.26</v>
      </c>
    </row>
    <row r="12" spans="1:14" ht="15" thickBot="1">
      <c r="A12" s="459" t="s">
        <v>556</v>
      </c>
      <c r="B12" s="333"/>
      <c r="C12" s="334"/>
      <c r="D12" s="335"/>
      <c r="E12" s="460">
        <v>0.2</v>
      </c>
      <c r="H12" s="901" t="s">
        <v>0</v>
      </c>
      <c r="I12" s="25" t="str">
        <f>Select!G199</f>
        <v xml:space="preserve"> </v>
      </c>
      <c r="J12" s="28">
        <f t="shared" si="0"/>
        <v>0.26</v>
      </c>
      <c r="K12" s="27">
        <v>0.26</v>
      </c>
    </row>
    <row r="13" spans="1:14" ht="15" thickBot="1">
      <c r="A13" s="461" t="s">
        <v>339</v>
      </c>
      <c r="B13" s="328"/>
      <c r="C13" s="329"/>
      <c r="D13" s="330"/>
      <c r="E13" s="462">
        <v>0.2</v>
      </c>
      <c r="H13" s="902"/>
      <c r="I13" s="25" t="str">
        <f>Select!G200</f>
        <v xml:space="preserve"> </v>
      </c>
      <c r="J13" s="28">
        <f t="shared" si="0"/>
        <v>0.26</v>
      </c>
      <c r="K13" s="27">
        <v>0.26</v>
      </c>
    </row>
    <row r="14" spans="1:14" ht="15" thickBot="1">
      <c r="A14" s="463" t="s">
        <v>129</v>
      </c>
      <c r="B14" s="464"/>
      <c r="C14" s="465"/>
      <c r="D14" s="466"/>
      <c r="E14" s="467">
        <v>0.2</v>
      </c>
      <c r="H14" s="902"/>
      <c r="I14" s="25" t="str">
        <f>Select!G201</f>
        <v>LUCIOS 0.45</v>
      </c>
      <c r="J14" s="28">
        <f t="shared" si="0"/>
        <v>0.26</v>
      </c>
      <c r="K14" s="27">
        <v>0.26</v>
      </c>
    </row>
    <row r="15" spans="1:14" ht="15" thickBot="1">
      <c r="A15" s="501" t="s">
        <v>2206</v>
      </c>
      <c r="B15" s="455"/>
      <c r="C15" s="456"/>
      <c r="D15" s="457"/>
      <c r="E15" s="458">
        <v>0.26</v>
      </c>
      <c r="H15" s="902"/>
      <c r="I15" s="25" t="str">
        <f>Select!G202</f>
        <v>LUCIOS 0.5</v>
      </c>
      <c r="J15" s="28">
        <f t="shared" si="0"/>
        <v>0.26</v>
      </c>
      <c r="K15" s="27">
        <v>0.26</v>
      </c>
    </row>
    <row r="16" spans="1:14" s="1" customFormat="1" ht="15" thickBot="1">
      <c r="A16" s="332" t="s">
        <v>2208</v>
      </c>
      <c r="B16" s="333"/>
      <c r="C16" s="334"/>
      <c r="D16" s="335"/>
      <c r="E16" s="336">
        <v>0.26</v>
      </c>
      <c r="H16" s="902"/>
      <c r="I16" s="25" t="str">
        <f>Select!G203</f>
        <v xml:space="preserve"> </v>
      </c>
      <c r="J16" s="28">
        <f t="shared" si="0"/>
        <v>0.26</v>
      </c>
      <c r="K16" s="27">
        <v>0.26</v>
      </c>
    </row>
    <row r="17" spans="1:11" s="1" customFormat="1" ht="15" thickBot="1">
      <c r="A17" s="327" t="s">
        <v>557</v>
      </c>
      <c r="B17" s="328"/>
      <c r="C17" s="329"/>
      <c r="D17" s="330"/>
      <c r="E17" s="331">
        <v>0.26</v>
      </c>
      <c r="H17" s="902"/>
      <c r="I17" s="25" t="str">
        <f>Select!G204</f>
        <v>MAT 0.45</v>
      </c>
      <c r="J17" s="28">
        <f t="shared" si="0"/>
        <v>0.26</v>
      </c>
      <c r="K17" s="27">
        <v>0.26</v>
      </c>
    </row>
    <row r="18" spans="1:11" ht="15" thickBot="1">
      <c r="A18" s="327" t="s">
        <v>558</v>
      </c>
      <c r="B18" s="328"/>
      <c r="C18" s="329"/>
      <c r="D18" s="330"/>
      <c r="E18" s="331">
        <v>0.26</v>
      </c>
      <c r="H18" s="902"/>
      <c r="I18" s="25" t="str">
        <f>Select!G205</f>
        <v>MAT 0.5</v>
      </c>
      <c r="J18" s="28">
        <f t="shared" si="0"/>
        <v>0.26</v>
      </c>
      <c r="K18" s="27">
        <v>0.26</v>
      </c>
    </row>
    <row r="19" spans="1:11" ht="15" thickBot="1">
      <c r="A19" s="469" t="s">
        <v>1717</v>
      </c>
      <c r="B19" s="470"/>
      <c r="C19" s="470"/>
      <c r="D19" s="470"/>
      <c r="E19" s="331">
        <v>0.26</v>
      </c>
      <c r="H19" s="902"/>
      <c r="I19" s="25" t="str">
        <f>Select!G206</f>
        <v>SUPREM 50 0.5</v>
      </c>
      <c r="J19" s="28">
        <f t="shared" si="0"/>
        <v>0.26</v>
      </c>
      <c r="K19" s="27">
        <v>0.26</v>
      </c>
    </row>
    <row r="20" spans="1:11" ht="15" thickBot="1">
      <c r="H20" s="903"/>
      <c r="I20" s="25" t="str">
        <f>Select!G207</f>
        <v>NEOMAT 30 0.5</v>
      </c>
      <c r="J20" s="28">
        <f t="shared" si="0"/>
        <v>0.26</v>
      </c>
      <c r="K20" s="27">
        <v>0.26</v>
      </c>
    </row>
    <row r="21" spans="1:11" s="77" customFormat="1" ht="15" thickBot="1">
      <c r="A21" s="5"/>
      <c r="C21" s="2"/>
      <c r="H21" s="901" t="s">
        <v>2245</v>
      </c>
      <c r="I21" s="25" t="s">
        <v>36</v>
      </c>
      <c r="J21" s="28">
        <f t="shared" si="0"/>
        <v>0.26</v>
      </c>
      <c r="K21" s="27">
        <v>0.26</v>
      </c>
    </row>
    <row r="22" spans="1:11" s="77" customFormat="1" ht="15" thickBot="1">
      <c r="A22" s="5"/>
      <c r="C22" s="2"/>
      <c r="H22" s="902"/>
      <c r="I22" s="25" t="s">
        <v>36</v>
      </c>
      <c r="J22" s="28">
        <f t="shared" si="0"/>
        <v>0.26</v>
      </c>
      <c r="K22" s="27">
        <v>0.26</v>
      </c>
    </row>
    <row r="23" spans="1:11" s="77" customFormat="1" ht="15" thickBot="1">
      <c r="A23" s="5"/>
      <c r="C23" s="2"/>
      <c r="H23" s="902"/>
      <c r="I23" s="25" t="s">
        <v>36</v>
      </c>
      <c r="J23" s="28">
        <f t="shared" si="0"/>
        <v>0.26</v>
      </c>
      <c r="K23" s="27">
        <v>0.26</v>
      </c>
    </row>
    <row r="24" spans="1:11" s="77" customFormat="1" ht="15" thickBot="1">
      <c r="A24" s="5"/>
      <c r="C24" s="2"/>
      <c r="H24" s="902"/>
      <c r="I24" s="25" t="s">
        <v>369</v>
      </c>
      <c r="J24" s="28">
        <f t="shared" si="0"/>
        <v>0.26</v>
      </c>
      <c r="K24" s="27">
        <v>0.26</v>
      </c>
    </row>
    <row r="25" spans="1:11" s="77" customFormat="1" ht="15" thickBot="1">
      <c r="A25" s="5"/>
      <c r="C25" s="2"/>
      <c r="H25" s="902"/>
      <c r="I25" s="25" t="s">
        <v>36</v>
      </c>
      <c r="J25" s="28">
        <f t="shared" si="0"/>
        <v>0.26</v>
      </c>
      <c r="K25" s="27">
        <v>0.26</v>
      </c>
    </row>
    <row r="26" spans="1:11" s="77" customFormat="1" ht="15" thickBot="1">
      <c r="A26" s="5"/>
      <c r="C26" s="2"/>
      <c r="H26" s="902"/>
      <c r="I26" s="25" t="s">
        <v>371</v>
      </c>
      <c r="J26" s="28">
        <f t="shared" si="0"/>
        <v>0.26</v>
      </c>
      <c r="K26" s="27">
        <v>0.26</v>
      </c>
    </row>
    <row r="27" spans="1:11" s="77" customFormat="1" ht="15" thickBot="1">
      <c r="A27" s="5"/>
      <c r="C27" s="2"/>
      <c r="H27" s="902"/>
      <c r="I27" s="25" t="s">
        <v>372</v>
      </c>
      <c r="J27" s="28">
        <f t="shared" si="0"/>
        <v>0.26</v>
      </c>
      <c r="K27" s="27">
        <v>0.26</v>
      </c>
    </row>
    <row r="28" spans="1:11" s="77" customFormat="1" ht="15" thickBot="1">
      <c r="A28" s="5"/>
      <c r="C28" s="2"/>
      <c r="H28" s="902"/>
      <c r="I28" s="25" t="s">
        <v>373</v>
      </c>
      <c r="J28" s="28">
        <f t="shared" si="0"/>
        <v>0.26</v>
      </c>
      <c r="K28" s="27">
        <v>0.26</v>
      </c>
    </row>
    <row r="29" spans="1:11" s="77" customFormat="1" ht="15" thickBot="1">
      <c r="A29" s="5"/>
      <c r="C29" s="2"/>
      <c r="H29" s="903"/>
      <c r="I29" s="25" t="s">
        <v>374</v>
      </c>
      <c r="J29" s="28">
        <f t="shared" si="0"/>
        <v>0.26</v>
      </c>
      <c r="K29" s="27">
        <v>0.26</v>
      </c>
    </row>
    <row r="30" spans="1:11" ht="15" thickBot="1">
      <c r="H30" s="901" t="s">
        <v>375</v>
      </c>
      <c r="I30" s="25" t="str">
        <f>Select!I199</f>
        <v xml:space="preserve"> </v>
      </c>
      <c r="J30" s="28">
        <f t="shared" si="0"/>
        <v>0.26</v>
      </c>
      <c r="K30" s="27">
        <v>0.26</v>
      </c>
    </row>
    <row r="31" spans="1:11" ht="15" thickBot="1">
      <c r="H31" s="902"/>
      <c r="I31" s="25" t="str">
        <f>Select!I200</f>
        <v xml:space="preserve"> </v>
      </c>
      <c r="J31" s="28">
        <f t="shared" si="0"/>
        <v>0.26</v>
      </c>
      <c r="K31" s="27">
        <v>0.26</v>
      </c>
    </row>
    <row r="32" spans="1:11" ht="15" thickBot="1">
      <c r="A32" s="129"/>
      <c r="B32" s="42"/>
      <c r="C32" s="43"/>
      <c r="D32" s="44"/>
      <c r="H32" s="902"/>
      <c r="I32" s="25" t="str">
        <f>Select!I201</f>
        <v xml:space="preserve"> </v>
      </c>
      <c r="J32" s="28">
        <f t="shared" si="0"/>
        <v>0.26</v>
      </c>
      <c r="K32" s="27">
        <v>0.26</v>
      </c>
    </row>
    <row r="33" spans="1:11" ht="15" thickBot="1">
      <c r="H33" s="902"/>
      <c r="I33" s="25" t="str">
        <f>Select!I202</f>
        <v>LUCIOS 0.5</v>
      </c>
      <c r="J33" s="28">
        <f t="shared" si="0"/>
        <v>0.26</v>
      </c>
      <c r="K33" s="27">
        <v>0.26</v>
      </c>
    </row>
    <row r="34" spans="1:11" ht="15" thickBot="1">
      <c r="H34" s="902"/>
      <c r="I34" s="25" t="str">
        <f>Select!I203</f>
        <v xml:space="preserve"> </v>
      </c>
      <c r="J34" s="28">
        <f t="shared" si="0"/>
        <v>0.26</v>
      </c>
      <c r="K34" s="27">
        <v>0.26</v>
      </c>
    </row>
    <row r="35" spans="1:11" ht="15" thickBot="1">
      <c r="H35" s="902"/>
      <c r="I35" s="25" t="str">
        <f>Select!I204</f>
        <v>MAT 0.45</v>
      </c>
      <c r="J35" s="28">
        <f t="shared" si="0"/>
        <v>0.26</v>
      </c>
      <c r="K35" s="27">
        <v>0.26</v>
      </c>
    </row>
    <row r="36" spans="1:11" s="1" customFormat="1" ht="15" thickBot="1">
      <c r="A36" s="5"/>
      <c r="B36"/>
      <c r="C36" s="2"/>
      <c r="D36"/>
      <c r="E36"/>
      <c r="H36" s="902"/>
      <c r="I36" s="25" t="str">
        <f>Select!I205</f>
        <v>MAT 0.5</v>
      </c>
      <c r="J36" s="28">
        <f t="shared" si="0"/>
        <v>0.26</v>
      </c>
      <c r="K36" s="27">
        <v>0.26</v>
      </c>
    </row>
    <row r="37" spans="1:11" ht="15" thickBot="1">
      <c r="B37" s="1"/>
      <c r="D37" s="1"/>
      <c r="E37" s="1"/>
      <c r="H37" s="902"/>
      <c r="I37" s="25" t="str">
        <f>Select!I206</f>
        <v>SUPREM 50 0.5</v>
      </c>
      <c r="J37" s="28">
        <f t="shared" si="0"/>
        <v>0.26</v>
      </c>
      <c r="K37" s="27">
        <v>0.26</v>
      </c>
    </row>
    <row r="38" spans="1:11" ht="15" thickBot="1">
      <c r="H38" s="903"/>
      <c r="I38" s="25" t="str">
        <f>Select!I207</f>
        <v>NEOMAT 30 0.5</v>
      </c>
      <c r="J38" s="28">
        <f t="shared" si="0"/>
        <v>0.26</v>
      </c>
      <c r="K38" s="27">
        <v>0.26</v>
      </c>
    </row>
    <row r="39" spans="1:11" ht="15" thickBot="1">
      <c r="H39" s="901" t="s">
        <v>333</v>
      </c>
      <c r="I39" s="25" t="str">
        <f>Select!K199</f>
        <v xml:space="preserve"> </v>
      </c>
      <c r="J39" s="28">
        <f t="shared" si="0"/>
        <v>0.26</v>
      </c>
      <c r="K39" s="27">
        <v>0.26</v>
      </c>
    </row>
    <row r="40" spans="1:11" ht="15" thickBot="1">
      <c r="H40" s="902"/>
      <c r="I40" s="25" t="str">
        <f>Select!K200</f>
        <v xml:space="preserve"> </v>
      </c>
      <c r="J40" s="28">
        <f t="shared" si="0"/>
        <v>0.26</v>
      </c>
      <c r="K40" s="27">
        <v>0.26</v>
      </c>
    </row>
    <row r="41" spans="1:11" ht="15" thickBot="1">
      <c r="H41" s="902"/>
      <c r="I41" s="25" t="str">
        <f>Select!K201</f>
        <v xml:space="preserve"> </v>
      </c>
      <c r="J41" s="28">
        <f t="shared" si="0"/>
        <v>0.26</v>
      </c>
      <c r="K41" s="27">
        <v>0.26</v>
      </c>
    </row>
    <row r="42" spans="1:11" s="1" customFormat="1" ht="15" thickBot="1">
      <c r="A42" s="5"/>
      <c r="B42"/>
      <c r="C42" s="2"/>
      <c r="D42"/>
      <c r="E42"/>
      <c r="H42" s="902"/>
      <c r="I42" s="25" t="str">
        <f>Select!K202</f>
        <v>LUCIOS 0.5</v>
      </c>
      <c r="J42" s="28">
        <f t="shared" si="0"/>
        <v>0.26</v>
      </c>
      <c r="K42" s="27">
        <v>0.26</v>
      </c>
    </row>
    <row r="43" spans="1:11" ht="15" thickBot="1">
      <c r="B43" s="1"/>
      <c r="D43" s="1"/>
      <c r="E43" s="1"/>
      <c r="H43" s="902"/>
      <c r="I43" s="25" t="str">
        <f>Select!K203</f>
        <v xml:space="preserve"> </v>
      </c>
      <c r="J43" s="28">
        <f t="shared" si="0"/>
        <v>0.26</v>
      </c>
      <c r="K43" s="27">
        <v>0.26</v>
      </c>
    </row>
    <row r="44" spans="1:11" ht="15" thickBot="1">
      <c r="H44" s="902"/>
      <c r="I44" s="25" t="str">
        <f>Select!K204</f>
        <v>MAT 0.45</v>
      </c>
      <c r="J44" s="28">
        <f t="shared" si="0"/>
        <v>0.26</v>
      </c>
      <c r="K44" s="27">
        <v>0.26</v>
      </c>
    </row>
    <row r="45" spans="1:11" ht="15" thickBot="1">
      <c r="H45" s="902"/>
      <c r="I45" s="25" t="str">
        <f>Select!K205</f>
        <v>MAT 0.5</v>
      </c>
      <c r="J45" s="28">
        <f t="shared" si="0"/>
        <v>0.26</v>
      </c>
      <c r="K45" s="27">
        <v>0.26</v>
      </c>
    </row>
    <row r="46" spans="1:11" ht="15" thickBot="1">
      <c r="H46" s="902"/>
      <c r="I46" s="25" t="str">
        <f>Select!K206</f>
        <v>SUPREM 50 0.5</v>
      </c>
      <c r="J46" s="28">
        <f t="shared" si="0"/>
        <v>0.26</v>
      </c>
      <c r="K46" s="27">
        <v>0.26</v>
      </c>
    </row>
    <row r="47" spans="1:11" ht="15" thickBot="1">
      <c r="H47" s="903"/>
      <c r="I47" s="25" t="str">
        <f>Select!K207</f>
        <v>NEOMAT 30 0.5</v>
      </c>
      <c r="J47" s="28">
        <f t="shared" si="0"/>
        <v>0.26</v>
      </c>
      <c r="K47" s="27">
        <v>0.26</v>
      </c>
    </row>
    <row r="48" spans="1:11" ht="15" thickBot="1">
      <c r="H48" s="901" t="s">
        <v>1</v>
      </c>
      <c r="I48" s="25" t="str">
        <f>Select!M199</f>
        <v>LUCIOS 0.35</v>
      </c>
      <c r="J48" s="28">
        <f t="shared" si="0"/>
        <v>0.26</v>
      </c>
      <c r="K48" s="27">
        <v>0.26</v>
      </c>
    </row>
    <row r="49" spans="1:11" ht="15" thickBot="1">
      <c r="H49" s="902"/>
      <c r="I49" s="25" t="str">
        <f>Select!M200</f>
        <v>LUCIOS 0.4</v>
      </c>
      <c r="J49" s="28">
        <f t="shared" si="0"/>
        <v>0.26</v>
      </c>
      <c r="K49" s="27">
        <v>0.26</v>
      </c>
    </row>
    <row r="50" spans="1:11" ht="15" thickBot="1">
      <c r="H50" s="902"/>
      <c r="I50" s="25" t="str">
        <f>Select!M201</f>
        <v>LUCIOS 0.45</v>
      </c>
      <c r="J50" s="28">
        <f t="shared" si="0"/>
        <v>0.26</v>
      </c>
      <c r="K50" s="27">
        <v>0.26</v>
      </c>
    </row>
    <row r="51" spans="1:11" s="1" customFormat="1" ht="15" thickBot="1">
      <c r="A51" s="5"/>
      <c r="B51"/>
      <c r="C51" s="2"/>
      <c r="D51"/>
      <c r="E51"/>
      <c r="H51" s="902"/>
      <c r="I51" s="25" t="str">
        <f>Select!M202</f>
        <v>LUCIOS 0.5</v>
      </c>
      <c r="J51" s="28">
        <f t="shared" si="0"/>
        <v>0.26</v>
      </c>
      <c r="K51" s="27">
        <v>0.26</v>
      </c>
    </row>
    <row r="52" spans="1:11" ht="15" thickBot="1">
      <c r="B52" s="1"/>
      <c r="D52" s="1"/>
      <c r="E52" s="1"/>
      <c r="H52" s="902"/>
      <c r="I52" s="25" t="str">
        <f>Select!M203</f>
        <v>MAT 0.4</v>
      </c>
      <c r="J52" s="28">
        <f t="shared" si="0"/>
        <v>0.26</v>
      </c>
      <c r="K52" s="27">
        <v>0.26</v>
      </c>
    </row>
    <row r="53" spans="1:11" ht="15" thickBot="1">
      <c r="H53" s="902"/>
      <c r="I53" s="25" t="str">
        <f>Select!M204</f>
        <v>MAT 0.45</v>
      </c>
      <c r="J53" s="28">
        <f t="shared" si="0"/>
        <v>0.26</v>
      </c>
      <c r="K53" s="27">
        <v>0.26</v>
      </c>
    </row>
    <row r="54" spans="1:11" ht="15" thickBot="1">
      <c r="H54" s="902"/>
      <c r="I54" s="25" t="str">
        <f>Select!M205</f>
        <v>MAT 0.5</v>
      </c>
      <c r="J54" s="28">
        <f t="shared" si="0"/>
        <v>0.26</v>
      </c>
      <c r="K54" s="27">
        <v>0.26</v>
      </c>
    </row>
    <row r="55" spans="1:11" ht="15" thickBot="1">
      <c r="H55" s="902"/>
      <c r="I55" s="25" t="str">
        <f>Select!M206</f>
        <v>SUPREM 50 0.5</v>
      </c>
      <c r="J55" s="28">
        <f t="shared" si="0"/>
        <v>0.26</v>
      </c>
      <c r="K55" s="27">
        <v>0.26</v>
      </c>
    </row>
    <row r="56" spans="1:11" ht="15" thickBot="1">
      <c r="H56" s="903"/>
      <c r="I56" s="25" t="str">
        <f>Select!M207</f>
        <v>NEOMAT 30 0.5</v>
      </c>
      <c r="J56" s="28">
        <f t="shared" si="0"/>
        <v>0.26</v>
      </c>
      <c r="K56" s="27">
        <v>0.26</v>
      </c>
    </row>
    <row r="57" spans="1:11" ht="15" thickBot="1">
      <c r="H57" s="343" t="s">
        <v>1668</v>
      </c>
      <c r="I57" s="25" t="str">
        <f>I54</f>
        <v>MAT 0.5</v>
      </c>
      <c r="J57" s="28">
        <f t="shared" si="0"/>
        <v>0.26</v>
      </c>
      <c r="K57" s="27">
        <v>0.26</v>
      </c>
    </row>
    <row r="98" spans="1:18">
      <c r="F98" s="112"/>
      <c r="G98" s="112"/>
      <c r="H98" s="112"/>
      <c r="I98" s="112"/>
      <c r="J98" s="112"/>
      <c r="K98" s="112"/>
      <c r="L98" s="112"/>
      <c r="M98" s="112"/>
      <c r="N98" s="112"/>
      <c r="O98" s="112"/>
      <c r="P98" s="112"/>
      <c r="Q98" s="112"/>
      <c r="R98" s="112"/>
    </row>
    <row r="99" spans="1:18">
      <c r="A99" s="130"/>
      <c r="B99" s="112"/>
      <c r="C99" s="115"/>
      <c r="D99" s="112"/>
      <c r="E99" s="112"/>
      <c r="F99" s="112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112"/>
      <c r="R99" s="112"/>
    </row>
    <row r="100" spans="1:18">
      <c r="A100" s="130"/>
      <c r="B100" s="112"/>
      <c r="C100" s="115"/>
      <c r="D100" s="112"/>
      <c r="E100" s="112"/>
      <c r="F100" s="112"/>
      <c r="G100" s="112"/>
      <c r="H100" s="112"/>
      <c r="I100" s="112"/>
      <c r="J100" s="112"/>
      <c r="K100" s="112"/>
      <c r="L100" s="112"/>
      <c r="M100" s="112"/>
      <c r="N100" s="112"/>
      <c r="O100" s="112"/>
      <c r="P100" s="112"/>
      <c r="Q100" s="112"/>
      <c r="R100" s="112"/>
    </row>
    <row r="101" spans="1:18">
      <c r="A101" s="130"/>
      <c r="B101" s="112"/>
      <c r="C101" s="115"/>
      <c r="D101" s="112"/>
      <c r="E101" s="112"/>
      <c r="F101" s="116"/>
      <c r="G101" s="116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2"/>
    </row>
    <row r="102" spans="1:18">
      <c r="A102" s="128"/>
      <c r="B102" s="116"/>
      <c r="C102" s="117"/>
      <c r="D102" s="116"/>
      <c r="E102" s="116"/>
      <c r="F102" s="116"/>
      <c r="G102" s="116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2"/>
    </row>
    <row r="103" spans="1:18">
      <c r="A103" s="128"/>
      <c r="B103" s="116"/>
      <c r="C103" s="117"/>
      <c r="D103" s="116"/>
      <c r="E103" s="116"/>
      <c r="F103" s="116"/>
      <c r="G103" s="116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2"/>
    </row>
    <row r="104" spans="1:18">
      <c r="A104" s="128"/>
      <c r="B104" s="116"/>
      <c r="C104" s="117"/>
      <c r="D104" s="116"/>
      <c r="E104" s="116"/>
      <c r="F104" s="116"/>
      <c r="G104" s="116"/>
      <c r="H104" s="116"/>
      <c r="I104" s="116"/>
      <c r="J104" s="116"/>
      <c r="K104" s="116"/>
      <c r="L104" s="116"/>
      <c r="M104" s="116"/>
      <c r="N104" s="116"/>
      <c r="O104" s="116"/>
      <c r="P104" s="116"/>
      <c r="Q104" s="116"/>
      <c r="R104" s="112"/>
    </row>
    <row r="105" spans="1:18">
      <c r="A105" s="128"/>
      <c r="B105" s="116"/>
      <c r="C105" s="117"/>
      <c r="D105" s="116"/>
      <c r="E105" s="116"/>
      <c r="F105" s="128"/>
      <c r="G105" s="128"/>
      <c r="H105" s="128"/>
      <c r="I105" s="128"/>
      <c r="J105" s="128"/>
      <c r="K105" s="116"/>
      <c r="L105" s="116"/>
      <c r="M105" s="116"/>
      <c r="N105" s="116"/>
      <c r="O105" s="116"/>
      <c r="P105" s="116"/>
      <c r="Q105" s="116"/>
      <c r="R105" s="112"/>
    </row>
    <row r="106" spans="1:18">
      <c r="A106" s="128"/>
      <c r="B106" s="128"/>
      <c r="C106" s="132"/>
      <c r="D106" s="128"/>
      <c r="E106" s="128"/>
      <c r="F106" s="126"/>
      <c r="G106" s="126"/>
      <c r="H106" s="126"/>
      <c r="I106" s="128"/>
      <c r="J106" s="128"/>
      <c r="K106" s="116"/>
      <c r="L106" s="116"/>
      <c r="M106" s="116"/>
      <c r="N106" s="116"/>
      <c r="O106" s="116"/>
      <c r="P106" s="116"/>
      <c r="Q106" s="116"/>
      <c r="R106" s="112"/>
    </row>
    <row r="107" spans="1:18">
      <c r="A107" s="126"/>
      <c r="B107" s="126"/>
      <c r="C107" s="117"/>
      <c r="D107" s="126"/>
      <c r="E107" s="126"/>
      <c r="F107" s="126"/>
      <c r="G107" s="126"/>
      <c r="H107" s="126"/>
      <c r="I107" s="128"/>
      <c r="J107" s="128"/>
      <c r="K107" s="116"/>
      <c r="L107" s="116"/>
      <c r="M107" s="116"/>
      <c r="N107" s="116"/>
      <c r="O107" s="116"/>
      <c r="P107" s="116"/>
      <c r="Q107" s="116"/>
      <c r="R107" s="112"/>
    </row>
    <row r="108" spans="1:18">
      <c r="A108" s="126"/>
      <c r="B108" s="126"/>
      <c r="C108" s="117"/>
      <c r="D108" s="126"/>
      <c r="E108" s="126"/>
      <c r="F108" s="126"/>
      <c r="G108" s="126"/>
      <c r="H108" s="126"/>
      <c r="I108" s="128"/>
      <c r="J108" s="128"/>
      <c r="K108" s="116"/>
      <c r="L108" s="116"/>
      <c r="M108" s="116"/>
      <c r="N108" s="116"/>
      <c r="O108" s="116"/>
      <c r="P108" s="116"/>
      <c r="Q108" s="116"/>
      <c r="R108" s="112"/>
    </row>
    <row r="109" spans="1:18">
      <c r="A109" s="126"/>
      <c r="B109" s="126"/>
      <c r="C109" s="117"/>
      <c r="D109" s="126"/>
      <c r="E109" s="126"/>
      <c r="F109" s="126"/>
      <c r="G109" s="126"/>
      <c r="H109" s="126"/>
      <c r="I109" s="128"/>
      <c r="J109" s="128"/>
      <c r="K109" s="116"/>
      <c r="L109" s="116"/>
      <c r="M109" s="905" t="s">
        <v>279</v>
      </c>
      <c r="N109" s="905"/>
      <c r="O109" s="116"/>
      <c r="P109" s="116"/>
      <c r="Q109" s="116"/>
      <c r="R109" s="112"/>
    </row>
    <row r="110" spans="1:18">
      <c r="A110" s="904"/>
      <c r="B110" s="904"/>
      <c r="C110" s="117">
        <f>IF(D110&lt;0,(D110*(-1)),D110)</f>
        <v>0</v>
      </c>
      <c r="D110" s="117">
        <v>0</v>
      </c>
      <c r="E110" s="126"/>
      <c r="F110" s="126"/>
      <c r="G110" s="126"/>
      <c r="H110" s="126"/>
      <c r="I110" s="128"/>
      <c r="J110" s="128"/>
      <c r="K110" s="116"/>
      <c r="L110" s="116"/>
      <c r="M110" s="905"/>
      <c r="N110" s="905"/>
      <c r="O110" s="116"/>
      <c r="P110" s="116"/>
      <c r="Q110" s="116"/>
      <c r="R110" s="112"/>
    </row>
    <row r="111" spans="1:18">
      <c r="A111" s="904" t="s">
        <v>52</v>
      </c>
      <c r="B111" s="904"/>
      <c r="C111" s="117">
        <f t="shared" ref="C111:C126" si="1">IF(D111&lt;0,(D111*(-1)),D111)</f>
        <v>0.26</v>
      </c>
      <c r="D111" s="117">
        <f>E9</f>
        <v>0.26</v>
      </c>
      <c r="E111" s="126"/>
      <c r="F111" s="126"/>
      <c r="G111" s="126"/>
      <c r="H111" s="126"/>
      <c r="I111" s="128"/>
      <c r="J111" s="128"/>
      <c r="K111" s="116"/>
      <c r="L111" s="116"/>
      <c r="M111" s="118" t="s">
        <v>281</v>
      </c>
      <c r="N111" s="118" t="s">
        <v>280</v>
      </c>
      <c r="O111" s="116"/>
      <c r="P111" s="116"/>
      <c r="Q111" s="116"/>
      <c r="R111" s="112"/>
    </row>
    <row r="112" spans="1:18">
      <c r="A112" s="904" t="s">
        <v>302</v>
      </c>
      <c r="B112" s="904"/>
      <c r="C112" s="117">
        <f t="shared" si="1"/>
        <v>0.26</v>
      </c>
      <c r="D112" s="117">
        <f>E16</f>
        <v>0.26</v>
      </c>
      <c r="E112" s="126"/>
      <c r="F112" s="126"/>
      <c r="G112" s="126"/>
      <c r="H112" s="126"/>
      <c r="I112" s="128"/>
      <c r="J112" s="128"/>
      <c r="K112" s="116"/>
      <c r="L112" s="116"/>
      <c r="M112" s="119">
        <f>E10</f>
        <v>0.26</v>
      </c>
      <c r="N112" s="119">
        <f>M112</f>
        <v>0.26</v>
      </c>
      <c r="O112" s="116"/>
      <c r="P112" s="116"/>
      <c r="Q112" s="116"/>
      <c r="R112" s="112"/>
    </row>
    <row r="113" spans="1:18">
      <c r="A113" s="904" t="s">
        <v>90</v>
      </c>
      <c r="B113" s="904"/>
      <c r="C113" s="117">
        <f t="shared" si="1"/>
        <v>0.2</v>
      </c>
      <c r="D113" s="117">
        <f>E12</f>
        <v>0.2</v>
      </c>
      <c r="E113" s="126"/>
      <c r="F113" s="126"/>
      <c r="G113" s="126"/>
      <c r="H113" s="126"/>
      <c r="I113" s="128"/>
      <c r="J113" s="128"/>
      <c r="K113" s="116"/>
      <c r="L113" s="116"/>
      <c r="M113" s="116"/>
      <c r="N113" s="116"/>
      <c r="O113" s="116"/>
      <c r="P113" s="116"/>
      <c r="Q113" s="116"/>
      <c r="R113" s="112"/>
    </row>
    <row r="114" spans="1:18">
      <c r="A114" s="904" t="s">
        <v>91</v>
      </c>
      <c r="B114" s="904"/>
      <c r="C114" s="117">
        <f t="shared" si="1"/>
        <v>0.2</v>
      </c>
      <c r="D114" s="117">
        <f>E11</f>
        <v>0.2</v>
      </c>
      <c r="E114" s="126"/>
      <c r="F114" s="126"/>
      <c r="G114" s="126"/>
      <c r="H114" s="126"/>
      <c r="I114" s="128"/>
      <c r="J114" s="128"/>
      <c r="K114" s="116"/>
      <c r="L114" s="116"/>
      <c r="M114" s="116"/>
      <c r="N114" s="116"/>
      <c r="O114" s="116"/>
      <c r="P114" s="116"/>
      <c r="Q114" s="116"/>
      <c r="R114" s="112"/>
    </row>
    <row r="115" spans="1:18">
      <c r="A115" s="904" t="s">
        <v>110</v>
      </c>
      <c r="B115" s="904"/>
      <c r="C115" s="117">
        <f t="shared" si="1"/>
        <v>0.26</v>
      </c>
      <c r="D115" s="117">
        <f>E7</f>
        <v>0.26</v>
      </c>
      <c r="E115" s="126"/>
      <c r="F115" s="126"/>
      <c r="G115" s="126"/>
      <c r="H115" s="126"/>
      <c r="I115" s="128"/>
      <c r="J115" s="128"/>
      <c r="K115" s="116"/>
      <c r="L115" s="116"/>
      <c r="M115" s="116"/>
      <c r="N115" s="116"/>
      <c r="O115" s="116"/>
      <c r="P115" s="116"/>
      <c r="Q115" s="116"/>
      <c r="R115" s="112"/>
    </row>
    <row r="116" spans="1:18">
      <c r="A116" s="904" t="s">
        <v>132</v>
      </c>
      <c r="B116" s="904"/>
      <c r="C116" s="117">
        <f t="shared" si="1"/>
        <v>0.2</v>
      </c>
      <c r="D116" s="117">
        <f>E14</f>
        <v>0.2</v>
      </c>
      <c r="E116" s="126"/>
      <c r="F116" s="126"/>
      <c r="G116" s="126"/>
      <c r="H116" s="126"/>
      <c r="I116" s="128"/>
      <c r="J116" s="128"/>
      <c r="K116" s="116"/>
      <c r="L116" s="116"/>
      <c r="M116" s="116"/>
      <c r="N116" s="116"/>
      <c r="O116" s="116"/>
      <c r="P116" s="116"/>
      <c r="Q116" s="116"/>
      <c r="R116" s="112"/>
    </row>
    <row r="117" spans="1:18">
      <c r="A117" s="904" t="s">
        <v>133</v>
      </c>
      <c r="B117" s="904"/>
      <c r="C117" s="117">
        <f t="shared" si="1"/>
        <v>0.2</v>
      </c>
      <c r="D117" s="117">
        <f>D116</f>
        <v>0.2</v>
      </c>
      <c r="E117" s="126"/>
      <c r="F117" s="126"/>
      <c r="G117" s="126"/>
      <c r="H117" s="126"/>
      <c r="I117" s="128"/>
      <c r="J117" s="128"/>
      <c r="K117" s="116"/>
      <c r="L117" s="116"/>
      <c r="M117" s="116"/>
      <c r="N117" s="116"/>
      <c r="O117" s="116"/>
      <c r="P117" s="116"/>
      <c r="Q117" s="116"/>
      <c r="R117" s="112"/>
    </row>
    <row r="118" spans="1:18">
      <c r="A118" s="904" t="s">
        <v>138</v>
      </c>
      <c r="B118" s="904"/>
      <c r="C118" s="117">
        <f t="shared" si="1"/>
        <v>0.2</v>
      </c>
      <c r="D118" s="117">
        <f>E13</f>
        <v>0.2</v>
      </c>
      <c r="E118" s="126"/>
      <c r="F118" s="126"/>
      <c r="G118" s="126"/>
      <c r="H118" s="126"/>
      <c r="I118" s="128"/>
      <c r="J118" s="128"/>
      <c r="K118" s="116"/>
      <c r="L118" s="116"/>
      <c r="M118" s="116"/>
      <c r="N118" s="116"/>
      <c r="O118" s="116"/>
      <c r="P118" s="116"/>
      <c r="Q118" s="116"/>
      <c r="R118" s="112"/>
    </row>
    <row r="119" spans="1:18">
      <c r="A119" s="904" t="s">
        <v>560</v>
      </c>
      <c r="B119" s="904"/>
      <c r="C119" s="117">
        <f t="shared" si="1"/>
        <v>0.26</v>
      </c>
      <c r="D119" s="117">
        <f>E6</f>
        <v>0.26</v>
      </c>
      <c r="E119" s="126"/>
      <c r="F119" s="126"/>
      <c r="G119" s="126"/>
      <c r="H119" s="126"/>
      <c r="I119" s="128"/>
      <c r="J119" s="128"/>
      <c r="K119" s="116"/>
      <c r="L119" s="116"/>
      <c r="M119" s="116"/>
      <c r="N119" s="116"/>
      <c r="O119" s="116"/>
      <c r="P119" s="116"/>
      <c r="Q119" s="116"/>
      <c r="R119" s="112"/>
    </row>
    <row r="120" spans="1:18">
      <c r="A120" s="904" t="s">
        <v>154</v>
      </c>
      <c r="B120" s="904"/>
      <c r="C120" s="117">
        <f t="shared" si="1"/>
        <v>0.26</v>
      </c>
      <c r="D120" s="117">
        <f>E3</f>
        <v>0.26</v>
      </c>
      <c r="E120" s="126"/>
      <c r="F120" s="126"/>
      <c r="G120" s="126"/>
      <c r="H120" s="126"/>
      <c r="I120" s="128"/>
      <c r="J120" s="128"/>
      <c r="K120" s="116"/>
      <c r="L120" s="116"/>
      <c r="M120" s="116"/>
      <c r="N120" s="116"/>
      <c r="O120" s="116"/>
      <c r="P120" s="116"/>
      <c r="Q120" s="116"/>
      <c r="R120" s="112"/>
    </row>
    <row r="121" spans="1:18">
      <c r="A121" s="904" t="s">
        <v>134</v>
      </c>
      <c r="B121" s="904"/>
      <c r="C121" s="117">
        <f t="shared" si="1"/>
        <v>0.26</v>
      </c>
      <c r="D121" s="117">
        <f>D120</f>
        <v>0.26</v>
      </c>
      <c r="E121" s="126"/>
      <c r="F121" s="126"/>
      <c r="G121" s="126"/>
      <c r="H121" s="126"/>
      <c r="I121" s="128"/>
      <c r="J121" s="128"/>
      <c r="K121" s="116"/>
      <c r="L121" s="116"/>
      <c r="M121" s="116"/>
      <c r="N121" s="116"/>
      <c r="O121" s="116"/>
      <c r="P121" s="116"/>
      <c r="Q121" s="116"/>
      <c r="R121" s="112"/>
    </row>
    <row r="122" spans="1:18">
      <c r="A122" s="904" t="s">
        <v>157</v>
      </c>
      <c r="B122" s="904"/>
      <c r="C122" s="117">
        <f t="shared" si="1"/>
        <v>0.26</v>
      </c>
      <c r="D122" s="117">
        <f>E4</f>
        <v>0.26</v>
      </c>
      <c r="E122" s="126"/>
      <c r="F122" s="126"/>
      <c r="G122" s="126"/>
      <c r="H122" s="126"/>
      <c r="I122" s="128"/>
      <c r="J122" s="128"/>
      <c r="K122" s="116"/>
      <c r="L122" s="116"/>
      <c r="M122" s="116"/>
      <c r="N122" s="116"/>
      <c r="O122" s="116"/>
      <c r="P122" s="116"/>
      <c r="Q122" s="116"/>
      <c r="R122" s="112"/>
    </row>
    <row r="123" spans="1:18">
      <c r="A123" s="904" t="s">
        <v>163</v>
      </c>
      <c r="B123" s="904"/>
      <c r="C123" s="117">
        <f t="shared" si="1"/>
        <v>0.26</v>
      </c>
      <c r="D123" s="117">
        <f>E8</f>
        <v>0.26</v>
      </c>
      <c r="E123" s="126"/>
      <c r="F123" s="126"/>
      <c r="G123" s="126"/>
      <c r="H123" s="126"/>
      <c r="I123" s="128"/>
      <c r="J123" s="128"/>
      <c r="K123" s="116"/>
      <c r="L123" s="116"/>
      <c r="M123" s="116"/>
      <c r="N123" s="116"/>
      <c r="O123" s="116"/>
      <c r="P123" s="116"/>
      <c r="Q123" s="116"/>
      <c r="R123" s="112"/>
    </row>
    <row r="124" spans="1:18">
      <c r="A124" s="120" t="s">
        <v>557</v>
      </c>
      <c r="B124" s="120" t="s">
        <v>557</v>
      </c>
      <c r="C124" s="117">
        <f t="shared" si="1"/>
        <v>0.26</v>
      </c>
      <c r="D124" s="117">
        <f>E17</f>
        <v>0.26</v>
      </c>
      <c r="E124" s="126"/>
      <c r="F124" s="126"/>
      <c r="G124" s="126"/>
      <c r="H124" s="126"/>
      <c r="I124" s="128"/>
      <c r="J124" s="128"/>
      <c r="K124" s="116"/>
      <c r="L124" s="116"/>
      <c r="M124" s="116"/>
      <c r="N124" s="116"/>
      <c r="O124" s="116"/>
      <c r="P124" s="116"/>
      <c r="Q124" s="116"/>
      <c r="R124" s="112"/>
    </row>
    <row r="125" spans="1:18">
      <c r="A125" s="120" t="s">
        <v>558</v>
      </c>
      <c r="B125" s="120" t="s">
        <v>558</v>
      </c>
      <c r="C125" s="117">
        <f t="shared" si="1"/>
        <v>0.26</v>
      </c>
      <c r="D125" s="117">
        <f>E18</f>
        <v>0.26</v>
      </c>
      <c r="E125" s="126"/>
      <c r="F125" s="126"/>
      <c r="G125" s="126"/>
      <c r="H125" s="126"/>
      <c r="I125" s="128"/>
      <c r="J125" s="128"/>
      <c r="K125" s="116"/>
      <c r="L125" s="116"/>
      <c r="M125" s="116"/>
      <c r="N125" s="116"/>
      <c r="O125" s="116"/>
      <c r="P125" s="116"/>
      <c r="Q125" s="116"/>
      <c r="R125" s="112"/>
    </row>
    <row r="126" spans="1:18">
      <c r="A126" s="124"/>
      <c r="B126" s="124"/>
      <c r="C126" s="117">
        <f t="shared" si="1"/>
        <v>0</v>
      </c>
      <c r="D126" s="117"/>
      <c r="E126" s="126"/>
      <c r="F126" s="128"/>
      <c r="G126" s="128"/>
      <c r="H126" s="128"/>
      <c r="I126" s="128"/>
      <c r="J126" s="128"/>
      <c r="K126" s="116"/>
      <c r="L126" s="116"/>
      <c r="M126" s="116"/>
      <c r="N126" s="116"/>
      <c r="O126" s="116"/>
      <c r="P126" s="116"/>
      <c r="Q126" s="116"/>
      <c r="R126" s="112"/>
    </row>
    <row r="127" spans="1:18">
      <c r="A127" s="128"/>
      <c r="B127" s="128"/>
      <c r="C127" s="132"/>
      <c r="D127" s="128"/>
      <c r="E127" s="128"/>
      <c r="F127" s="128"/>
      <c r="G127" s="128"/>
      <c r="H127" s="128"/>
      <c r="I127" s="128"/>
      <c r="J127" s="128"/>
      <c r="K127" s="116"/>
      <c r="L127" s="116"/>
      <c r="M127" s="116"/>
      <c r="N127" s="116"/>
      <c r="O127" s="116"/>
      <c r="P127" s="116"/>
      <c r="Q127" s="116"/>
      <c r="R127" s="112"/>
    </row>
    <row r="128" spans="1:18">
      <c r="A128" s="128"/>
      <c r="B128" s="128"/>
      <c r="C128" s="132"/>
      <c r="D128" s="128"/>
      <c r="E128" s="128"/>
      <c r="F128" s="128"/>
      <c r="G128" s="128"/>
      <c r="H128" s="128"/>
      <c r="I128" s="128"/>
      <c r="J128" s="128"/>
      <c r="K128" s="116"/>
      <c r="L128" s="116"/>
      <c r="M128" s="116"/>
      <c r="N128" s="116"/>
      <c r="O128" s="116"/>
      <c r="P128" s="116"/>
      <c r="Q128" s="116"/>
      <c r="R128" s="112"/>
    </row>
    <row r="129" spans="1:18">
      <c r="A129" s="128"/>
      <c r="B129" s="128"/>
      <c r="C129" s="132"/>
      <c r="D129" s="128"/>
      <c r="E129" s="128"/>
      <c r="F129" s="128"/>
      <c r="G129" s="128"/>
      <c r="H129" s="128"/>
      <c r="I129" s="128"/>
      <c r="J129" s="128"/>
      <c r="K129" s="116"/>
      <c r="L129" s="116"/>
      <c r="M129" s="116"/>
      <c r="N129" s="116"/>
      <c r="O129" s="116"/>
      <c r="P129" s="116"/>
      <c r="Q129" s="116"/>
      <c r="R129" s="112"/>
    </row>
    <row r="130" spans="1:18">
      <c r="A130" s="128"/>
      <c r="B130" s="128"/>
      <c r="C130" s="132"/>
      <c r="D130" s="128"/>
      <c r="E130" s="128"/>
      <c r="F130" s="131"/>
      <c r="G130" s="131"/>
      <c r="H130" s="131"/>
      <c r="I130" s="131"/>
      <c r="J130" s="131"/>
      <c r="K130" s="114"/>
      <c r="L130" s="114"/>
      <c r="M130" s="114"/>
      <c r="N130" s="114"/>
      <c r="O130" s="114"/>
      <c r="P130" s="114"/>
      <c r="Q130" s="114"/>
    </row>
    <row r="131" spans="1:18">
      <c r="A131" s="131"/>
      <c r="B131" s="131"/>
      <c r="C131" s="133"/>
      <c r="D131" s="131"/>
      <c r="E131" s="131"/>
      <c r="F131" s="131"/>
      <c r="G131" s="131"/>
      <c r="H131" s="131"/>
      <c r="I131" s="131"/>
      <c r="J131" s="131"/>
      <c r="K131" s="114"/>
      <c r="L131" s="114"/>
      <c r="M131" s="114"/>
      <c r="N131" s="114"/>
      <c r="O131" s="114"/>
      <c r="P131" s="114"/>
      <c r="Q131" s="114"/>
    </row>
    <row r="132" spans="1:18">
      <c r="A132" s="131"/>
      <c r="B132" s="131"/>
      <c r="C132" s="133"/>
      <c r="D132" s="131"/>
      <c r="E132" s="131"/>
      <c r="F132" s="131"/>
      <c r="G132" s="131"/>
      <c r="H132" s="131"/>
      <c r="I132" s="131"/>
      <c r="J132" s="131"/>
      <c r="K132" s="114"/>
      <c r="L132" s="114"/>
      <c r="M132" s="114"/>
      <c r="N132" s="114"/>
      <c r="O132" s="114"/>
      <c r="P132" s="114"/>
      <c r="Q132" s="114"/>
    </row>
    <row r="133" spans="1:18">
      <c r="A133" s="131"/>
      <c r="B133" s="131"/>
      <c r="C133" s="133"/>
      <c r="D133" s="131"/>
      <c r="E133" s="131"/>
      <c r="F133" s="114"/>
      <c r="G133" s="114"/>
      <c r="H133" s="114"/>
      <c r="I133" s="114"/>
      <c r="J133" s="114"/>
      <c r="K133" s="114"/>
      <c r="L133" s="114"/>
      <c r="M133" s="114"/>
      <c r="N133" s="114"/>
      <c r="O133" s="114"/>
      <c r="P133" s="114"/>
      <c r="Q133" s="114"/>
    </row>
    <row r="134" spans="1:18">
      <c r="A134" s="131"/>
      <c r="B134" s="114"/>
      <c r="C134" s="44"/>
      <c r="D134" s="114"/>
      <c r="E134" s="114"/>
      <c r="F134" s="114"/>
      <c r="G134" s="114"/>
      <c r="H134" s="114"/>
      <c r="I134" s="114"/>
      <c r="J134" s="114"/>
      <c r="K134" s="114"/>
      <c r="L134" s="114"/>
      <c r="M134" s="114"/>
      <c r="N134" s="114"/>
      <c r="O134" s="114"/>
      <c r="P134" s="114"/>
      <c r="Q134" s="114"/>
    </row>
    <row r="135" spans="1:18">
      <c r="A135" s="131"/>
      <c r="B135" s="114"/>
      <c r="C135" s="44"/>
      <c r="D135" s="114"/>
      <c r="E135" s="114"/>
    </row>
  </sheetData>
  <sheetProtection algorithmName="SHA-512" hashValue="jlK4enU+0Iks4S+43mxbsi9Gj3To27IvJTP+jChKXPocEKAqGZ9o6CKc1iHGCsQtUzdNwMXarIRzFcGu9iiF8w==" saltValue="gr8HPe0WwIjmEBbmu+XyyQ==" spinCount="100000" sheet="1" objects="1" scenarios="1"/>
  <protectedRanges>
    <protectedRange sqref="E3:E19" name="Range3"/>
    <protectedRange sqref="E19 D3:E18" name="Range1_1"/>
    <protectedRange sqref="D111:D123 M112:N112 K3:K57" name="Range1"/>
  </protectedRanges>
  <mergeCells count="23">
    <mergeCell ref="A119:B119"/>
    <mergeCell ref="A120:B120"/>
    <mergeCell ref="A121:B121"/>
    <mergeCell ref="A122:B122"/>
    <mergeCell ref="A123:B123"/>
    <mergeCell ref="A115:B115"/>
    <mergeCell ref="A116:B116"/>
    <mergeCell ref="A117:B117"/>
    <mergeCell ref="A118:B118"/>
    <mergeCell ref="A112:B112"/>
    <mergeCell ref="A113:B113"/>
    <mergeCell ref="H1:K2"/>
    <mergeCell ref="H3:H11"/>
    <mergeCell ref="A114:B114"/>
    <mergeCell ref="A1:E2"/>
    <mergeCell ref="M109:N110"/>
    <mergeCell ref="H12:H20"/>
    <mergeCell ref="H30:H38"/>
    <mergeCell ref="H39:H47"/>
    <mergeCell ref="A110:B110"/>
    <mergeCell ref="A111:B111"/>
    <mergeCell ref="H48:H56"/>
    <mergeCell ref="H21:H2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144"/>
  <sheetViews>
    <sheetView workbookViewId="0">
      <selection activeCell="M22" sqref="M22"/>
    </sheetView>
  </sheetViews>
  <sheetFormatPr defaultRowHeight="14.4"/>
  <cols>
    <col min="3" max="3" width="9.109375" style="2"/>
    <col min="8" max="8" width="29.44140625" customWidth="1"/>
    <col min="9" max="9" width="20.109375" customWidth="1"/>
    <col min="10" max="10" width="4.109375" customWidth="1"/>
  </cols>
  <sheetData>
    <row r="1" spans="1:11">
      <c r="A1" s="906" t="s">
        <v>559</v>
      </c>
      <c r="B1" s="906"/>
      <c r="C1" s="906"/>
      <c r="D1" s="906"/>
      <c r="E1" s="906"/>
      <c r="H1" s="906" t="s">
        <v>283</v>
      </c>
      <c r="I1" s="906"/>
      <c r="J1" s="906"/>
      <c r="K1" s="906"/>
    </row>
    <row r="2" spans="1:11" ht="15" thickBot="1">
      <c r="A2" s="906"/>
      <c r="B2" s="906"/>
      <c r="C2" s="906"/>
      <c r="D2" s="906"/>
      <c r="E2" s="906"/>
      <c r="H2" s="906"/>
      <c r="I2" s="906"/>
      <c r="J2" s="906"/>
      <c r="K2" s="906"/>
    </row>
    <row r="3" spans="1:11" ht="15" thickBot="1">
      <c r="A3" s="337" t="s">
        <v>154</v>
      </c>
      <c r="B3" s="337"/>
      <c r="C3" s="338"/>
      <c r="D3" s="338"/>
      <c r="E3" s="339">
        <v>0</v>
      </c>
      <c r="H3" s="907" t="s">
        <v>332</v>
      </c>
      <c r="I3" s="29" t="str">
        <f>'Disc Dep'!I3</f>
        <v xml:space="preserve"> </v>
      </c>
      <c r="J3" s="30">
        <f>IF(K3&lt;0,(K3*(-1)),K3)</f>
        <v>0</v>
      </c>
      <c r="K3" s="31">
        <v>0</v>
      </c>
    </row>
    <row r="4" spans="1:11" ht="15" thickBot="1">
      <c r="A4" s="337" t="s">
        <v>552</v>
      </c>
      <c r="B4" s="337"/>
      <c r="C4" s="338"/>
      <c r="D4" s="338"/>
      <c r="E4" s="339">
        <v>0</v>
      </c>
      <c r="H4" s="908"/>
      <c r="I4" s="29" t="str">
        <f>'Disc Dep'!I4</f>
        <v xml:space="preserve"> </v>
      </c>
      <c r="J4" s="30">
        <f t="shared" ref="J4:J56" si="0">IF(K4&lt;0,(K4*(-1)),K4)</f>
        <v>0</v>
      </c>
      <c r="K4" s="31">
        <v>0</v>
      </c>
    </row>
    <row r="5" spans="1:11" ht="15" thickBot="1">
      <c r="A5" s="337" t="s">
        <v>2229</v>
      </c>
      <c r="B5" s="337"/>
      <c r="C5" s="338"/>
      <c r="D5" s="338"/>
      <c r="E5" s="339">
        <v>0</v>
      </c>
      <c r="H5" s="908"/>
      <c r="I5" s="29" t="str">
        <f>'Disc Dep'!I5</f>
        <v xml:space="preserve"> </v>
      </c>
      <c r="J5" s="30">
        <f t="shared" si="0"/>
        <v>0</v>
      </c>
      <c r="K5" s="31">
        <v>0</v>
      </c>
    </row>
    <row r="6" spans="1:11" ht="15" thickBot="1">
      <c r="A6" s="323" t="s">
        <v>553</v>
      </c>
      <c r="B6" s="323"/>
      <c r="C6" s="324"/>
      <c r="D6" s="324"/>
      <c r="E6" s="113">
        <v>0</v>
      </c>
      <c r="H6" s="908"/>
      <c r="I6" s="29" t="str">
        <f>'Disc Dep'!I6</f>
        <v xml:space="preserve"> </v>
      </c>
      <c r="J6" s="30">
        <f t="shared" si="0"/>
        <v>0</v>
      </c>
      <c r="K6" s="31">
        <v>0</v>
      </c>
    </row>
    <row r="7" spans="1:11" ht="15" thickBot="1">
      <c r="A7" s="323" t="s">
        <v>171</v>
      </c>
      <c r="B7" s="323"/>
      <c r="C7" s="324"/>
      <c r="D7" s="324"/>
      <c r="E7" s="113">
        <v>0</v>
      </c>
      <c r="H7" s="908"/>
      <c r="I7" s="29" t="str">
        <f>'Disc Dep'!I7</f>
        <v xml:space="preserve"> </v>
      </c>
      <c r="J7" s="30">
        <f t="shared" si="0"/>
        <v>0</v>
      </c>
      <c r="K7" s="31">
        <v>0</v>
      </c>
    </row>
    <row r="8" spans="1:11" ht="15" thickBot="1">
      <c r="A8" s="323" t="s">
        <v>554</v>
      </c>
      <c r="B8" s="323"/>
      <c r="C8" s="324"/>
      <c r="D8" s="324"/>
      <c r="E8" s="113">
        <v>0</v>
      </c>
      <c r="H8" s="908"/>
      <c r="I8" s="29" t="str">
        <f>'Disc Dep'!I8</f>
        <v xml:space="preserve"> </v>
      </c>
      <c r="J8" s="30">
        <f t="shared" si="0"/>
        <v>0</v>
      </c>
      <c r="K8" s="31">
        <v>0</v>
      </c>
    </row>
    <row r="9" spans="1:11" ht="15" thickBot="1">
      <c r="A9" s="323" t="s">
        <v>555</v>
      </c>
      <c r="B9" s="323"/>
      <c r="C9" s="324"/>
      <c r="D9" s="324"/>
      <c r="E9" s="113">
        <v>0</v>
      </c>
      <c r="H9" s="908"/>
      <c r="I9" s="29" t="str">
        <f>'Disc Dep'!I9</f>
        <v>MAT 0.5</v>
      </c>
      <c r="J9" s="30">
        <f t="shared" si="0"/>
        <v>0</v>
      </c>
      <c r="K9" s="31">
        <v>0</v>
      </c>
    </row>
    <row r="10" spans="1:11" ht="15" thickBot="1">
      <c r="A10" s="323" t="s">
        <v>68</v>
      </c>
      <c r="B10" s="323"/>
      <c r="C10" s="324"/>
      <c r="D10" s="324"/>
      <c r="E10" s="113">
        <v>0</v>
      </c>
      <c r="H10" s="908"/>
      <c r="I10" s="29" t="str">
        <f>'Disc Dep'!I10</f>
        <v>SUPREM 50 0.5</v>
      </c>
      <c r="J10" s="30">
        <f t="shared" si="0"/>
        <v>0</v>
      </c>
      <c r="K10" s="31">
        <v>0</v>
      </c>
    </row>
    <row r="11" spans="1:11" ht="15" thickBot="1">
      <c r="A11" s="323" t="s">
        <v>91</v>
      </c>
      <c r="B11" s="323"/>
      <c r="C11" s="324"/>
      <c r="D11" s="324"/>
      <c r="E11" s="113">
        <v>0</v>
      </c>
      <c r="H11" s="909"/>
      <c r="I11" s="29" t="str">
        <f>'Disc Dep'!I11</f>
        <v>NEOMAT 30 0.5</v>
      </c>
      <c r="J11" s="30">
        <f t="shared" si="0"/>
        <v>0</v>
      </c>
      <c r="K11" s="31">
        <v>0</v>
      </c>
    </row>
    <row r="12" spans="1:11" ht="15" thickBot="1">
      <c r="A12" s="323" t="s">
        <v>556</v>
      </c>
      <c r="B12" s="323"/>
      <c r="C12" s="324"/>
      <c r="D12" s="324"/>
      <c r="E12" s="113">
        <v>0</v>
      </c>
      <c r="H12" s="907" t="s">
        <v>0</v>
      </c>
      <c r="I12" s="29" t="str">
        <f>'Disc Dep'!I12</f>
        <v xml:space="preserve"> </v>
      </c>
      <c r="J12" s="30">
        <f t="shared" si="0"/>
        <v>0</v>
      </c>
      <c r="K12" s="31">
        <v>0</v>
      </c>
    </row>
    <row r="13" spans="1:11" ht="15" thickBot="1">
      <c r="A13" s="323" t="s">
        <v>339</v>
      </c>
      <c r="B13" s="323"/>
      <c r="C13" s="324"/>
      <c r="D13" s="324"/>
      <c r="E13" s="113">
        <v>0</v>
      </c>
      <c r="H13" s="908"/>
      <c r="I13" s="29" t="str">
        <f>'Disc Dep'!I13</f>
        <v xml:space="preserve"> </v>
      </c>
      <c r="J13" s="30">
        <f t="shared" si="0"/>
        <v>0</v>
      </c>
      <c r="K13" s="31">
        <v>0</v>
      </c>
    </row>
    <row r="14" spans="1:11" ht="15" thickBot="1">
      <c r="A14" s="323" t="s">
        <v>129</v>
      </c>
      <c r="B14" s="323"/>
      <c r="C14" s="324"/>
      <c r="D14" s="324"/>
      <c r="E14" s="113">
        <v>0</v>
      </c>
      <c r="H14" s="908"/>
      <c r="I14" s="29" t="str">
        <f>'Disc Dep'!I14</f>
        <v>LUCIOS 0.45</v>
      </c>
      <c r="J14" s="30">
        <f t="shared" si="0"/>
        <v>0</v>
      </c>
      <c r="K14" s="31">
        <v>0</v>
      </c>
    </row>
    <row r="15" spans="1:11" ht="15" thickBot="1">
      <c r="A15" s="323" t="s">
        <v>2208</v>
      </c>
      <c r="B15" s="323"/>
      <c r="C15" s="324"/>
      <c r="D15" s="324"/>
      <c r="E15" s="113">
        <v>0</v>
      </c>
      <c r="H15" s="908"/>
      <c r="I15" s="29" t="str">
        <f>'Disc Dep'!I15</f>
        <v>LUCIOS 0.5</v>
      </c>
      <c r="J15" s="30">
        <f t="shared" si="0"/>
        <v>0</v>
      </c>
      <c r="K15" s="31">
        <v>0</v>
      </c>
    </row>
    <row r="16" spans="1:11" s="1" customFormat="1" ht="15" thickBot="1">
      <c r="A16" s="323" t="s">
        <v>557</v>
      </c>
      <c r="B16" s="323"/>
      <c r="C16" s="324"/>
      <c r="D16" s="324"/>
      <c r="E16" s="113">
        <v>0</v>
      </c>
      <c r="H16" s="908"/>
      <c r="I16" s="29" t="str">
        <f>'Disc Dep'!I16</f>
        <v xml:space="preserve"> </v>
      </c>
      <c r="J16" s="30">
        <f t="shared" si="0"/>
        <v>0</v>
      </c>
      <c r="K16" s="31">
        <v>0</v>
      </c>
    </row>
    <row r="17" spans="1:11" s="1" customFormat="1" ht="15" thickBot="1">
      <c r="A17" s="323" t="s">
        <v>558</v>
      </c>
      <c r="B17" s="323"/>
      <c r="C17" s="324"/>
      <c r="D17" s="324"/>
      <c r="E17" s="113">
        <v>0</v>
      </c>
      <c r="H17" s="908"/>
      <c r="I17" s="29" t="str">
        <f>'Disc Dep'!I17</f>
        <v>MAT 0.45</v>
      </c>
      <c r="J17" s="30">
        <f t="shared" si="0"/>
        <v>0</v>
      </c>
      <c r="K17" s="31">
        <v>0</v>
      </c>
    </row>
    <row r="18" spans="1:11" ht="15" thickBot="1">
      <c r="A18" s="323" t="s">
        <v>541</v>
      </c>
      <c r="B18" s="323"/>
      <c r="C18" s="324"/>
      <c r="D18" s="324"/>
      <c r="E18" s="113">
        <v>0</v>
      </c>
      <c r="H18" s="908"/>
      <c r="I18" s="29" t="str">
        <f>'Disc Dep'!I18</f>
        <v>MAT 0.5</v>
      </c>
      <c r="J18" s="30">
        <f t="shared" si="0"/>
        <v>0</v>
      </c>
      <c r="K18" s="31">
        <v>0</v>
      </c>
    </row>
    <row r="19" spans="1:11" ht="15" thickBot="1">
      <c r="A19" s="323" t="s">
        <v>134</v>
      </c>
      <c r="B19" s="323"/>
      <c r="C19" s="324"/>
      <c r="D19" s="324"/>
      <c r="E19" s="113">
        <v>0</v>
      </c>
      <c r="H19" s="908"/>
      <c r="I19" s="29" t="str">
        <f>'Disc Dep'!I19</f>
        <v>SUPREM 50 0.5</v>
      </c>
      <c r="J19" s="30">
        <f t="shared" si="0"/>
        <v>0</v>
      </c>
      <c r="K19" s="31">
        <v>0</v>
      </c>
    </row>
    <row r="20" spans="1:11" ht="15" thickBot="1">
      <c r="A20" s="910" t="s">
        <v>1717</v>
      </c>
      <c r="B20" s="910"/>
      <c r="C20" s="910"/>
      <c r="D20" s="910"/>
      <c r="E20" s="113">
        <v>0</v>
      </c>
      <c r="H20" s="909"/>
      <c r="I20" s="29" t="str">
        <f>'Disc Dep'!I20</f>
        <v>NEOMAT 30 0.5</v>
      </c>
      <c r="J20" s="30">
        <f t="shared" si="0"/>
        <v>0</v>
      </c>
      <c r="K20" s="31">
        <v>0</v>
      </c>
    </row>
    <row r="21" spans="1:11" s="77" customFormat="1" ht="15" thickBot="1">
      <c r="A21" s="486"/>
      <c r="B21" s="486"/>
      <c r="C21" s="486"/>
      <c r="D21" s="486"/>
      <c r="E21" s="113"/>
      <c r="H21" s="907" t="s">
        <v>2245</v>
      </c>
      <c r="I21" s="29" t="s">
        <v>36</v>
      </c>
      <c r="J21" s="30">
        <f t="shared" si="0"/>
        <v>0</v>
      </c>
      <c r="K21" s="31">
        <v>0</v>
      </c>
    </row>
    <row r="22" spans="1:11" s="77" customFormat="1" ht="15" thickBot="1">
      <c r="A22" s="486"/>
      <c r="B22" s="486"/>
      <c r="C22" s="486"/>
      <c r="D22" s="486"/>
      <c r="E22" s="113"/>
      <c r="H22" s="908"/>
      <c r="I22" s="29" t="s">
        <v>36</v>
      </c>
      <c r="J22" s="30">
        <f t="shared" si="0"/>
        <v>0</v>
      </c>
      <c r="K22" s="31">
        <v>0</v>
      </c>
    </row>
    <row r="23" spans="1:11" s="77" customFormat="1" ht="15" thickBot="1">
      <c r="A23" s="486"/>
      <c r="B23" s="486"/>
      <c r="C23" s="486"/>
      <c r="D23" s="486"/>
      <c r="E23" s="113"/>
      <c r="H23" s="908"/>
      <c r="I23" s="29" t="s">
        <v>36</v>
      </c>
      <c r="J23" s="30">
        <f t="shared" si="0"/>
        <v>0</v>
      </c>
      <c r="K23" s="31">
        <v>0</v>
      </c>
    </row>
    <row r="24" spans="1:11" s="77" customFormat="1" ht="15" thickBot="1">
      <c r="A24" s="486"/>
      <c r="B24" s="486"/>
      <c r="C24" s="486"/>
      <c r="D24" s="486"/>
      <c r="E24" s="113"/>
      <c r="H24" s="908"/>
      <c r="I24" s="29" t="s">
        <v>369</v>
      </c>
      <c r="J24" s="30">
        <f t="shared" si="0"/>
        <v>0</v>
      </c>
      <c r="K24" s="31">
        <v>0</v>
      </c>
    </row>
    <row r="25" spans="1:11" s="77" customFormat="1" ht="15" thickBot="1">
      <c r="A25" s="486"/>
      <c r="B25" s="486"/>
      <c r="C25" s="486"/>
      <c r="D25" s="486"/>
      <c r="E25" s="113"/>
      <c r="H25" s="908"/>
      <c r="I25" s="29" t="s">
        <v>36</v>
      </c>
      <c r="J25" s="30">
        <f t="shared" si="0"/>
        <v>0</v>
      </c>
      <c r="K25" s="31">
        <v>0</v>
      </c>
    </row>
    <row r="26" spans="1:11" s="77" customFormat="1" ht="15" thickBot="1">
      <c r="A26" s="486"/>
      <c r="B26" s="486"/>
      <c r="C26" s="486"/>
      <c r="D26" s="486"/>
      <c r="E26" s="113"/>
      <c r="H26" s="908"/>
      <c r="I26" s="29" t="s">
        <v>371</v>
      </c>
      <c r="J26" s="30">
        <f t="shared" si="0"/>
        <v>0</v>
      </c>
      <c r="K26" s="31">
        <v>0</v>
      </c>
    </row>
    <row r="27" spans="1:11" s="77" customFormat="1" ht="15" thickBot="1">
      <c r="A27" s="486"/>
      <c r="B27" s="486"/>
      <c r="C27" s="486"/>
      <c r="D27" s="486"/>
      <c r="E27" s="113"/>
      <c r="H27" s="908"/>
      <c r="I27" s="29" t="s">
        <v>372</v>
      </c>
      <c r="J27" s="30">
        <f t="shared" si="0"/>
        <v>0</v>
      </c>
      <c r="K27" s="31">
        <v>0</v>
      </c>
    </row>
    <row r="28" spans="1:11" s="77" customFormat="1" ht="15" thickBot="1">
      <c r="A28" s="486"/>
      <c r="B28" s="486"/>
      <c r="C28" s="486"/>
      <c r="D28" s="486"/>
      <c r="E28" s="113"/>
      <c r="H28" s="908"/>
      <c r="I28" s="29" t="s">
        <v>373</v>
      </c>
      <c r="J28" s="30">
        <f t="shared" si="0"/>
        <v>0</v>
      </c>
      <c r="K28" s="31">
        <v>0</v>
      </c>
    </row>
    <row r="29" spans="1:11" s="77" customFormat="1" ht="15" thickBot="1">
      <c r="A29" s="486"/>
      <c r="B29" s="486"/>
      <c r="C29" s="486"/>
      <c r="D29" s="486"/>
      <c r="E29" s="113"/>
      <c r="H29" s="909"/>
      <c r="I29" s="29" t="s">
        <v>374</v>
      </c>
      <c r="J29" s="30">
        <f t="shared" si="0"/>
        <v>0</v>
      </c>
      <c r="K29" s="31">
        <v>0</v>
      </c>
    </row>
    <row r="30" spans="1:11" ht="15" thickBot="1">
      <c r="H30" s="907" t="s">
        <v>375</v>
      </c>
      <c r="I30" s="29" t="str">
        <f>'Disc Dep'!I30</f>
        <v xml:space="preserve"> </v>
      </c>
      <c r="J30" s="30">
        <f t="shared" si="0"/>
        <v>0</v>
      </c>
      <c r="K30" s="31">
        <v>0</v>
      </c>
    </row>
    <row r="31" spans="1:11" ht="15" thickBot="1">
      <c r="H31" s="908"/>
      <c r="I31" s="29" t="str">
        <f>'Disc Dep'!I31</f>
        <v xml:space="preserve"> </v>
      </c>
      <c r="J31" s="30">
        <f t="shared" si="0"/>
        <v>0</v>
      </c>
      <c r="K31" s="31">
        <v>0</v>
      </c>
    </row>
    <row r="32" spans="1:11" ht="15" thickBot="1">
      <c r="H32" s="908"/>
      <c r="I32" s="29" t="str">
        <f>'Disc Dep'!I32</f>
        <v xml:space="preserve"> </v>
      </c>
      <c r="J32" s="30">
        <f t="shared" si="0"/>
        <v>0</v>
      </c>
      <c r="K32" s="31">
        <v>0</v>
      </c>
    </row>
    <row r="33" spans="1:11" ht="15" thickBot="1">
      <c r="H33" s="908"/>
      <c r="I33" s="29" t="str">
        <f>'Disc Dep'!I33</f>
        <v>LUCIOS 0.5</v>
      </c>
      <c r="J33" s="30">
        <f t="shared" si="0"/>
        <v>0</v>
      </c>
      <c r="K33" s="31">
        <v>0</v>
      </c>
    </row>
    <row r="34" spans="1:11" ht="15" thickBot="1">
      <c r="H34" s="908"/>
      <c r="I34" s="29" t="str">
        <f>'Disc Dep'!I34</f>
        <v xml:space="preserve"> </v>
      </c>
      <c r="J34" s="30">
        <f t="shared" si="0"/>
        <v>0</v>
      </c>
      <c r="K34" s="31">
        <v>0</v>
      </c>
    </row>
    <row r="35" spans="1:11" ht="15" thickBot="1">
      <c r="H35" s="908"/>
      <c r="I35" s="29" t="str">
        <f>'Disc Dep'!I35</f>
        <v>MAT 0.45</v>
      </c>
      <c r="J35" s="30">
        <f t="shared" si="0"/>
        <v>0</v>
      </c>
      <c r="K35" s="31">
        <v>0</v>
      </c>
    </row>
    <row r="36" spans="1:11" s="1" customFormat="1" ht="15" thickBot="1">
      <c r="A36"/>
      <c r="B36"/>
      <c r="C36" s="2"/>
      <c r="D36"/>
      <c r="E36"/>
      <c r="H36" s="908"/>
      <c r="I36" s="29" t="str">
        <f>'Disc Dep'!I36</f>
        <v>MAT 0.5</v>
      </c>
      <c r="J36" s="30">
        <f t="shared" si="0"/>
        <v>0</v>
      </c>
      <c r="K36" s="31">
        <v>0</v>
      </c>
    </row>
    <row r="37" spans="1:11" ht="15" thickBot="1">
      <c r="A37" s="1"/>
      <c r="B37" s="1"/>
      <c r="D37" s="1"/>
      <c r="E37" s="1"/>
      <c r="H37" s="908"/>
      <c r="I37" s="29" t="str">
        <f>'Disc Dep'!I37</f>
        <v>SUPREM 50 0.5</v>
      </c>
      <c r="J37" s="30">
        <f t="shared" si="0"/>
        <v>0</v>
      </c>
      <c r="K37" s="31">
        <v>0</v>
      </c>
    </row>
    <row r="38" spans="1:11" ht="15" thickBot="1">
      <c r="H38" s="909"/>
      <c r="I38" s="29" t="str">
        <f>'Disc Dep'!I38</f>
        <v>NEOMAT 30 0.5</v>
      </c>
      <c r="J38" s="30">
        <f t="shared" si="0"/>
        <v>0</v>
      </c>
      <c r="K38" s="31">
        <v>0</v>
      </c>
    </row>
    <row r="39" spans="1:11" ht="15" thickBot="1">
      <c r="H39" s="907" t="s">
        <v>333</v>
      </c>
      <c r="I39" s="29" t="str">
        <f>'Disc Dep'!I39</f>
        <v xml:space="preserve"> </v>
      </c>
      <c r="J39" s="30">
        <f t="shared" si="0"/>
        <v>0</v>
      </c>
      <c r="K39" s="31">
        <v>0</v>
      </c>
    </row>
    <row r="40" spans="1:11" ht="15" thickBot="1">
      <c r="H40" s="908"/>
      <c r="I40" s="29" t="str">
        <f>'Disc Dep'!I40</f>
        <v xml:space="preserve"> </v>
      </c>
      <c r="J40" s="30">
        <f t="shared" si="0"/>
        <v>0</v>
      </c>
      <c r="K40" s="31">
        <v>0</v>
      </c>
    </row>
    <row r="41" spans="1:11" ht="15" thickBot="1">
      <c r="H41" s="908"/>
      <c r="I41" s="29" t="str">
        <f>'Disc Dep'!I41</f>
        <v xml:space="preserve"> </v>
      </c>
      <c r="J41" s="30">
        <f t="shared" si="0"/>
        <v>0</v>
      </c>
      <c r="K41" s="31">
        <v>0</v>
      </c>
    </row>
    <row r="42" spans="1:11" ht="15" thickBot="1">
      <c r="H42" s="908"/>
      <c r="I42" s="29" t="str">
        <f>'Disc Dep'!I42</f>
        <v>LUCIOS 0.5</v>
      </c>
      <c r="J42" s="30">
        <f t="shared" si="0"/>
        <v>0</v>
      </c>
      <c r="K42" s="31">
        <v>0</v>
      </c>
    </row>
    <row r="43" spans="1:11" ht="15" thickBot="1">
      <c r="H43" s="908"/>
      <c r="I43" s="29" t="str">
        <f>'Disc Dep'!I43</f>
        <v xml:space="preserve"> </v>
      </c>
      <c r="J43" s="30">
        <f t="shared" si="0"/>
        <v>0</v>
      </c>
      <c r="K43" s="31">
        <v>0</v>
      </c>
    </row>
    <row r="44" spans="1:11" ht="15" thickBot="1">
      <c r="H44" s="908"/>
      <c r="I44" s="29" t="str">
        <f>'Disc Dep'!I44</f>
        <v>MAT 0.45</v>
      </c>
      <c r="J44" s="30">
        <f t="shared" si="0"/>
        <v>0</v>
      </c>
      <c r="K44" s="31">
        <v>0</v>
      </c>
    </row>
    <row r="45" spans="1:11" ht="15" thickBot="1">
      <c r="H45" s="908"/>
      <c r="I45" s="29" t="str">
        <f>'Disc Dep'!I45</f>
        <v>MAT 0.5</v>
      </c>
      <c r="J45" s="30">
        <f t="shared" si="0"/>
        <v>0</v>
      </c>
      <c r="K45" s="31">
        <v>0</v>
      </c>
    </row>
    <row r="46" spans="1:11" ht="15" thickBot="1">
      <c r="H46" s="908"/>
      <c r="I46" s="29" t="str">
        <f>'Disc Dep'!I46</f>
        <v>SUPREM 50 0.5</v>
      </c>
      <c r="J46" s="30">
        <f t="shared" si="0"/>
        <v>0</v>
      </c>
      <c r="K46" s="31">
        <v>0</v>
      </c>
    </row>
    <row r="47" spans="1:11" ht="15" thickBot="1">
      <c r="H47" s="909"/>
      <c r="I47" s="29" t="str">
        <f>'Disc Dep'!I47</f>
        <v>NEOMAT 30 0.5</v>
      </c>
      <c r="J47" s="30">
        <f t="shared" si="0"/>
        <v>0</v>
      </c>
      <c r="K47" s="31">
        <v>0</v>
      </c>
    </row>
    <row r="48" spans="1:11" ht="15" thickBot="1">
      <c r="H48" s="907" t="s">
        <v>1</v>
      </c>
      <c r="I48" s="29" t="str">
        <f>'Disc Dep'!I48</f>
        <v>LUCIOS 0.35</v>
      </c>
      <c r="J48" s="30">
        <f t="shared" si="0"/>
        <v>0</v>
      </c>
      <c r="K48" s="31">
        <v>0</v>
      </c>
    </row>
    <row r="49" spans="8:11" ht="15" thickBot="1">
      <c r="H49" s="908"/>
      <c r="I49" s="29" t="str">
        <f>'Disc Dep'!I49</f>
        <v>LUCIOS 0.4</v>
      </c>
      <c r="J49" s="30">
        <f t="shared" si="0"/>
        <v>0</v>
      </c>
      <c r="K49" s="31">
        <v>0</v>
      </c>
    </row>
    <row r="50" spans="8:11" ht="15" thickBot="1">
      <c r="H50" s="908"/>
      <c r="I50" s="29" t="str">
        <f>'Disc Dep'!I50</f>
        <v>LUCIOS 0.45</v>
      </c>
      <c r="J50" s="30">
        <f t="shared" si="0"/>
        <v>0</v>
      </c>
      <c r="K50" s="31">
        <v>0</v>
      </c>
    </row>
    <row r="51" spans="8:11" ht="15" thickBot="1">
      <c r="H51" s="908"/>
      <c r="I51" s="29" t="str">
        <f>'Disc Dep'!I51</f>
        <v>LUCIOS 0.5</v>
      </c>
      <c r="J51" s="30">
        <f t="shared" si="0"/>
        <v>0</v>
      </c>
      <c r="K51" s="31">
        <v>0</v>
      </c>
    </row>
    <row r="52" spans="8:11" ht="15" thickBot="1">
      <c r="H52" s="908"/>
      <c r="I52" s="29" t="str">
        <f>'Disc Dep'!I52</f>
        <v>MAT 0.4</v>
      </c>
      <c r="J52" s="30">
        <f t="shared" si="0"/>
        <v>0</v>
      </c>
      <c r="K52" s="31">
        <v>0</v>
      </c>
    </row>
    <row r="53" spans="8:11" ht="15" thickBot="1">
      <c r="H53" s="908"/>
      <c r="I53" s="29" t="str">
        <f>'Disc Dep'!I53</f>
        <v>MAT 0.45</v>
      </c>
      <c r="J53" s="30">
        <f t="shared" si="0"/>
        <v>0</v>
      </c>
      <c r="K53" s="31">
        <v>0</v>
      </c>
    </row>
    <row r="54" spans="8:11" ht="15" thickBot="1">
      <c r="H54" s="908"/>
      <c r="I54" s="29" t="str">
        <f>'Disc Dep'!I54</f>
        <v>MAT 0.5</v>
      </c>
      <c r="J54" s="30">
        <f t="shared" si="0"/>
        <v>0</v>
      </c>
      <c r="K54" s="31">
        <v>0</v>
      </c>
    </row>
    <row r="55" spans="8:11" ht="15" thickBot="1">
      <c r="H55" s="908"/>
      <c r="I55" s="29" t="str">
        <f>'Disc Dep'!I55</f>
        <v>SUPREM 50 0.5</v>
      </c>
      <c r="J55" s="30">
        <f t="shared" si="0"/>
        <v>0</v>
      </c>
      <c r="K55" s="31">
        <v>0</v>
      </c>
    </row>
    <row r="56" spans="8:11" ht="15" thickBot="1">
      <c r="H56" s="909"/>
      <c r="I56" s="29" t="str">
        <f>'Disc Dep'!I56</f>
        <v>NEOMAT 30 0.5</v>
      </c>
      <c r="J56" s="30">
        <f t="shared" si="0"/>
        <v>0</v>
      </c>
      <c r="K56" s="31">
        <v>0</v>
      </c>
    </row>
    <row r="57" spans="8:11" ht="15" thickBot="1">
      <c r="H57" s="325" t="s">
        <v>1668</v>
      </c>
      <c r="I57" s="29" t="str">
        <f>I54</f>
        <v>MAT 0.5</v>
      </c>
      <c r="J57" s="30">
        <f t="shared" ref="J57" si="1">IF(K57&lt;0,(K57*(-1)),K57)</f>
        <v>0</v>
      </c>
      <c r="K57" s="31">
        <v>0</v>
      </c>
    </row>
    <row r="105" spans="1:8">
      <c r="F105" s="134"/>
      <c r="G105" s="134"/>
      <c r="H105" s="21"/>
    </row>
    <row r="106" spans="1:8">
      <c r="A106" s="134"/>
      <c r="B106" s="134"/>
      <c r="C106" s="135"/>
      <c r="D106" s="134"/>
      <c r="E106" s="134"/>
      <c r="F106" s="114"/>
      <c r="G106" s="134"/>
      <c r="H106" s="21"/>
    </row>
    <row r="107" spans="1:8">
      <c r="A107" s="114"/>
      <c r="B107" s="114"/>
      <c r="C107" s="44"/>
      <c r="D107" s="114"/>
      <c r="E107" s="114"/>
      <c r="F107" s="114"/>
      <c r="G107" s="134"/>
      <c r="H107" s="21"/>
    </row>
    <row r="108" spans="1:8">
      <c r="A108" s="114"/>
      <c r="B108" s="114"/>
      <c r="C108" s="44"/>
      <c r="D108" s="114"/>
      <c r="E108" s="114"/>
      <c r="F108" s="114"/>
      <c r="G108" s="134"/>
      <c r="H108" s="21"/>
    </row>
    <row r="109" spans="1:8">
      <c r="A109" s="114"/>
      <c r="B109" s="114"/>
      <c r="C109" s="44"/>
      <c r="D109" s="114"/>
      <c r="E109" s="114"/>
      <c r="F109" s="114"/>
      <c r="G109" s="134"/>
      <c r="H109" s="21"/>
    </row>
    <row r="110" spans="1:8">
      <c r="A110" s="911" t="s">
        <v>302</v>
      </c>
      <c r="B110" s="911"/>
      <c r="C110" s="44">
        <f>IF(D110&lt;0,(D110*(-1)),D110)</f>
        <v>0</v>
      </c>
      <c r="D110" s="44">
        <f>E15</f>
        <v>0</v>
      </c>
      <c r="E110" s="114"/>
      <c r="F110" s="114"/>
      <c r="G110" s="134"/>
      <c r="H110" s="21"/>
    </row>
    <row r="111" spans="1:8">
      <c r="A111" s="911" t="s">
        <v>52</v>
      </c>
      <c r="B111" s="911"/>
      <c r="C111" s="44">
        <f t="shared" ref="C111:C126" si="2">IF(D111&lt;0,(D111*(-1)),D111)</f>
        <v>0</v>
      </c>
      <c r="D111" s="121">
        <f>E9</f>
        <v>0</v>
      </c>
      <c r="E111" s="114"/>
      <c r="F111" s="114"/>
      <c r="G111" s="134"/>
      <c r="H111" s="21"/>
    </row>
    <row r="112" spans="1:8">
      <c r="A112" s="911" t="s">
        <v>68</v>
      </c>
      <c r="B112" s="911"/>
      <c r="C112" s="44">
        <f t="shared" si="2"/>
        <v>0</v>
      </c>
      <c r="D112" s="121">
        <f>E10</f>
        <v>0</v>
      </c>
      <c r="E112" s="114"/>
      <c r="F112" s="114"/>
      <c r="G112" s="134"/>
      <c r="H112" s="21"/>
    </row>
    <row r="113" spans="1:9">
      <c r="A113" s="911" t="s">
        <v>90</v>
      </c>
      <c r="B113" s="911"/>
      <c r="C113" s="44">
        <f t="shared" si="2"/>
        <v>0</v>
      </c>
      <c r="D113" s="121">
        <f>E12</f>
        <v>0</v>
      </c>
      <c r="E113" s="114"/>
      <c r="F113" s="114"/>
      <c r="G113" s="134"/>
      <c r="H113" s="21"/>
    </row>
    <row r="114" spans="1:9">
      <c r="A114" s="911" t="s">
        <v>91</v>
      </c>
      <c r="B114" s="911"/>
      <c r="C114" s="44">
        <f t="shared" si="2"/>
        <v>0</v>
      </c>
      <c r="D114" s="121">
        <f>E11</f>
        <v>0</v>
      </c>
      <c r="E114" s="114"/>
      <c r="F114" s="114"/>
      <c r="G114" s="134"/>
      <c r="H114" s="21"/>
    </row>
    <row r="115" spans="1:9">
      <c r="A115" s="911" t="s">
        <v>110</v>
      </c>
      <c r="B115" s="911"/>
      <c r="C115" s="44">
        <f t="shared" si="2"/>
        <v>0</v>
      </c>
      <c r="D115" s="121">
        <f>E7</f>
        <v>0</v>
      </c>
      <c r="E115" s="114"/>
      <c r="F115" s="114"/>
      <c r="G115" s="142"/>
      <c r="H115" s="41"/>
      <c r="I115" s="41"/>
    </row>
    <row r="116" spans="1:9">
      <c r="A116" s="911" t="s">
        <v>132</v>
      </c>
      <c r="B116" s="911"/>
      <c r="C116" s="44">
        <f t="shared" si="2"/>
        <v>0</v>
      </c>
      <c r="D116" s="121">
        <f>E14</f>
        <v>0</v>
      </c>
      <c r="E116" s="114"/>
      <c r="F116" s="114"/>
      <c r="G116" s="142"/>
      <c r="H116" s="41"/>
      <c r="I116" s="41"/>
    </row>
    <row r="117" spans="1:9">
      <c r="A117" s="911" t="s">
        <v>133</v>
      </c>
      <c r="B117" s="911"/>
      <c r="C117" s="44">
        <f t="shared" si="2"/>
        <v>0</v>
      </c>
      <c r="D117" s="121">
        <f>D116</f>
        <v>0</v>
      </c>
      <c r="E117" s="114"/>
      <c r="F117" s="114"/>
      <c r="G117" s="142"/>
      <c r="H117" s="41"/>
      <c r="I117" s="41"/>
    </row>
    <row r="118" spans="1:9">
      <c r="A118" s="911" t="s">
        <v>138</v>
      </c>
      <c r="B118" s="911"/>
      <c r="C118" s="44">
        <f t="shared" si="2"/>
        <v>0</v>
      </c>
      <c r="D118" s="121">
        <f>E13</f>
        <v>0</v>
      </c>
      <c r="E118" s="114"/>
      <c r="F118" s="114"/>
      <c r="G118" s="142"/>
      <c r="H118" s="41"/>
      <c r="I118" s="41"/>
    </row>
    <row r="119" spans="1:9">
      <c r="A119" s="911" t="s">
        <v>553</v>
      </c>
      <c r="B119" s="911"/>
      <c r="C119" s="44">
        <f t="shared" si="2"/>
        <v>0</v>
      </c>
      <c r="D119" s="121">
        <f>E6</f>
        <v>0</v>
      </c>
      <c r="E119" s="114"/>
      <c r="F119" s="114"/>
      <c r="G119" s="142"/>
      <c r="H119" s="41"/>
      <c r="I119" s="41"/>
    </row>
    <row r="120" spans="1:9">
      <c r="A120" s="911" t="s">
        <v>154</v>
      </c>
      <c r="B120" s="911"/>
      <c r="C120" s="44">
        <f t="shared" si="2"/>
        <v>0</v>
      </c>
      <c r="D120" s="121">
        <f>E3</f>
        <v>0</v>
      </c>
      <c r="E120" s="114"/>
      <c r="F120" s="114"/>
      <c r="G120" s="142"/>
      <c r="H120" s="41"/>
      <c r="I120" s="41"/>
    </row>
    <row r="121" spans="1:9">
      <c r="A121" s="911" t="s">
        <v>134</v>
      </c>
      <c r="B121" s="911"/>
      <c r="C121" s="44">
        <f t="shared" si="2"/>
        <v>0</v>
      </c>
      <c r="D121" s="121">
        <f>E19</f>
        <v>0</v>
      </c>
      <c r="E121" s="114"/>
      <c r="F121" s="114"/>
      <c r="G121" s="142"/>
      <c r="H121" s="41"/>
      <c r="I121" s="41"/>
    </row>
    <row r="122" spans="1:9">
      <c r="A122" s="911" t="s">
        <v>157</v>
      </c>
      <c r="B122" s="911"/>
      <c r="C122" s="44">
        <f t="shared" si="2"/>
        <v>0</v>
      </c>
      <c r="D122" s="121">
        <f>E4</f>
        <v>0</v>
      </c>
      <c r="E122" s="114"/>
      <c r="F122" s="114"/>
      <c r="G122" s="142"/>
      <c r="H122" s="41"/>
      <c r="I122" s="41"/>
    </row>
    <row r="123" spans="1:9">
      <c r="A123" s="911" t="s">
        <v>163</v>
      </c>
      <c r="B123" s="911"/>
      <c r="C123" s="44">
        <f t="shared" si="2"/>
        <v>0</v>
      </c>
      <c r="D123" s="121">
        <f>E8</f>
        <v>0</v>
      </c>
      <c r="E123" s="114"/>
      <c r="F123" s="114"/>
      <c r="G123" s="142"/>
      <c r="H123" s="41"/>
      <c r="I123" s="41"/>
    </row>
    <row r="124" spans="1:9">
      <c r="A124" s="42" t="s">
        <v>557</v>
      </c>
      <c r="B124" s="42" t="s">
        <v>557</v>
      </c>
      <c r="C124" s="44">
        <f t="shared" si="2"/>
        <v>0</v>
      </c>
      <c r="D124" s="121">
        <f>E16</f>
        <v>0</v>
      </c>
      <c r="E124" s="114"/>
      <c r="F124" s="114"/>
      <c r="G124" s="142"/>
      <c r="H124" s="41"/>
      <c r="I124" s="41"/>
    </row>
    <row r="125" spans="1:9">
      <c r="A125" s="42" t="s">
        <v>558</v>
      </c>
      <c r="B125" s="42" t="s">
        <v>558</v>
      </c>
      <c r="C125" s="44">
        <f t="shared" si="2"/>
        <v>0</v>
      </c>
      <c r="D125" s="121">
        <f>E17</f>
        <v>0</v>
      </c>
      <c r="E125" s="114"/>
      <c r="F125" s="114"/>
      <c r="G125" s="142"/>
      <c r="H125" s="41"/>
      <c r="I125" s="41"/>
    </row>
    <row r="126" spans="1:9">
      <c r="A126" s="139" t="s">
        <v>541</v>
      </c>
      <c r="B126" s="139"/>
      <c r="C126" s="44">
        <f t="shared" si="2"/>
        <v>0</v>
      </c>
      <c r="D126" s="121">
        <f>E18</f>
        <v>0</v>
      </c>
      <c r="E126" s="114"/>
      <c r="F126" s="114"/>
      <c r="G126" s="142"/>
      <c r="H126" s="41"/>
      <c r="I126" s="41"/>
    </row>
    <row r="127" spans="1:9">
      <c r="A127" s="114"/>
      <c r="B127" s="114"/>
      <c r="C127" s="44"/>
      <c r="D127" s="44"/>
      <c r="E127" s="114"/>
      <c r="F127" s="114"/>
      <c r="G127" s="142"/>
      <c r="H127" s="41"/>
      <c r="I127" s="41"/>
    </row>
    <row r="128" spans="1:9">
      <c r="A128" s="114"/>
      <c r="B128" s="114"/>
      <c r="C128" s="44"/>
      <c r="D128" s="114"/>
      <c r="E128" s="114"/>
      <c r="F128" s="4"/>
      <c r="G128" s="41"/>
      <c r="H128" s="41"/>
      <c r="I128" s="41"/>
    </row>
    <row r="129" spans="1:9">
      <c r="A129" s="4"/>
      <c r="B129" s="4"/>
      <c r="C129" s="12"/>
      <c r="D129" s="4"/>
      <c r="E129" s="4"/>
      <c r="F129" s="41"/>
      <c r="G129" s="41"/>
      <c r="H129" s="41"/>
      <c r="I129" s="41"/>
    </row>
    <row r="130" spans="1:9">
      <c r="A130" s="41"/>
      <c r="B130" s="41"/>
      <c r="C130" s="143"/>
      <c r="D130" s="41"/>
      <c r="E130" s="41"/>
      <c r="F130" s="41"/>
      <c r="G130" s="41"/>
      <c r="H130" s="41"/>
      <c r="I130" s="41"/>
    </row>
    <row r="131" spans="1:9">
      <c r="A131" s="41"/>
      <c r="B131" s="41"/>
      <c r="C131" s="143"/>
      <c r="D131" s="41"/>
      <c r="E131" s="41"/>
      <c r="F131" s="41"/>
      <c r="G131" s="41"/>
      <c r="H131" s="41"/>
      <c r="I131" s="41"/>
    </row>
    <row r="132" spans="1:9">
      <c r="A132" s="41"/>
      <c r="B132" s="41"/>
      <c r="C132" s="143"/>
      <c r="D132" s="41"/>
      <c r="E132" s="41"/>
      <c r="F132" s="41"/>
      <c r="G132" s="41"/>
      <c r="H132" s="41"/>
      <c r="I132" s="41"/>
    </row>
    <row r="133" spans="1:9">
      <c r="A133" s="41"/>
      <c r="B133" s="41"/>
      <c r="C133" s="143"/>
      <c r="D133" s="41"/>
      <c r="E133" s="41"/>
      <c r="F133" s="41"/>
      <c r="G133" s="41"/>
      <c r="H133" s="41"/>
      <c r="I133" s="41"/>
    </row>
    <row r="134" spans="1:9">
      <c r="A134" s="41"/>
      <c r="B134" s="41"/>
      <c r="C134" s="143"/>
      <c r="D134" s="41"/>
      <c r="E134" s="41"/>
      <c r="F134" s="41"/>
      <c r="G134" s="41"/>
      <c r="H134" s="41"/>
      <c r="I134" s="41"/>
    </row>
    <row r="135" spans="1:9">
      <c r="A135" s="41"/>
      <c r="B135" s="41"/>
      <c r="C135" s="143"/>
      <c r="D135" s="41"/>
      <c r="E135" s="41"/>
      <c r="F135" s="41"/>
      <c r="G135" s="41"/>
      <c r="H135" s="41"/>
      <c r="I135" s="41"/>
    </row>
    <row r="136" spans="1:9">
      <c r="A136" s="41"/>
      <c r="B136" s="41"/>
      <c r="C136" s="143"/>
      <c r="D136" s="41"/>
      <c r="E136" s="41"/>
      <c r="F136" s="41"/>
      <c r="G136" s="41"/>
      <c r="H136" s="41"/>
      <c r="I136" s="41"/>
    </row>
    <row r="137" spans="1:9">
      <c r="A137" s="41"/>
      <c r="B137" s="41"/>
      <c r="C137" s="143"/>
      <c r="D137" s="41"/>
      <c r="E137" s="41"/>
      <c r="F137" s="41"/>
      <c r="G137" s="41"/>
      <c r="H137" s="41"/>
      <c r="I137" s="41"/>
    </row>
    <row r="138" spans="1:9">
      <c r="A138" s="41"/>
      <c r="B138" s="41"/>
      <c r="C138" s="143"/>
      <c r="D138" s="41"/>
      <c r="E138" s="41"/>
      <c r="F138" s="41"/>
      <c r="G138" s="41"/>
      <c r="H138" s="41"/>
      <c r="I138" s="41"/>
    </row>
    <row r="139" spans="1:9">
      <c r="A139" s="41"/>
      <c r="B139" s="41"/>
      <c r="C139" s="143"/>
      <c r="D139" s="41"/>
      <c r="E139" s="41"/>
      <c r="F139" s="41"/>
      <c r="G139" s="41"/>
      <c r="H139" s="41"/>
      <c r="I139" s="41"/>
    </row>
    <row r="140" spans="1:9">
      <c r="A140" s="41"/>
      <c r="B140" s="41"/>
      <c r="C140" s="143"/>
      <c r="D140" s="41"/>
      <c r="E140" s="41"/>
      <c r="F140" s="41"/>
      <c r="G140" s="41"/>
      <c r="H140" s="41"/>
      <c r="I140" s="41"/>
    </row>
    <row r="141" spans="1:9">
      <c r="A141" s="41"/>
      <c r="B141" s="41"/>
      <c r="C141" s="143"/>
      <c r="D141" s="41"/>
      <c r="E141" s="41"/>
      <c r="F141" s="41"/>
      <c r="G141" s="41"/>
      <c r="H141" s="41"/>
      <c r="I141" s="41"/>
    </row>
    <row r="142" spans="1:9">
      <c r="A142" s="41"/>
      <c r="B142" s="41"/>
      <c r="C142" s="143"/>
      <c r="D142" s="41"/>
      <c r="E142" s="41"/>
      <c r="F142" s="41"/>
      <c r="G142" s="41"/>
      <c r="H142" s="41"/>
      <c r="I142" s="41"/>
    </row>
    <row r="143" spans="1:9">
      <c r="A143" s="41"/>
      <c r="B143" s="41"/>
      <c r="C143" s="143"/>
      <c r="D143" s="41"/>
      <c r="E143" s="41"/>
      <c r="F143" s="41"/>
      <c r="G143" s="41"/>
      <c r="H143" s="41"/>
      <c r="I143" s="41"/>
    </row>
    <row r="144" spans="1:9">
      <c r="A144" s="41"/>
      <c r="B144" s="41"/>
      <c r="C144" s="143"/>
      <c r="D144" s="41"/>
      <c r="E144" s="41"/>
    </row>
  </sheetData>
  <sheetProtection algorithmName="SHA-512" hashValue="V4vq9sYTOjYPOtZv8MObgILHejyUyzrPXhQob9bxerA/VU4IcmJIK1tfZVq4IJu3dpxHWsVvX7JjjP1gg4rwLg==" saltValue="hztr1izRy1xA7iIyGy6TLQ==" spinCount="100000" sheet="1" objects="1" scenarios="1"/>
  <protectedRanges>
    <protectedRange sqref="E3:E29" name="Range3"/>
    <protectedRange sqref="E20:E29 D3:E19" name="Range1_1"/>
    <protectedRange sqref="D110:D123 K3:K57" name="Range1"/>
  </protectedRanges>
  <mergeCells count="23">
    <mergeCell ref="A122:B122"/>
    <mergeCell ref="A123:B123"/>
    <mergeCell ref="A116:B116"/>
    <mergeCell ref="A117:B117"/>
    <mergeCell ref="A118:B118"/>
    <mergeCell ref="A119:B119"/>
    <mergeCell ref="A120:B120"/>
    <mergeCell ref="A121:B121"/>
    <mergeCell ref="H39:H47"/>
    <mergeCell ref="A115:B115"/>
    <mergeCell ref="A110:B110"/>
    <mergeCell ref="A111:B111"/>
    <mergeCell ref="A112:B112"/>
    <mergeCell ref="A113:B113"/>
    <mergeCell ref="A114:B114"/>
    <mergeCell ref="H48:H56"/>
    <mergeCell ref="A1:E2"/>
    <mergeCell ref="H1:K2"/>
    <mergeCell ref="H3:H11"/>
    <mergeCell ref="H12:H20"/>
    <mergeCell ref="H30:H38"/>
    <mergeCell ref="A20:D20"/>
    <mergeCell ref="H21:H29"/>
  </mergeCells>
  <pageMargins left="0.7" right="0.7" top="0.75" bottom="0.75" header="0.3" footer="0.3"/>
  <pageSetup paperSize="9" orientation="portrait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K135"/>
  <sheetViews>
    <sheetView workbookViewId="0">
      <selection activeCell="O9" sqref="O9"/>
    </sheetView>
  </sheetViews>
  <sheetFormatPr defaultColWidth="9.109375" defaultRowHeight="14.4"/>
  <cols>
    <col min="1" max="2" width="9.109375" style="1"/>
    <col min="3" max="3" width="9.109375" style="2"/>
    <col min="4" max="7" width="9.109375" style="1"/>
    <col min="8" max="8" width="34.109375" style="1" customWidth="1"/>
    <col min="9" max="9" width="19.88671875" style="1" customWidth="1"/>
    <col min="10" max="10" width="4" style="1" customWidth="1"/>
    <col min="11" max="16384" width="9.109375" style="1"/>
  </cols>
  <sheetData>
    <row r="1" spans="1:11">
      <c r="A1" s="912" t="s">
        <v>559</v>
      </c>
      <c r="B1" s="912"/>
      <c r="C1" s="912"/>
      <c r="D1" s="912"/>
      <c r="E1" s="912"/>
      <c r="H1" s="912" t="s">
        <v>283</v>
      </c>
      <c r="I1" s="912"/>
      <c r="J1" s="912"/>
      <c r="K1" s="912"/>
    </row>
    <row r="2" spans="1:11" ht="15" thickBot="1">
      <c r="A2" s="912"/>
      <c r="B2" s="912"/>
      <c r="C2" s="912"/>
      <c r="D2" s="912"/>
      <c r="E2" s="912"/>
      <c r="H2" s="912"/>
      <c r="I2" s="912"/>
      <c r="J2" s="912"/>
      <c r="K2" s="912"/>
    </row>
    <row r="3" spans="1:11" ht="15" thickBot="1">
      <c r="A3" s="340" t="s">
        <v>154</v>
      </c>
      <c r="B3" s="340"/>
      <c r="C3" s="341"/>
      <c r="D3" s="341"/>
      <c r="E3" s="113">
        <v>0</v>
      </c>
      <c r="H3" s="913" t="str">
        <f>'Adaos Distr'!H3:H11</f>
        <v xml:space="preserve">WETTERBEST PLUS </v>
      </c>
      <c r="I3" s="32" t="str">
        <f>'Adaos Distr'!I3</f>
        <v xml:space="preserve"> </v>
      </c>
      <c r="J3" s="33">
        <f>IF(K3&lt;0,(K3*(-1)),K3)</f>
        <v>0</v>
      </c>
      <c r="K3" s="45">
        <v>0</v>
      </c>
    </row>
    <row r="4" spans="1:11" ht="15" thickBot="1">
      <c r="A4" s="340" t="s">
        <v>552</v>
      </c>
      <c r="B4" s="340"/>
      <c r="C4" s="341"/>
      <c r="D4" s="341"/>
      <c r="E4" s="113">
        <v>0</v>
      </c>
      <c r="H4" s="914"/>
      <c r="I4" s="32" t="str">
        <f>'Adaos Distr'!I4</f>
        <v xml:space="preserve"> </v>
      </c>
      <c r="J4" s="33">
        <f t="shared" ref="J4:J56" si="0">IF(K4&lt;0,(K4*(-1)),K4)</f>
        <v>0</v>
      </c>
      <c r="K4" s="46">
        <v>0</v>
      </c>
    </row>
    <row r="5" spans="1:11" ht="15" thickBot="1">
      <c r="A5" s="340" t="s">
        <v>2229</v>
      </c>
      <c r="B5" s="340"/>
      <c r="C5" s="341"/>
      <c r="D5" s="341"/>
      <c r="E5" s="113">
        <v>0</v>
      </c>
      <c r="H5" s="914"/>
      <c r="I5" s="32" t="str">
        <f>'Adaos Distr'!I5</f>
        <v xml:space="preserve"> </v>
      </c>
      <c r="J5" s="33">
        <f t="shared" si="0"/>
        <v>0</v>
      </c>
      <c r="K5" s="46">
        <v>0</v>
      </c>
    </row>
    <row r="6" spans="1:11" ht="15" thickBot="1">
      <c r="A6" s="340" t="s">
        <v>553</v>
      </c>
      <c r="B6" s="340"/>
      <c r="C6" s="341"/>
      <c r="D6" s="341"/>
      <c r="E6" s="113">
        <v>0</v>
      </c>
      <c r="H6" s="914"/>
      <c r="I6" s="32" t="str">
        <f>'Adaos Distr'!I6</f>
        <v xml:space="preserve"> </v>
      </c>
      <c r="J6" s="33">
        <f t="shared" si="0"/>
        <v>0</v>
      </c>
      <c r="K6" s="46">
        <v>0</v>
      </c>
    </row>
    <row r="7" spans="1:11" ht="15" thickBot="1">
      <c r="A7" s="340" t="s">
        <v>171</v>
      </c>
      <c r="B7" s="340"/>
      <c r="C7" s="341"/>
      <c r="D7" s="341"/>
      <c r="E7" s="113">
        <v>0</v>
      </c>
      <c r="H7" s="914"/>
      <c r="I7" s="32" t="str">
        <f>'Adaos Distr'!I7</f>
        <v xml:space="preserve"> </v>
      </c>
      <c r="J7" s="33">
        <f t="shared" si="0"/>
        <v>0</v>
      </c>
      <c r="K7" s="46">
        <v>0</v>
      </c>
    </row>
    <row r="8" spans="1:11" ht="15" thickBot="1">
      <c r="A8" s="340" t="s">
        <v>554</v>
      </c>
      <c r="B8" s="340"/>
      <c r="C8" s="341"/>
      <c r="D8" s="341"/>
      <c r="E8" s="113">
        <v>0</v>
      </c>
      <c r="H8" s="914"/>
      <c r="I8" s="32" t="str">
        <f>'Adaos Distr'!I8</f>
        <v xml:space="preserve"> </v>
      </c>
      <c r="J8" s="33">
        <f t="shared" si="0"/>
        <v>0</v>
      </c>
      <c r="K8" s="46">
        <v>0</v>
      </c>
    </row>
    <row r="9" spans="1:11" ht="15" thickBot="1">
      <c r="A9" s="340" t="s">
        <v>555</v>
      </c>
      <c r="B9" s="340"/>
      <c r="C9" s="341"/>
      <c r="D9" s="341"/>
      <c r="E9" s="113">
        <v>0</v>
      </c>
      <c r="H9" s="914"/>
      <c r="I9" s="32" t="str">
        <f>'Adaos Distr'!I9</f>
        <v>MAT 0.5</v>
      </c>
      <c r="J9" s="33">
        <f t="shared" si="0"/>
        <v>0</v>
      </c>
      <c r="K9" s="46">
        <v>0</v>
      </c>
    </row>
    <row r="10" spans="1:11" ht="15" thickBot="1">
      <c r="A10" s="340" t="s">
        <v>68</v>
      </c>
      <c r="B10" s="340"/>
      <c r="C10" s="341"/>
      <c r="D10" s="341"/>
      <c r="E10" s="113">
        <v>0</v>
      </c>
      <c r="H10" s="914"/>
      <c r="I10" s="32" t="str">
        <f>'Adaos Distr'!I10</f>
        <v>SUPREM 50 0.5</v>
      </c>
      <c r="J10" s="33">
        <f t="shared" si="0"/>
        <v>0</v>
      </c>
      <c r="K10" s="46">
        <v>0</v>
      </c>
    </row>
    <row r="11" spans="1:11" ht="15" thickBot="1">
      <c r="A11" s="340" t="s">
        <v>91</v>
      </c>
      <c r="B11" s="340"/>
      <c r="C11" s="341"/>
      <c r="D11" s="341"/>
      <c r="E11" s="113">
        <v>0</v>
      </c>
      <c r="H11" s="915"/>
      <c r="I11" s="32" t="str">
        <f>'Adaos Distr'!I11</f>
        <v>NEOMAT 30 0.5</v>
      </c>
      <c r="J11" s="33">
        <f t="shared" si="0"/>
        <v>0</v>
      </c>
      <c r="K11" s="46">
        <v>0</v>
      </c>
    </row>
    <row r="12" spans="1:11" ht="15" thickBot="1">
      <c r="A12" s="340" t="s">
        <v>556</v>
      </c>
      <c r="B12" s="340"/>
      <c r="C12" s="341"/>
      <c r="D12" s="341"/>
      <c r="E12" s="113">
        <v>0</v>
      </c>
      <c r="H12" s="913" t="str">
        <f>'Adaos Distr'!H12:H20</f>
        <v>WETTERBEST GLADIATOR</v>
      </c>
      <c r="I12" s="32" t="str">
        <f>'Adaos Distr'!I12</f>
        <v xml:space="preserve"> </v>
      </c>
      <c r="J12" s="33">
        <f t="shared" si="0"/>
        <v>0</v>
      </c>
      <c r="K12" s="46">
        <v>0</v>
      </c>
    </row>
    <row r="13" spans="1:11" ht="15" thickBot="1">
      <c r="A13" s="340" t="s">
        <v>339</v>
      </c>
      <c r="B13" s="340"/>
      <c r="C13" s="341"/>
      <c r="D13" s="341"/>
      <c r="E13" s="113">
        <v>0</v>
      </c>
      <c r="H13" s="914"/>
      <c r="I13" s="32" t="str">
        <f>'Adaos Distr'!I13</f>
        <v xml:space="preserve"> </v>
      </c>
      <c r="J13" s="33">
        <f t="shared" si="0"/>
        <v>0</v>
      </c>
      <c r="K13" s="46">
        <v>0</v>
      </c>
    </row>
    <row r="14" spans="1:11" ht="15" thickBot="1">
      <c r="A14" s="340" t="s">
        <v>129</v>
      </c>
      <c r="B14" s="340"/>
      <c r="C14" s="341"/>
      <c r="D14" s="341"/>
      <c r="E14" s="113">
        <v>0</v>
      </c>
      <c r="H14" s="914"/>
      <c r="I14" s="32" t="str">
        <f>'Adaos Distr'!I14</f>
        <v>LUCIOS 0.45</v>
      </c>
      <c r="J14" s="33">
        <f t="shared" si="0"/>
        <v>0</v>
      </c>
      <c r="K14" s="46">
        <v>0</v>
      </c>
    </row>
    <row r="15" spans="1:11" ht="15" thickBot="1">
      <c r="A15" s="340" t="s">
        <v>2208</v>
      </c>
      <c r="B15" s="340"/>
      <c r="C15" s="341"/>
      <c r="D15" s="341"/>
      <c r="E15" s="113">
        <v>0</v>
      </c>
      <c r="H15" s="914"/>
      <c r="I15" s="32" t="str">
        <f>'Adaos Distr'!I15</f>
        <v>LUCIOS 0.5</v>
      </c>
      <c r="J15" s="33">
        <f t="shared" si="0"/>
        <v>0</v>
      </c>
      <c r="K15" s="46">
        <v>0</v>
      </c>
    </row>
    <row r="16" spans="1:11" ht="15" thickBot="1">
      <c r="A16" s="340" t="s">
        <v>557</v>
      </c>
      <c r="B16" s="340"/>
      <c r="C16" s="341"/>
      <c r="D16" s="341"/>
      <c r="E16" s="113">
        <v>0</v>
      </c>
      <c r="H16" s="914"/>
      <c r="I16" s="32" t="str">
        <f>'Adaos Distr'!I16</f>
        <v xml:space="preserve"> </v>
      </c>
      <c r="J16" s="33">
        <f t="shared" si="0"/>
        <v>0</v>
      </c>
      <c r="K16" s="46">
        <v>0</v>
      </c>
    </row>
    <row r="17" spans="1:11" ht="15" thickBot="1">
      <c r="A17" s="340" t="s">
        <v>558</v>
      </c>
      <c r="B17" s="340"/>
      <c r="C17" s="341"/>
      <c r="D17" s="341"/>
      <c r="E17" s="113">
        <v>0</v>
      </c>
      <c r="H17" s="914"/>
      <c r="I17" s="32" t="str">
        <f>'Adaos Distr'!I17</f>
        <v>MAT 0.45</v>
      </c>
      <c r="J17" s="33">
        <f t="shared" si="0"/>
        <v>0</v>
      </c>
      <c r="K17" s="46">
        <v>0</v>
      </c>
    </row>
    <row r="18" spans="1:11" ht="15" thickBot="1">
      <c r="A18" s="340" t="s">
        <v>541</v>
      </c>
      <c r="B18" s="340"/>
      <c r="C18" s="341"/>
      <c r="D18" s="341"/>
      <c r="E18" s="113">
        <v>0</v>
      </c>
      <c r="H18" s="914"/>
      <c r="I18" s="32" t="str">
        <f>'Adaos Distr'!I18</f>
        <v>MAT 0.5</v>
      </c>
      <c r="J18" s="33">
        <f t="shared" si="0"/>
        <v>0</v>
      </c>
      <c r="K18" s="46">
        <v>0</v>
      </c>
    </row>
    <row r="19" spans="1:11" ht="15" thickBot="1">
      <c r="A19" s="340" t="s">
        <v>134</v>
      </c>
      <c r="B19" s="340"/>
      <c r="C19" s="341"/>
      <c r="D19" s="341"/>
      <c r="E19" s="113">
        <v>0</v>
      </c>
      <c r="H19" s="914"/>
      <c r="I19" s="32" t="str">
        <f>'Adaos Distr'!I19</f>
        <v>SUPREM 50 0.5</v>
      </c>
      <c r="J19" s="33">
        <f t="shared" si="0"/>
        <v>0</v>
      </c>
      <c r="K19" s="46">
        <v>0</v>
      </c>
    </row>
    <row r="20" spans="1:11" ht="15" thickBot="1">
      <c r="A20" s="916" t="s">
        <v>1717</v>
      </c>
      <c r="B20" s="916"/>
      <c r="C20" s="916"/>
      <c r="D20" s="916"/>
      <c r="E20" s="113">
        <v>0</v>
      </c>
      <c r="H20" s="915"/>
      <c r="I20" s="32" t="str">
        <f>'Adaos Distr'!I20</f>
        <v>NEOMAT 30 0.5</v>
      </c>
      <c r="J20" s="33">
        <f t="shared" si="0"/>
        <v>0</v>
      </c>
      <c r="K20" s="46">
        <v>0</v>
      </c>
    </row>
    <row r="21" spans="1:11" s="77" customFormat="1" ht="15" thickBot="1">
      <c r="A21" s="487"/>
      <c r="B21" s="487"/>
      <c r="C21" s="487"/>
      <c r="D21" s="487"/>
      <c r="E21" s="113"/>
      <c r="H21" s="913" t="str">
        <f>'Adaos Distr'!H21:H29</f>
        <v>WETTERBEST IMPERATOR</v>
      </c>
      <c r="I21" s="32" t="s">
        <v>36</v>
      </c>
      <c r="J21" s="33">
        <f t="shared" si="0"/>
        <v>0</v>
      </c>
      <c r="K21" s="46">
        <v>0</v>
      </c>
    </row>
    <row r="22" spans="1:11" s="77" customFormat="1" ht="15" thickBot="1">
      <c r="A22" s="487"/>
      <c r="B22" s="487"/>
      <c r="C22" s="487"/>
      <c r="D22" s="487"/>
      <c r="E22" s="113"/>
      <c r="H22" s="914"/>
      <c r="I22" s="32" t="s">
        <v>36</v>
      </c>
      <c r="J22" s="33">
        <f t="shared" si="0"/>
        <v>0</v>
      </c>
      <c r="K22" s="46">
        <v>0</v>
      </c>
    </row>
    <row r="23" spans="1:11" s="77" customFormat="1" ht="15" thickBot="1">
      <c r="A23" s="487"/>
      <c r="B23" s="487"/>
      <c r="C23" s="487"/>
      <c r="D23" s="487"/>
      <c r="E23" s="113"/>
      <c r="H23" s="914"/>
      <c r="I23" s="32" t="s">
        <v>36</v>
      </c>
      <c r="J23" s="33">
        <f t="shared" si="0"/>
        <v>0</v>
      </c>
      <c r="K23" s="46">
        <v>0</v>
      </c>
    </row>
    <row r="24" spans="1:11" s="77" customFormat="1" ht="15" thickBot="1">
      <c r="A24" s="487"/>
      <c r="B24" s="487"/>
      <c r="C24" s="487"/>
      <c r="D24" s="487"/>
      <c r="E24" s="113"/>
      <c r="H24" s="914"/>
      <c r="I24" s="32" t="s">
        <v>369</v>
      </c>
      <c r="J24" s="33">
        <f t="shared" si="0"/>
        <v>0</v>
      </c>
      <c r="K24" s="46">
        <v>0</v>
      </c>
    </row>
    <row r="25" spans="1:11" s="77" customFormat="1" ht="15" thickBot="1">
      <c r="A25" s="487"/>
      <c r="B25" s="487"/>
      <c r="C25" s="487"/>
      <c r="D25" s="487"/>
      <c r="E25" s="113"/>
      <c r="H25" s="914"/>
      <c r="I25" s="32" t="s">
        <v>36</v>
      </c>
      <c r="J25" s="33">
        <f t="shared" si="0"/>
        <v>0</v>
      </c>
      <c r="K25" s="46">
        <v>0</v>
      </c>
    </row>
    <row r="26" spans="1:11" s="77" customFormat="1" ht="15" thickBot="1">
      <c r="A26" s="487"/>
      <c r="B26" s="487"/>
      <c r="C26" s="487"/>
      <c r="D26" s="487"/>
      <c r="E26" s="113"/>
      <c r="H26" s="914"/>
      <c r="I26" s="32" t="s">
        <v>371</v>
      </c>
      <c r="J26" s="33">
        <f t="shared" si="0"/>
        <v>0</v>
      </c>
      <c r="K26" s="46">
        <v>0</v>
      </c>
    </row>
    <row r="27" spans="1:11" s="77" customFormat="1" ht="15" thickBot="1">
      <c r="A27" s="487"/>
      <c r="B27" s="487"/>
      <c r="C27" s="487"/>
      <c r="D27" s="487"/>
      <c r="E27" s="113"/>
      <c r="H27" s="914"/>
      <c r="I27" s="32" t="s">
        <v>372</v>
      </c>
      <c r="J27" s="33">
        <f t="shared" si="0"/>
        <v>0</v>
      </c>
      <c r="K27" s="46">
        <v>0</v>
      </c>
    </row>
    <row r="28" spans="1:11" s="77" customFormat="1" ht="15" thickBot="1">
      <c r="A28" s="487"/>
      <c r="B28" s="487"/>
      <c r="C28" s="487"/>
      <c r="D28" s="487"/>
      <c r="E28" s="113"/>
      <c r="H28" s="914"/>
      <c r="I28" s="32" t="s">
        <v>373</v>
      </c>
      <c r="J28" s="33">
        <f t="shared" si="0"/>
        <v>0</v>
      </c>
      <c r="K28" s="46">
        <v>0</v>
      </c>
    </row>
    <row r="29" spans="1:11" s="77" customFormat="1" ht="15" thickBot="1">
      <c r="A29" s="487"/>
      <c r="B29" s="487"/>
      <c r="C29" s="487"/>
      <c r="D29" s="487"/>
      <c r="E29" s="113"/>
      <c r="H29" s="915"/>
      <c r="I29" s="32" t="s">
        <v>374</v>
      </c>
      <c r="J29" s="33">
        <f t="shared" si="0"/>
        <v>0</v>
      </c>
      <c r="K29" s="46">
        <v>0</v>
      </c>
    </row>
    <row r="30" spans="1:11" ht="15" thickBot="1">
      <c r="H30" s="913" t="str">
        <f>'Adaos Distr'!H30:H38</f>
        <v>WETTERBEST CARDINAL</v>
      </c>
      <c r="I30" s="32" t="str">
        <f>'Adaos Distr'!I30</f>
        <v xml:space="preserve"> </v>
      </c>
      <c r="J30" s="33">
        <f t="shared" si="0"/>
        <v>0</v>
      </c>
      <c r="K30" s="46">
        <v>0</v>
      </c>
    </row>
    <row r="31" spans="1:11" ht="15" thickBot="1">
      <c r="H31" s="914"/>
      <c r="I31" s="32" t="str">
        <f>'Adaos Distr'!I31</f>
        <v xml:space="preserve"> </v>
      </c>
      <c r="J31" s="33">
        <f t="shared" si="0"/>
        <v>0</v>
      </c>
      <c r="K31" s="46">
        <v>0</v>
      </c>
    </row>
    <row r="32" spans="1:11" ht="15" thickBot="1">
      <c r="H32" s="914"/>
      <c r="I32" s="32" t="str">
        <f>'Adaos Distr'!I32</f>
        <v xml:space="preserve"> </v>
      </c>
      <c r="J32" s="33">
        <f t="shared" si="0"/>
        <v>0</v>
      </c>
      <c r="K32" s="46">
        <v>0</v>
      </c>
    </row>
    <row r="33" spans="8:11" ht="15" thickBot="1">
      <c r="H33" s="914"/>
      <c r="I33" s="32" t="str">
        <f>'Adaos Distr'!I33</f>
        <v>LUCIOS 0.5</v>
      </c>
      <c r="J33" s="33">
        <f t="shared" si="0"/>
        <v>0</v>
      </c>
      <c r="K33" s="46">
        <v>0</v>
      </c>
    </row>
    <row r="34" spans="8:11" ht="15" thickBot="1">
      <c r="H34" s="914"/>
      <c r="I34" s="32" t="str">
        <f>'Adaos Distr'!I34</f>
        <v xml:space="preserve"> </v>
      </c>
      <c r="J34" s="33">
        <f t="shared" si="0"/>
        <v>0</v>
      </c>
      <c r="K34" s="46">
        <v>0</v>
      </c>
    </row>
    <row r="35" spans="8:11" ht="15" thickBot="1">
      <c r="H35" s="914"/>
      <c r="I35" s="32" t="str">
        <f>'Adaos Distr'!I35</f>
        <v>MAT 0.45</v>
      </c>
      <c r="J35" s="33">
        <f t="shared" si="0"/>
        <v>0</v>
      </c>
      <c r="K35" s="46">
        <v>0</v>
      </c>
    </row>
    <row r="36" spans="8:11" ht="15" thickBot="1">
      <c r="H36" s="914"/>
      <c r="I36" s="32" t="str">
        <f>'Adaos Distr'!I36</f>
        <v>MAT 0.5</v>
      </c>
      <c r="J36" s="33">
        <f t="shared" si="0"/>
        <v>0</v>
      </c>
      <c r="K36" s="46">
        <v>0</v>
      </c>
    </row>
    <row r="37" spans="8:11" ht="15" thickBot="1">
      <c r="H37" s="914"/>
      <c r="I37" s="32" t="str">
        <f>'Adaos Distr'!I37</f>
        <v>SUPREM 50 0.5</v>
      </c>
      <c r="J37" s="33">
        <f t="shared" si="0"/>
        <v>0</v>
      </c>
      <c r="K37" s="46">
        <v>0</v>
      </c>
    </row>
    <row r="38" spans="8:11" ht="15" thickBot="1">
      <c r="H38" s="915"/>
      <c r="I38" s="32" t="str">
        <f>'Adaos Distr'!I38</f>
        <v>NEOMAT 30 0.5</v>
      </c>
      <c r="J38" s="33">
        <f t="shared" si="0"/>
        <v>0</v>
      </c>
      <c r="K38" s="46">
        <v>0</v>
      </c>
    </row>
    <row r="39" spans="8:11" ht="15" thickBot="1">
      <c r="H39" s="913" t="str">
        <f>'Adaos Distr'!H39:H47</f>
        <v xml:space="preserve">WETTERBEST COLOSSEUM </v>
      </c>
      <c r="I39" s="32" t="str">
        <f>'Adaos Distr'!I39</f>
        <v xml:space="preserve"> </v>
      </c>
      <c r="J39" s="33">
        <f t="shared" si="0"/>
        <v>0</v>
      </c>
      <c r="K39" s="46">
        <v>0</v>
      </c>
    </row>
    <row r="40" spans="8:11" ht="15" thickBot="1">
      <c r="H40" s="914"/>
      <c r="I40" s="32" t="str">
        <f>'Adaos Distr'!I40</f>
        <v xml:space="preserve"> </v>
      </c>
      <c r="J40" s="33">
        <f t="shared" si="0"/>
        <v>0</v>
      </c>
      <c r="K40" s="46">
        <v>0</v>
      </c>
    </row>
    <row r="41" spans="8:11" ht="15" thickBot="1">
      <c r="H41" s="914"/>
      <c r="I41" s="32" t="str">
        <f>'Adaos Distr'!I41</f>
        <v xml:space="preserve"> </v>
      </c>
      <c r="J41" s="33">
        <f t="shared" si="0"/>
        <v>0</v>
      </c>
      <c r="K41" s="46">
        <v>0</v>
      </c>
    </row>
    <row r="42" spans="8:11" ht="15" thickBot="1">
      <c r="H42" s="914"/>
      <c r="I42" s="32" t="str">
        <f>'Adaos Distr'!I42</f>
        <v>LUCIOS 0.5</v>
      </c>
      <c r="J42" s="33">
        <f t="shared" si="0"/>
        <v>0</v>
      </c>
      <c r="K42" s="46">
        <v>0</v>
      </c>
    </row>
    <row r="43" spans="8:11" ht="15" thickBot="1">
      <c r="H43" s="914"/>
      <c r="I43" s="32" t="str">
        <f>'Adaos Distr'!I43</f>
        <v xml:space="preserve"> </v>
      </c>
      <c r="J43" s="33">
        <f t="shared" si="0"/>
        <v>0</v>
      </c>
      <c r="K43" s="46">
        <v>0</v>
      </c>
    </row>
    <row r="44" spans="8:11" ht="15" thickBot="1">
      <c r="H44" s="914"/>
      <c r="I44" s="32" t="str">
        <f>'Adaos Distr'!I44</f>
        <v>MAT 0.45</v>
      </c>
      <c r="J44" s="33">
        <f t="shared" si="0"/>
        <v>0</v>
      </c>
      <c r="K44" s="46">
        <v>0</v>
      </c>
    </row>
    <row r="45" spans="8:11" ht="15" thickBot="1">
      <c r="H45" s="914"/>
      <c r="I45" s="32" t="str">
        <f>'Adaos Distr'!I45</f>
        <v>MAT 0.5</v>
      </c>
      <c r="J45" s="33">
        <f t="shared" si="0"/>
        <v>0</v>
      </c>
      <c r="K45" s="46">
        <v>0</v>
      </c>
    </row>
    <row r="46" spans="8:11" ht="15" thickBot="1">
      <c r="H46" s="914"/>
      <c r="I46" s="32" t="str">
        <f>'Adaos Distr'!I46</f>
        <v>SUPREM 50 0.5</v>
      </c>
      <c r="J46" s="33">
        <f t="shared" si="0"/>
        <v>0</v>
      </c>
      <c r="K46" s="46">
        <v>0</v>
      </c>
    </row>
    <row r="47" spans="8:11" ht="15" thickBot="1">
      <c r="H47" s="915"/>
      <c r="I47" s="32" t="str">
        <f>'Adaos Distr'!I47</f>
        <v>NEOMAT 30 0.5</v>
      </c>
      <c r="J47" s="33">
        <f t="shared" si="0"/>
        <v>0</v>
      </c>
      <c r="K47" s="46">
        <v>0</v>
      </c>
    </row>
    <row r="48" spans="8:11" ht="15" thickBot="1">
      <c r="H48" s="913" t="str">
        <f>'Adaos Distr'!H48:H56</f>
        <v>WETTERBEST CLASIC</v>
      </c>
      <c r="I48" s="32" t="str">
        <f>'Adaos Distr'!I48</f>
        <v>LUCIOS 0.35</v>
      </c>
      <c r="J48" s="33">
        <f t="shared" si="0"/>
        <v>0</v>
      </c>
      <c r="K48" s="46">
        <v>0</v>
      </c>
    </row>
    <row r="49" spans="8:11" ht="15" thickBot="1">
      <c r="H49" s="914"/>
      <c r="I49" s="32" t="str">
        <f>'Adaos Distr'!I49</f>
        <v>LUCIOS 0.4</v>
      </c>
      <c r="J49" s="33">
        <f t="shared" si="0"/>
        <v>0</v>
      </c>
      <c r="K49" s="46">
        <v>0</v>
      </c>
    </row>
    <row r="50" spans="8:11" ht="15" thickBot="1">
      <c r="H50" s="914"/>
      <c r="I50" s="32" t="str">
        <f>'Adaos Distr'!I50</f>
        <v>LUCIOS 0.45</v>
      </c>
      <c r="J50" s="33">
        <f t="shared" si="0"/>
        <v>0</v>
      </c>
      <c r="K50" s="46">
        <v>0</v>
      </c>
    </row>
    <row r="51" spans="8:11" ht="15" thickBot="1">
      <c r="H51" s="914"/>
      <c r="I51" s="32" t="str">
        <f>'Adaos Distr'!I51</f>
        <v>LUCIOS 0.5</v>
      </c>
      <c r="J51" s="33">
        <f t="shared" si="0"/>
        <v>0</v>
      </c>
      <c r="K51" s="46">
        <v>0</v>
      </c>
    </row>
    <row r="52" spans="8:11" ht="15" thickBot="1">
      <c r="H52" s="914"/>
      <c r="I52" s="32" t="str">
        <f>'Adaos Distr'!I52</f>
        <v>MAT 0.4</v>
      </c>
      <c r="J52" s="33">
        <f t="shared" si="0"/>
        <v>0</v>
      </c>
      <c r="K52" s="46">
        <v>0</v>
      </c>
    </row>
    <row r="53" spans="8:11" ht="15" thickBot="1">
      <c r="H53" s="914"/>
      <c r="I53" s="32" t="str">
        <f>'Adaos Distr'!I53</f>
        <v>MAT 0.45</v>
      </c>
      <c r="J53" s="33">
        <f t="shared" si="0"/>
        <v>0</v>
      </c>
      <c r="K53" s="46">
        <v>0</v>
      </c>
    </row>
    <row r="54" spans="8:11" ht="15" thickBot="1">
      <c r="H54" s="914"/>
      <c r="I54" s="32" t="str">
        <f>'Adaos Distr'!I54</f>
        <v>MAT 0.5</v>
      </c>
      <c r="J54" s="33">
        <f t="shared" si="0"/>
        <v>0</v>
      </c>
      <c r="K54" s="46">
        <v>0</v>
      </c>
    </row>
    <row r="55" spans="8:11" ht="15" thickBot="1">
      <c r="H55" s="914"/>
      <c r="I55" s="32" t="str">
        <f>'Adaos Distr'!I55</f>
        <v>SUPREM 50 0.5</v>
      </c>
      <c r="J55" s="33">
        <f t="shared" si="0"/>
        <v>0</v>
      </c>
      <c r="K55" s="46">
        <v>0</v>
      </c>
    </row>
    <row r="56" spans="8:11" ht="15" thickBot="1">
      <c r="H56" s="915"/>
      <c r="I56" s="32" t="str">
        <f>'Adaos Distr'!I56</f>
        <v>NEOMAT 30 0.5</v>
      </c>
      <c r="J56" s="33">
        <f t="shared" si="0"/>
        <v>0</v>
      </c>
      <c r="K56" s="47">
        <v>0</v>
      </c>
    </row>
    <row r="57" spans="8:11" ht="15" thickBot="1">
      <c r="H57" s="342" t="s">
        <v>1668</v>
      </c>
      <c r="I57" s="32" t="str">
        <f>I54</f>
        <v>MAT 0.5</v>
      </c>
      <c r="J57" s="33">
        <f t="shared" ref="J57" si="1">IF(K57&lt;0,(K57*(-1)),K57)</f>
        <v>0</v>
      </c>
      <c r="K57" s="47">
        <v>0</v>
      </c>
    </row>
    <row r="103" spans="1:8">
      <c r="F103" s="21"/>
      <c r="G103" s="21"/>
      <c r="H103" s="21"/>
    </row>
    <row r="104" spans="1:8">
      <c r="A104" s="21"/>
      <c r="B104" s="21"/>
      <c r="C104" s="136"/>
      <c r="D104" s="21"/>
      <c r="E104" s="21"/>
      <c r="F104" s="21"/>
      <c r="G104" s="21"/>
      <c r="H104" s="21"/>
    </row>
    <row r="105" spans="1:8">
      <c r="A105" s="21"/>
      <c r="B105" s="21"/>
      <c r="C105" s="136"/>
      <c r="D105" s="21"/>
      <c r="E105" s="21"/>
      <c r="F105" s="21"/>
      <c r="G105" s="21"/>
      <c r="H105" s="21"/>
    </row>
    <row r="106" spans="1:8">
      <c r="A106" s="21"/>
      <c r="B106" s="21"/>
      <c r="C106" s="136"/>
      <c r="D106" s="21"/>
      <c r="E106" s="21"/>
      <c r="F106" s="4"/>
      <c r="G106" s="4"/>
      <c r="H106" s="21"/>
    </row>
    <row r="107" spans="1:8">
      <c r="A107" s="4"/>
      <c r="B107" s="4"/>
      <c r="C107" s="12"/>
      <c r="D107" s="4"/>
      <c r="E107" s="4"/>
      <c r="F107" s="4"/>
      <c r="G107" s="4"/>
      <c r="H107" s="21"/>
    </row>
    <row r="108" spans="1:8">
      <c r="A108" s="114"/>
      <c r="B108" s="114"/>
      <c r="C108" s="44"/>
      <c r="D108" s="114"/>
      <c r="E108" s="4"/>
      <c r="F108" s="4"/>
      <c r="G108" s="4"/>
      <c r="H108" s="21"/>
    </row>
    <row r="109" spans="1:8">
      <c r="A109" s="114"/>
      <c r="B109" s="114"/>
      <c r="C109" s="44"/>
      <c r="D109" s="114"/>
      <c r="E109" s="4"/>
      <c r="F109" s="4"/>
      <c r="G109" s="4"/>
      <c r="H109" s="21"/>
    </row>
    <row r="110" spans="1:8">
      <c r="A110" s="911" t="s">
        <v>302</v>
      </c>
      <c r="B110" s="911"/>
      <c r="C110" s="44">
        <f>IF(D110&lt;0,(D110*(-1)),D110)</f>
        <v>0</v>
      </c>
      <c r="D110" s="44">
        <f>E15</f>
        <v>0</v>
      </c>
      <c r="E110" s="4"/>
      <c r="F110" s="4"/>
      <c r="G110" s="4"/>
      <c r="H110" s="21"/>
    </row>
    <row r="111" spans="1:8">
      <c r="A111" s="911" t="s">
        <v>52</v>
      </c>
      <c r="B111" s="911"/>
      <c r="C111" s="44">
        <f t="shared" ref="C111:C126" si="2">IF(D111&lt;0,(D111*(-1)),D111)</f>
        <v>0</v>
      </c>
      <c r="D111" s="44">
        <f>E9</f>
        <v>0</v>
      </c>
      <c r="E111" s="4"/>
      <c r="F111" s="4"/>
      <c r="G111" s="4"/>
      <c r="H111" s="21"/>
    </row>
    <row r="112" spans="1:8">
      <c r="A112" s="911" t="s">
        <v>68</v>
      </c>
      <c r="B112" s="911"/>
      <c r="C112" s="44">
        <f t="shared" si="2"/>
        <v>0</v>
      </c>
      <c r="D112" s="44">
        <f>E10</f>
        <v>0</v>
      </c>
      <c r="E112" s="4"/>
      <c r="F112" s="4"/>
      <c r="G112" s="4"/>
      <c r="H112" s="21"/>
    </row>
    <row r="113" spans="1:8">
      <c r="A113" s="911" t="s">
        <v>90</v>
      </c>
      <c r="B113" s="911"/>
      <c r="C113" s="44">
        <f t="shared" si="2"/>
        <v>0</v>
      </c>
      <c r="D113" s="44">
        <f>E12</f>
        <v>0</v>
      </c>
      <c r="E113" s="4"/>
      <c r="F113" s="4"/>
      <c r="G113" s="4"/>
      <c r="H113" s="21"/>
    </row>
    <row r="114" spans="1:8">
      <c r="A114" s="911" t="s">
        <v>91</v>
      </c>
      <c r="B114" s="911"/>
      <c r="C114" s="44">
        <f t="shared" si="2"/>
        <v>0</v>
      </c>
      <c r="D114" s="44">
        <f>E11</f>
        <v>0</v>
      </c>
      <c r="E114" s="4"/>
      <c r="F114" s="4"/>
      <c r="G114" s="4"/>
      <c r="H114" s="21"/>
    </row>
    <row r="115" spans="1:8">
      <c r="A115" s="911" t="s">
        <v>110</v>
      </c>
      <c r="B115" s="911"/>
      <c r="C115" s="44">
        <f t="shared" si="2"/>
        <v>0</v>
      </c>
      <c r="D115" s="44">
        <f>E7</f>
        <v>0</v>
      </c>
      <c r="E115" s="4"/>
      <c r="F115" s="4"/>
      <c r="G115" s="4"/>
      <c r="H115" s="21"/>
    </row>
    <row r="116" spans="1:8">
      <c r="A116" s="911" t="s">
        <v>132</v>
      </c>
      <c r="B116" s="911"/>
      <c r="C116" s="44">
        <f t="shared" si="2"/>
        <v>0</v>
      </c>
      <c r="D116" s="44">
        <f>E14</f>
        <v>0</v>
      </c>
      <c r="E116" s="4"/>
      <c r="F116" s="4"/>
      <c r="G116" s="4"/>
      <c r="H116" s="21"/>
    </row>
    <row r="117" spans="1:8">
      <c r="A117" s="911" t="s">
        <v>133</v>
      </c>
      <c r="B117" s="911"/>
      <c r="C117" s="44">
        <f t="shared" si="2"/>
        <v>0</v>
      </c>
      <c r="D117" s="44">
        <f>D116</f>
        <v>0</v>
      </c>
      <c r="E117" s="4"/>
      <c r="F117" s="4"/>
      <c r="G117" s="4"/>
      <c r="H117" s="21"/>
    </row>
    <row r="118" spans="1:8">
      <c r="A118" s="911" t="s">
        <v>138</v>
      </c>
      <c r="B118" s="911"/>
      <c r="C118" s="44">
        <f t="shared" si="2"/>
        <v>0</v>
      </c>
      <c r="D118" s="44">
        <f>E13</f>
        <v>0</v>
      </c>
      <c r="E118" s="4"/>
      <c r="F118" s="4"/>
      <c r="G118" s="4"/>
      <c r="H118" s="21"/>
    </row>
    <row r="119" spans="1:8">
      <c r="A119" s="911" t="s">
        <v>553</v>
      </c>
      <c r="B119" s="911"/>
      <c r="C119" s="44">
        <f t="shared" si="2"/>
        <v>0</v>
      </c>
      <c r="D119" s="44">
        <f>E6</f>
        <v>0</v>
      </c>
      <c r="E119" s="4"/>
      <c r="F119" s="4"/>
      <c r="G119" s="4"/>
      <c r="H119" s="21"/>
    </row>
    <row r="120" spans="1:8">
      <c r="A120" s="911" t="s">
        <v>154</v>
      </c>
      <c r="B120" s="911"/>
      <c r="C120" s="44">
        <f t="shared" si="2"/>
        <v>0</v>
      </c>
      <c r="D120" s="44">
        <f>E3</f>
        <v>0</v>
      </c>
      <c r="E120" s="4"/>
      <c r="F120" s="4"/>
      <c r="G120" s="4"/>
      <c r="H120" s="21"/>
    </row>
    <row r="121" spans="1:8">
      <c r="A121" s="911" t="s">
        <v>134</v>
      </c>
      <c r="B121" s="911"/>
      <c r="C121" s="44">
        <f t="shared" si="2"/>
        <v>0</v>
      </c>
      <c r="D121" s="44">
        <f>E19</f>
        <v>0</v>
      </c>
      <c r="E121" s="4"/>
      <c r="F121" s="4"/>
      <c r="G121" s="4"/>
      <c r="H121" s="21"/>
    </row>
    <row r="122" spans="1:8">
      <c r="A122" s="911" t="s">
        <v>157</v>
      </c>
      <c r="B122" s="911"/>
      <c r="C122" s="44">
        <f t="shared" si="2"/>
        <v>0</v>
      </c>
      <c r="D122" s="44">
        <f>E4</f>
        <v>0</v>
      </c>
      <c r="E122" s="4"/>
      <c r="F122" s="4"/>
      <c r="G122" s="4"/>
      <c r="H122" s="21"/>
    </row>
    <row r="123" spans="1:8">
      <c r="A123" s="911" t="s">
        <v>163</v>
      </c>
      <c r="B123" s="911"/>
      <c r="C123" s="44">
        <f t="shared" si="2"/>
        <v>0</v>
      </c>
      <c r="D123" s="44">
        <f>E8</f>
        <v>0</v>
      </c>
      <c r="E123" s="4"/>
      <c r="F123" s="4"/>
      <c r="G123" s="4"/>
      <c r="H123" s="21"/>
    </row>
    <row r="124" spans="1:8">
      <c r="A124" s="42" t="s">
        <v>557</v>
      </c>
      <c r="B124" s="42" t="s">
        <v>557</v>
      </c>
      <c r="C124" s="44">
        <f t="shared" si="2"/>
        <v>0</v>
      </c>
      <c r="D124" s="44">
        <f>E16</f>
        <v>0</v>
      </c>
      <c r="E124" s="4"/>
      <c r="F124" s="4"/>
      <c r="G124" s="4"/>
      <c r="H124" s="21"/>
    </row>
    <row r="125" spans="1:8">
      <c r="A125" s="42" t="s">
        <v>558</v>
      </c>
      <c r="B125" s="42" t="s">
        <v>558</v>
      </c>
      <c r="C125" s="44">
        <f t="shared" si="2"/>
        <v>0</v>
      </c>
      <c r="D125" s="44">
        <f>E17</f>
        <v>0</v>
      </c>
      <c r="E125" s="4"/>
      <c r="F125" s="4"/>
      <c r="G125" s="4"/>
      <c r="H125" s="21"/>
    </row>
    <row r="126" spans="1:8">
      <c r="A126" s="114" t="s">
        <v>541</v>
      </c>
      <c r="B126" s="114"/>
      <c r="C126" s="44">
        <f t="shared" si="2"/>
        <v>0</v>
      </c>
      <c r="D126" s="44">
        <f>E18</f>
        <v>0</v>
      </c>
      <c r="E126" s="4"/>
      <c r="F126" s="41"/>
      <c r="G126" s="21"/>
      <c r="H126" s="21"/>
    </row>
    <row r="127" spans="1:8">
      <c r="A127" s="142"/>
      <c r="B127" s="142"/>
      <c r="C127" s="141"/>
      <c r="D127" s="142"/>
      <c r="E127" s="41"/>
      <c r="F127" s="41"/>
    </row>
    <row r="128" spans="1:8">
      <c r="A128" s="41"/>
      <c r="B128" s="41"/>
      <c r="C128" s="143"/>
      <c r="D128" s="41"/>
      <c r="E128" s="41"/>
      <c r="F128" s="41"/>
    </row>
    <row r="129" spans="1:6">
      <c r="A129" s="41"/>
      <c r="B129" s="41"/>
      <c r="C129" s="143"/>
      <c r="D129" s="41"/>
      <c r="E129" s="41"/>
      <c r="F129" s="41"/>
    </row>
    <row r="130" spans="1:6">
      <c r="A130" s="41"/>
      <c r="B130" s="41"/>
      <c r="C130" s="143"/>
      <c r="D130" s="41"/>
      <c r="E130" s="41"/>
      <c r="F130" s="41"/>
    </row>
    <row r="131" spans="1:6">
      <c r="A131" s="41"/>
      <c r="B131" s="41"/>
      <c r="C131" s="143"/>
      <c r="D131" s="41"/>
      <c r="E131" s="41"/>
      <c r="F131" s="41"/>
    </row>
    <row r="132" spans="1:6">
      <c r="A132" s="41"/>
      <c r="B132" s="41"/>
      <c r="C132" s="143"/>
      <c r="D132" s="41"/>
      <c r="E132" s="41"/>
      <c r="F132" s="41"/>
    </row>
    <row r="133" spans="1:6">
      <c r="A133" s="41"/>
      <c r="B133" s="41"/>
      <c r="C133" s="143"/>
      <c r="D133" s="41"/>
      <c r="E133" s="41"/>
      <c r="F133" s="41"/>
    </row>
    <row r="134" spans="1:6">
      <c r="A134" s="41"/>
      <c r="B134" s="41"/>
      <c r="C134" s="143"/>
      <c r="D134" s="41"/>
      <c r="E134" s="41"/>
      <c r="F134" s="41"/>
    </row>
    <row r="135" spans="1:6">
      <c r="A135" s="41"/>
      <c r="B135" s="41"/>
      <c r="C135" s="143"/>
      <c r="D135" s="41"/>
      <c r="E135" s="41"/>
    </row>
  </sheetData>
  <sheetProtection algorithmName="SHA-512" hashValue="PobyjwlW1q/3sS5K0xK5ehAyu21CybFKnFf/ufkwidPZUURr4X/rtTLwyP/PGvp1fvxxXJ24WU0M0FWdSDIJlw==" saltValue="euA7YD9+/XUKb7/JBQV7nw==" spinCount="100000" sheet="1" objects="1" scenarios="1"/>
  <protectedRanges>
    <protectedRange sqref="E3:E29" name="Range3"/>
    <protectedRange sqref="E20:E29 D3:E19" name="Range1_1"/>
    <protectedRange sqref="D110:D123 K3:K57" name="Range1"/>
  </protectedRanges>
  <mergeCells count="23">
    <mergeCell ref="A122:B122"/>
    <mergeCell ref="A123:B123"/>
    <mergeCell ref="A116:B116"/>
    <mergeCell ref="A117:B117"/>
    <mergeCell ref="A118:B118"/>
    <mergeCell ref="A119:B119"/>
    <mergeCell ref="A120:B120"/>
    <mergeCell ref="A121:B121"/>
    <mergeCell ref="H39:H47"/>
    <mergeCell ref="A115:B115"/>
    <mergeCell ref="A110:B110"/>
    <mergeCell ref="A111:B111"/>
    <mergeCell ref="A112:B112"/>
    <mergeCell ref="A113:B113"/>
    <mergeCell ref="A114:B114"/>
    <mergeCell ref="H48:H56"/>
    <mergeCell ref="A1:E2"/>
    <mergeCell ref="H1:K2"/>
    <mergeCell ref="H3:H11"/>
    <mergeCell ref="H12:H20"/>
    <mergeCell ref="H30:H38"/>
    <mergeCell ref="A20:D20"/>
    <mergeCell ref="H21:H2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B614"/>
  <sheetViews>
    <sheetView workbookViewId="0">
      <selection activeCell="AY17" sqref="AY17"/>
    </sheetView>
  </sheetViews>
  <sheetFormatPr defaultRowHeight="14.4"/>
  <cols>
    <col min="1" max="1" width="6.5546875" customWidth="1"/>
    <col min="2" max="2" width="6.44140625" customWidth="1"/>
    <col min="3" max="3" width="5.6640625" customWidth="1"/>
    <col min="4" max="4" width="4.88671875" customWidth="1"/>
    <col min="5" max="5" width="6.33203125" customWidth="1"/>
    <col min="6" max="6" width="14.6640625" customWidth="1"/>
    <col min="7" max="7" width="5.6640625" customWidth="1"/>
    <col min="8" max="8" width="4.44140625" customWidth="1"/>
    <col min="9" max="9" width="5.88671875" customWidth="1"/>
    <col min="10" max="10" width="1.33203125" customWidth="1"/>
    <col min="11" max="11" width="5.6640625" customWidth="1"/>
    <col min="12" max="12" width="2.109375" customWidth="1"/>
    <col min="13" max="13" width="5.109375" customWidth="1"/>
    <col min="14" max="14" width="0.5546875" customWidth="1"/>
    <col min="15" max="15" width="4.33203125" customWidth="1"/>
    <col min="16" max="16" width="0.88671875" customWidth="1"/>
    <col min="17" max="17" width="9.109375" customWidth="1"/>
    <col min="18" max="18" width="7.88671875" customWidth="1"/>
    <col min="19" max="19" width="5.6640625" customWidth="1"/>
    <col min="20" max="20" width="8.6640625" customWidth="1"/>
    <col min="21" max="21" width="0.44140625" customWidth="1"/>
    <col min="22" max="22" width="8.6640625" style="4" hidden="1" customWidth="1"/>
    <col min="23" max="23" width="10.88671875" style="4" hidden="1" customWidth="1"/>
    <col min="24" max="24" width="8.44140625" style="4" hidden="1" customWidth="1"/>
    <col min="25" max="25" width="9.44140625" style="4" hidden="1" customWidth="1"/>
    <col min="26" max="26" width="11" style="4" hidden="1" customWidth="1"/>
    <col min="27" max="27" width="7.5546875" style="4" hidden="1" customWidth="1"/>
    <col min="28" max="28" width="7.109375" style="4" hidden="1" customWidth="1"/>
    <col min="29" max="31" width="5.6640625" style="5" customWidth="1"/>
    <col min="32" max="32" width="8.5546875" style="5" customWidth="1"/>
    <col min="33" max="33" width="8.88671875" style="5" customWidth="1"/>
    <col min="34" max="34" width="10.109375" style="4" hidden="1" customWidth="1"/>
    <col min="35" max="35" width="7.44140625" style="4" hidden="1" customWidth="1"/>
    <col min="36" max="39" width="5.6640625" style="4" hidden="1" customWidth="1"/>
    <col min="40" max="46" width="9.109375" style="4" hidden="1" customWidth="1"/>
    <col min="47" max="50" width="9.109375" style="5" hidden="1" customWidth="1"/>
    <col min="51" max="53" width="9.109375" style="5" customWidth="1"/>
    <col min="54" max="54" width="9.109375" style="5"/>
  </cols>
  <sheetData>
    <row r="1" spans="1:54" s="1" customFormat="1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4"/>
      <c r="W1" s="4"/>
      <c r="X1" s="4"/>
      <c r="Y1" s="4"/>
      <c r="Z1" s="4"/>
      <c r="AA1" s="4"/>
      <c r="AB1" s="4"/>
      <c r="AC1" s="5"/>
      <c r="AD1" s="5"/>
      <c r="AE1" s="5"/>
      <c r="AF1" s="5"/>
      <c r="AG1" s="5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5"/>
      <c r="AV1" s="5"/>
      <c r="AW1" s="5"/>
      <c r="AX1" s="5"/>
      <c r="AY1" s="5"/>
      <c r="AZ1" s="5"/>
      <c r="BA1" s="5"/>
      <c r="BB1" s="5"/>
    </row>
    <row r="2" spans="1:54" s="1" customForma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4"/>
      <c r="W2" s="4"/>
      <c r="X2" s="4"/>
      <c r="Y2" s="4"/>
      <c r="Z2" s="4"/>
      <c r="AA2" s="4"/>
      <c r="AB2" s="4"/>
      <c r="AC2" s="992" t="str">
        <f>Lang!A280</f>
        <v>DISCOUNT</v>
      </c>
      <c r="AD2" s="993"/>
      <c r="AE2" s="993"/>
      <c r="AF2" s="233">
        <f>IF(AG2&lt;0,(AG2*(-1)),AG2)</f>
        <v>0</v>
      </c>
      <c r="AG2" s="228">
        <v>0</v>
      </c>
      <c r="AH2" s="4"/>
      <c r="AI2" s="4"/>
      <c r="AJ2" s="4"/>
      <c r="AK2" s="4"/>
      <c r="AL2" s="4"/>
      <c r="AM2" s="4"/>
      <c r="AN2" s="4"/>
      <c r="AO2" s="4"/>
      <c r="AP2" s="12">
        <f>IF(AF2&gt;30%,0,AF2)</f>
        <v>0</v>
      </c>
      <c r="AQ2" s="3">
        <f>SUM(S26:T608)</f>
        <v>0</v>
      </c>
      <c r="AR2" s="4">
        <f>ROUND(AQ2*(1-AP2),2)</f>
        <v>0</v>
      </c>
      <c r="AS2" s="3">
        <f>AQ2-AR2</f>
        <v>0</v>
      </c>
      <c r="AT2" s="4"/>
      <c r="AU2" s="5"/>
      <c r="AV2" s="5"/>
      <c r="AW2" s="5"/>
      <c r="AX2" s="5"/>
      <c r="AY2" s="5"/>
      <c r="AZ2" s="5"/>
      <c r="BA2" s="5"/>
      <c r="BB2" s="5"/>
    </row>
    <row r="3" spans="1:54" s="1" customFormat="1" ht="15" customHeight="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4"/>
      <c r="W3" s="4"/>
      <c r="X3" s="4"/>
      <c r="Y3" s="4"/>
      <c r="Z3" s="4"/>
      <c r="AA3" s="4"/>
      <c r="AB3" s="4"/>
      <c r="AC3" s="976"/>
      <c r="AD3" s="977"/>
      <c r="AE3" s="977"/>
      <c r="AF3" s="977"/>
      <c r="AG3" s="978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5"/>
      <c r="AV3" s="5"/>
      <c r="AW3" s="5"/>
      <c r="AX3" s="5"/>
      <c r="AY3" s="5"/>
      <c r="AZ3" s="5"/>
      <c r="BA3" s="5"/>
      <c r="BB3" s="5"/>
    </row>
    <row r="4" spans="1:54" s="1" customForma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4"/>
      <c r="W4" s="4"/>
      <c r="X4" s="4"/>
      <c r="Y4" s="4"/>
      <c r="Z4" s="4"/>
      <c r="AA4" s="4"/>
      <c r="AB4" s="4"/>
      <c r="AC4" s="970" t="str">
        <f>IF(AF2&gt;30%,"Discount prea mare,                              NU SE CALCULEAZA",IF(AF2=0%,"Fara Discount"," Discount ok"))</f>
        <v>Fara Discount</v>
      </c>
      <c r="AD4" s="971"/>
      <c r="AE4" s="971"/>
      <c r="AF4" s="971"/>
      <c r="AG4" s="972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5"/>
      <c r="AV4" s="5"/>
      <c r="AW4" s="5"/>
      <c r="AX4" s="5"/>
      <c r="AY4" s="5"/>
      <c r="AZ4" s="5"/>
      <c r="BA4" s="5"/>
      <c r="BB4" s="5"/>
    </row>
    <row r="5" spans="1:54" s="1" customFormat="1">
      <c r="A5" s="137"/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4"/>
      <c r="W5" s="4"/>
      <c r="X5" s="4"/>
      <c r="Y5" s="4"/>
      <c r="Z5" s="4"/>
      <c r="AA5" s="4"/>
      <c r="AB5" s="4"/>
      <c r="AC5" s="973"/>
      <c r="AD5" s="974"/>
      <c r="AE5" s="974"/>
      <c r="AF5" s="974"/>
      <c r="AG5" s="975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5"/>
      <c r="AV5" s="5"/>
      <c r="AW5" s="5"/>
      <c r="AX5" s="5"/>
      <c r="AY5" s="5"/>
      <c r="AZ5" s="5"/>
      <c r="BA5" s="5"/>
      <c r="BB5" s="5"/>
    </row>
    <row r="6" spans="1:54" s="1" customFormat="1">
      <c r="A6" s="988" t="str">
        <f>Lang!A2</f>
        <v>FORMULAR COMANDA</v>
      </c>
      <c r="B6" s="988"/>
      <c r="C6" s="988"/>
      <c r="D6" s="988"/>
      <c r="E6" s="988"/>
      <c r="F6" s="988"/>
      <c r="G6" s="988"/>
      <c r="H6" s="988"/>
      <c r="I6" s="988"/>
      <c r="J6" s="988"/>
      <c r="K6" s="988"/>
      <c r="L6" s="988"/>
      <c r="M6" s="988"/>
      <c r="N6" s="988"/>
      <c r="O6" s="988"/>
      <c r="P6" s="988"/>
      <c r="Q6" s="988"/>
      <c r="R6" s="988" t="s">
        <v>3227</v>
      </c>
      <c r="S6" s="988"/>
      <c r="T6" s="988"/>
      <c r="U6" s="988"/>
      <c r="V6" s="4"/>
      <c r="W6" s="4"/>
      <c r="X6" s="4"/>
      <c r="Y6" s="4"/>
      <c r="Z6" s="4"/>
      <c r="AA6" s="4"/>
      <c r="AB6" s="4"/>
      <c r="AC6" s="5"/>
      <c r="AD6" s="5"/>
      <c r="AE6" s="5"/>
      <c r="AF6" s="5"/>
      <c r="AG6" s="5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5"/>
      <c r="AV6" s="5"/>
      <c r="AW6" s="5"/>
      <c r="AX6" s="5"/>
      <c r="AY6" s="5"/>
      <c r="AZ6" s="5"/>
      <c r="BA6" s="5"/>
      <c r="BB6" s="5"/>
    </row>
    <row r="7" spans="1:54" s="1" customFormat="1">
      <c r="A7" s="988"/>
      <c r="B7" s="988"/>
      <c r="C7" s="988"/>
      <c r="D7" s="988"/>
      <c r="E7" s="988"/>
      <c r="F7" s="988"/>
      <c r="G7" s="988"/>
      <c r="H7" s="988"/>
      <c r="I7" s="988"/>
      <c r="J7" s="988"/>
      <c r="K7" s="988"/>
      <c r="L7" s="988"/>
      <c r="M7" s="988"/>
      <c r="N7" s="988"/>
      <c r="O7" s="988"/>
      <c r="P7" s="988"/>
      <c r="Q7" s="988"/>
      <c r="R7" s="988"/>
      <c r="S7" s="988"/>
      <c r="T7" s="988"/>
      <c r="U7" s="988"/>
      <c r="V7" s="4"/>
      <c r="W7" s="4"/>
      <c r="X7" s="4"/>
      <c r="Y7" s="4"/>
      <c r="Z7" s="4"/>
      <c r="AA7" s="4"/>
      <c r="AB7" s="4"/>
      <c r="AC7" s="5"/>
      <c r="AD7" s="5"/>
      <c r="AE7" s="5"/>
      <c r="AF7" s="5"/>
      <c r="AG7" s="5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>
        <f>IF(D14="",0,1)</f>
        <v>0</v>
      </c>
      <c r="AT7" s="4"/>
      <c r="AU7" s="5"/>
      <c r="AV7" s="5"/>
      <c r="AW7" s="5"/>
      <c r="AX7" s="5"/>
      <c r="AY7" s="5"/>
      <c r="AZ7" s="5"/>
      <c r="BA7" s="5"/>
      <c r="BB7" s="5"/>
    </row>
    <row r="8" spans="1:54" s="1" customFormat="1">
      <c r="A8" s="138"/>
      <c r="B8" s="138"/>
      <c r="C8" s="138"/>
      <c r="D8" s="979" t="s">
        <v>3228</v>
      </c>
      <c r="E8" s="980"/>
      <c r="F8" s="980"/>
      <c r="G8" s="980"/>
      <c r="H8" s="980"/>
      <c r="I8" s="980"/>
      <c r="J8" s="980"/>
      <c r="K8" s="980"/>
      <c r="L8" s="980"/>
      <c r="M8" s="980"/>
      <c r="N8" s="137"/>
      <c r="O8" s="137"/>
      <c r="P8" s="137"/>
      <c r="Q8" s="137"/>
      <c r="R8" s="137"/>
      <c r="S8" s="137"/>
      <c r="T8" s="137"/>
      <c r="U8" s="137"/>
      <c r="V8" s="4"/>
      <c r="W8" s="4"/>
      <c r="X8" s="4"/>
      <c r="Y8" s="4"/>
      <c r="Z8" s="4"/>
      <c r="AA8" s="4"/>
      <c r="AB8" s="4"/>
      <c r="AC8" s="5"/>
      <c r="AD8" s="5"/>
      <c r="AE8" s="5"/>
      <c r="AF8" s="5"/>
      <c r="AG8" s="5"/>
      <c r="AH8" s="4"/>
      <c r="AI8" s="4"/>
      <c r="AJ8" s="4"/>
      <c r="AK8" s="4"/>
      <c r="AL8" s="4"/>
      <c r="AM8" s="4"/>
      <c r="AN8" s="4"/>
      <c r="AO8" s="4"/>
      <c r="AP8" s="4"/>
      <c r="AQ8" s="4"/>
      <c r="AR8" s="4">
        <f>IF(Select!BO1=1,0,1)</f>
        <v>1</v>
      </c>
      <c r="AS8" s="4">
        <f>AR8</f>
        <v>1</v>
      </c>
      <c r="AT8" s="4"/>
      <c r="AU8" s="5"/>
      <c r="AV8" s="5"/>
      <c r="AW8" s="5"/>
      <c r="AX8" s="5"/>
      <c r="AY8" s="5"/>
      <c r="AZ8" s="5"/>
      <c r="BA8" s="5"/>
      <c r="BB8" s="5"/>
    </row>
    <row r="9" spans="1:54" s="1" customFormat="1">
      <c r="A9" s="138" t="s">
        <v>179</v>
      </c>
      <c r="B9" s="138"/>
      <c r="C9" s="138"/>
      <c r="D9" s="969" t="s">
        <v>3229</v>
      </c>
      <c r="E9" s="969"/>
      <c r="F9" s="969"/>
      <c r="G9" s="969"/>
      <c r="H9" s="969"/>
      <c r="I9" s="969"/>
      <c r="J9" s="969"/>
      <c r="K9" s="969"/>
      <c r="L9" s="969"/>
      <c r="M9" s="969"/>
      <c r="N9" s="138"/>
      <c r="O9" s="477" t="s">
        <v>2231</v>
      </c>
      <c r="P9" s="477"/>
      <c r="Q9" s="477"/>
      <c r="R9" s="477"/>
      <c r="S9" s="477"/>
      <c r="T9" s="477"/>
      <c r="U9" s="477"/>
      <c r="V9" s="4"/>
      <c r="W9" s="4"/>
      <c r="X9" s="4"/>
      <c r="Y9" s="4"/>
      <c r="Z9" s="4"/>
      <c r="AA9" s="4"/>
      <c r="AB9" s="4"/>
      <c r="AC9" s="5"/>
      <c r="AD9" s="5"/>
      <c r="AE9" s="5"/>
      <c r="AF9" s="5"/>
      <c r="AG9" s="186"/>
      <c r="AH9" s="4"/>
      <c r="AI9" s="4"/>
      <c r="AJ9" s="4"/>
      <c r="AK9" s="4"/>
      <c r="AL9" s="4"/>
      <c r="AM9" s="4"/>
      <c r="AN9" s="4"/>
      <c r="AO9" s="4"/>
      <c r="AP9" s="4"/>
      <c r="AQ9" s="4"/>
      <c r="AR9" s="229">
        <f>IF(Select!B1853=1,0,1)</f>
        <v>0</v>
      </c>
      <c r="AS9" s="4">
        <f>IF(Select!$B$2048=1,AR9,1)</f>
        <v>0</v>
      </c>
      <c r="AT9" s="4"/>
      <c r="AU9" s="5"/>
      <c r="AV9" s="5"/>
      <c r="AW9" s="5"/>
      <c r="AX9" s="5"/>
      <c r="AY9" s="5"/>
      <c r="AZ9" s="5"/>
      <c r="BA9" s="5"/>
      <c r="BB9" s="5"/>
    </row>
    <row r="10" spans="1:54" s="1" customFormat="1">
      <c r="A10" s="983" t="s">
        <v>2204</v>
      </c>
      <c r="B10" s="983"/>
      <c r="C10" s="983"/>
      <c r="D10" s="966" t="s">
        <v>3230</v>
      </c>
      <c r="E10" s="966"/>
      <c r="F10" s="966"/>
      <c r="G10" s="966"/>
      <c r="H10" s="966"/>
      <c r="I10" s="966"/>
      <c r="J10" s="966"/>
      <c r="K10" s="966"/>
      <c r="L10" s="966"/>
      <c r="M10" s="966"/>
      <c r="N10" s="6"/>
      <c r="O10" s="299" t="str">
        <f>Lang!A258</f>
        <v>Doc. de plata</v>
      </c>
      <c r="P10" s="299"/>
      <c r="Q10" s="300"/>
      <c r="R10" s="6"/>
      <c r="S10" s="6"/>
      <c r="T10" s="6"/>
      <c r="U10" s="6"/>
      <c r="V10" s="4"/>
      <c r="W10" s="4"/>
      <c r="X10" s="231"/>
      <c r="Y10" s="231"/>
      <c r="Z10" s="231"/>
      <c r="AA10" s="4"/>
      <c r="AB10" s="4"/>
      <c r="AC10" s="5"/>
      <c r="AD10" s="5"/>
      <c r="AE10" s="5"/>
      <c r="AF10" s="5"/>
      <c r="AG10" s="5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229">
        <f>IF(D11="",0,1)</f>
        <v>0</v>
      </c>
      <c r="AS10" s="4">
        <f>IF(Select!$B$2048=1,AR10,1)</f>
        <v>0</v>
      </c>
      <c r="AT10" s="4"/>
      <c r="AU10" s="5"/>
      <c r="AV10" s="5"/>
      <c r="AW10" s="5"/>
      <c r="AX10" s="5"/>
      <c r="AY10" s="5"/>
      <c r="AZ10" s="5"/>
      <c r="BA10" s="5"/>
      <c r="BB10" s="5"/>
    </row>
    <row r="11" spans="1:54" s="1" customFormat="1">
      <c r="A11" s="984" t="str">
        <f>Lang!A250</f>
        <v>Livrare oras***</v>
      </c>
      <c r="B11" s="984"/>
      <c r="C11" s="984"/>
      <c r="D11" s="967"/>
      <c r="E11" s="967"/>
      <c r="F11" s="967"/>
      <c r="G11" s="967"/>
      <c r="H11" s="967"/>
      <c r="I11" s="967"/>
      <c r="J11" s="967"/>
      <c r="K11" s="967"/>
      <c r="L11" s="967"/>
      <c r="M11" s="967"/>
      <c r="N11" s="6"/>
      <c r="O11" s="985" t="str">
        <f>Lang!A259</f>
        <v>Zile</v>
      </c>
      <c r="P11" s="985"/>
      <c r="Q11" s="300"/>
      <c r="R11" s="6"/>
      <c r="S11" s="6"/>
      <c r="T11" s="6"/>
      <c r="U11" s="6"/>
      <c r="V11" s="4"/>
      <c r="W11" s="4"/>
      <c r="X11" s="35"/>
      <c r="Y11" s="35"/>
      <c r="Z11" s="35"/>
      <c r="AA11" s="35"/>
      <c r="AB11" s="35"/>
      <c r="AC11" s="185"/>
      <c r="AD11" s="951"/>
      <c r="AE11" s="951"/>
      <c r="AF11" s="951"/>
      <c r="AG11" s="951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229">
        <f>IF(D13="",0,1)</f>
        <v>0</v>
      </c>
      <c r="AS11" s="4">
        <f>IF(Select!$B$2048=1,AR11,1)</f>
        <v>0</v>
      </c>
      <c r="AT11" s="4"/>
      <c r="AU11" s="5"/>
      <c r="AV11" s="5"/>
      <c r="AW11" s="5"/>
      <c r="AX11" s="5"/>
      <c r="AY11" s="5"/>
      <c r="AZ11" s="5"/>
      <c r="BA11" s="5"/>
      <c r="BB11" s="5"/>
    </row>
    <row r="12" spans="1:54" s="1" customFormat="1">
      <c r="A12" s="984" t="str">
        <f>Lang!A251</f>
        <v>Judet Livrare***</v>
      </c>
      <c r="B12" s="984"/>
      <c r="C12" s="984"/>
      <c r="D12" s="967"/>
      <c r="E12" s="967"/>
      <c r="F12" s="967"/>
      <c r="G12" s="967"/>
      <c r="H12" s="967"/>
      <c r="I12" s="967"/>
      <c r="J12" s="967"/>
      <c r="K12" s="967"/>
      <c r="L12" s="967"/>
      <c r="M12" s="967"/>
      <c r="N12" s="6"/>
      <c r="O12" s="985" t="str">
        <f>Lang!A260</f>
        <v>Livrare cu</v>
      </c>
      <c r="P12" s="985"/>
      <c r="Q12" s="985"/>
      <c r="R12" s="6"/>
      <c r="S12" s="6"/>
      <c r="T12" s="6"/>
      <c r="U12" s="6"/>
      <c r="V12" s="4"/>
      <c r="W12" s="4"/>
      <c r="X12" s="35"/>
      <c r="Y12" s="35"/>
      <c r="Z12" s="35"/>
      <c r="AA12" s="35"/>
      <c r="AB12" s="35"/>
      <c r="AC12" s="185"/>
      <c r="AD12" s="951"/>
      <c r="AE12" s="951"/>
      <c r="AF12" s="951"/>
      <c r="AG12" s="951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229">
        <f>SUM(AR8:AR11)</f>
        <v>1</v>
      </c>
      <c r="AS12" s="4">
        <f>SUM(AS7:AS11)</f>
        <v>1</v>
      </c>
      <c r="AT12" s="4"/>
      <c r="AU12" s="5"/>
      <c r="AV12" s="5"/>
      <c r="AW12" s="5"/>
      <c r="AX12" s="5"/>
      <c r="AY12" s="5"/>
      <c r="AZ12" s="5"/>
      <c r="BA12" s="5"/>
      <c r="BB12" s="5"/>
    </row>
    <row r="13" spans="1:54" s="1" customFormat="1">
      <c r="A13" s="984" t="str">
        <f>Lang!A252</f>
        <v>Strada***</v>
      </c>
      <c r="B13" s="984"/>
      <c r="C13" s="984"/>
      <c r="D13" s="967"/>
      <c r="E13" s="967"/>
      <c r="F13" s="967"/>
      <c r="G13" s="967"/>
      <c r="H13" s="967"/>
      <c r="I13" s="967"/>
      <c r="J13" s="967"/>
      <c r="K13" s="967"/>
      <c r="L13" s="967"/>
      <c r="M13" s="967"/>
      <c r="N13" s="6"/>
      <c r="O13" s="7"/>
      <c r="P13" s="7"/>
      <c r="Q13" s="6"/>
      <c r="R13" s="6"/>
      <c r="S13" s="6"/>
      <c r="T13" s="6"/>
      <c r="U13" s="6"/>
      <c r="V13" s="4"/>
      <c r="W13" s="4"/>
      <c r="X13" s="4"/>
      <c r="Y13" s="4"/>
      <c r="Z13" s="4"/>
      <c r="AA13" s="4"/>
      <c r="AB13" s="4"/>
      <c r="AC13" s="5"/>
      <c r="AD13" s="5"/>
      <c r="AE13" s="5"/>
      <c r="AF13" s="5"/>
      <c r="AG13" s="5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230"/>
      <c r="AT13" s="4"/>
      <c r="AU13" s="5"/>
      <c r="AV13" s="5"/>
      <c r="AW13" s="5"/>
      <c r="AX13" s="5"/>
      <c r="AY13" s="5"/>
      <c r="AZ13" s="5"/>
      <c r="BA13" s="5"/>
      <c r="BB13" s="5"/>
    </row>
    <row r="14" spans="1:54" s="77" customFormat="1">
      <c r="A14" s="298" t="s">
        <v>1711</v>
      </c>
      <c r="B14" s="298"/>
      <c r="C14" s="298"/>
      <c r="D14" s="999"/>
      <c r="E14" s="1000"/>
      <c r="F14" s="1000"/>
      <c r="G14" s="1000"/>
      <c r="H14" s="1000"/>
      <c r="I14" s="1000"/>
      <c r="J14" s="1000"/>
      <c r="K14" s="1000"/>
      <c r="L14" s="1000"/>
      <c r="M14" s="1001"/>
      <c r="N14" s="6"/>
      <c r="O14" s="344" t="str">
        <f>Lang!A262</f>
        <v>Soferul incaseaza / ridica</v>
      </c>
      <c r="P14" s="222"/>
      <c r="Q14" s="6"/>
      <c r="R14" s="6"/>
      <c r="S14" s="6"/>
      <c r="T14" s="6"/>
      <c r="U14" s="6"/>
      <c r="V14" s="4"/>
      <c r="W14" s="4"/>
      <c r="X14" s="4"/>
      <c r="Y14" s="4"/>
      <c r="Z14" s="4"/>
      <c r="AA14" s="4"/>
      <c r="AB14" s="4"/>
      <c r="AC14" s="5"/>
      <c r="AD14" s="5"/>
      <c r="AE14" s="5"/>
      <c r="AF14" s="5"/>
      <c r="AG14" s="5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5"/>
      <c r="AV14" s="5"/>
      <c r="AW14" s="5"/>
      <c r="AX14" s="5"/>
      <c r="AY14" s="5"/>
      <c r="AZ14" s="5"/>
      <c r="BA14" s="5"/>
      <c r="BB14" s="5"/>
    </row>
    <row r="15" spans="1:54" s="1" customFormat="1">
      <c r="A15" s="996" t="str">
        <f>Lang!A253</f>
        <v>Ziua/ Data</v>
      </c>
      <c r="B15" s="996"/>
      <c r="C15" s="996"/>
      <c r="D15" s="969" t="s">
        <v>36</v>
      </c>
      <c r="E15" s="969"/>
      <c r="F15" s="969"/>
      <c r="G15" s="969"/>
      <c r="H15" s="969"/>
      <c r="I15" s="969"/>
      <c r="J15" s="969"/>
      <c r="K15" s="969"/>
      <c r="L15" s="969"/>
      <c r="M15" s="969"/>
      <c r="N15" s="6"/>
      <c r="P15" s="7"/>
      <c r="Q15" s="6"/>
      <c r="R15" s="6"/>
      <c r="S15" s="6"/>
      <c r="T15" s="6"/>
      <c r="U15" s="6"/>
      <c r="V15" s="4"/>
      <c r="W15" s="4"/>
      <c r="X15" s="4"/>
      <c r="Y15" s="4"/>
      <c r="Z15" s="4"/>
      <c r="AA15" s="4"/>
      <c r="AB15" s="4"/>
      <c r="AC15" s="5"/>
      <c r="AD15" s="5"/>
      <c r="AE15" s="5"/>
      <c r="AF15" s="5"/>
      <c r="AG15" s="5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5"/>
      <c r="AV15" s="5"/>
      <c r="AW15" s="5"/>
      <c r="AX15" s="5"/>
      <c r="AY15" s="5"/>
      <c r="AZ15" s="5"/>
      <c r="BA15" s="5"/>
      <c r="BB15" s="5"/>
    </row>
    <row r="16" spans="1:54" s="1" customFormat="1">
      <c r="A16" s="996" t="str">
        <f>Lang!A254</f>
        <v>Observatii</v>
      </c>
      <c r="B16" s="996"/>
      <c r="C16" s="996"/>
      <c r="D16" s="969" t="s">
        <v>36</v>
      </c>
      <c r="E16" s="969"/>
      <c r="F16" s="969"/>
      <c r="G16" s="969"/>
      <c r="H16" s="969"/>
      <c r="I16" s="969"/>
      <c r="J16" s="969"/>
      <c r="K16" s="969"/>
      <c r="L16" s="969"/>
      <c r="M16" s="969"/>
      <c r="N16" s="6"/>
      <c r="O16" s="6"/>
      <c r="P16" s="6"/>
      <c r="R16" s="952" t="str">
        <f>Lang!A273</f>
        <v>Curs euro</v>
      </c>
      <c r="S16" s="952"/>
      <c r="T16" s="986">
        <v>5.1550000000000002</v>
      </c>
      <c r="U16" s="987"/>
      <c r="V16" s="4"/>
      <c r="W16" s="4"/>
      <c r="X16" s="4"/>
      <c r="Y16" s="4"/>
      <c r="Z16" s="4"/>
      <c r="AA16" s="4"/>
      <c r="AB16" s="4"/>
      <c r="AC16" s="5"/>
      <c r="AD16" s="5"/>
      <c r="AE16" s="5"/>
      <c r="AF16" s="5"/>
      <c r="AG16" s="5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5"/>
      <c r="AV16" s="5"/>
      <c r="AW16" s="5"/>
      <c r="AX16" s="5"/>
      <c r="AY16" s="5"/>
      <c r="AZ16" s="5"/>
      <c r="BA16" s="5"/>
      <c r="BB16" s="5"/>
    </row>
    <row r="17" spans="1:54" s="1" customFormat="1">
      <c r="A17" s="996" t="str">
        <f>Lang!A255</f>
        <v>Nume</v>
      </c>
      <c r="B17" s="996"/>
      <c r="C17" s="996"/>
      <c r="D17" s="969" t="s">
        <v>3231</v>
      </c>
      <c r="E17" s="969"/>
      <c r="F17" s="969"/>
      <c r="G17" s="969"/>
      <c r="H17" s="969"/>
      <c r="I17" s="969"/>
      <c r="J17" s="969"/>
      <c r="K17" s="969"/>
      <c r="L17" s="969"/>
      <c r="M17" s="969"/>
      <c r="N17" s="6"/>
      <c r="O17" s="994" t="str">
        <f>Lang!A274</f>
        <v>MP TIGLA :</v>
      </c>
      <c r="P17" s="994"/>
      <c r="Q17" s="994"/>
      <c r="R17" s="994"/>
      <c r="S17" s="997">
        <f>W26</f>
        <v>0</v>
      </c>
      <c r="T17" s="997"/>
      <c r="U17" s="997"/>
      <c r="V17" s="4"/>
      <c r="W17" s="4"/>
      <c r="X17" s="4"/>
      <c r="Y17" s="4"/>
      <c r="Z17" s="4"/>
      <c r="AA17" s="4"/>
      <c r="AB17" s="4"/>
      <c r="AC17" s="5"/>
      <c r="AD17" s="5"/>
      <c r="AE17" s="5"/>
      <c r="AF17" s="5"/>
      <c r="AG17" s="5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5"/>
      <c r="AV17" s="5"/>
      <c r="AW17" s="5"/>
      <c r="AX17" s="5"/>
      <c r="AY17" s="5"/>
      <c r="AZ17" s="5"/>
      <c r="BA17" s="5"/>
      <c r="BB17" s="5"/>
    </row>
    <row r="18" spans="1:54" s="1" customFormat="1">
      <c r="A18" s="996" t="str">
        <f>Lang!A256</f>
        <v>Telefon contact</v>
      </c>
      <c r="B18" s="996"/>
      <c r="C18" s="996"/>
      <c r="D18" s="969" t="s">
        <v>3232</v>
      </c>
      <c r="E18" s="969"/>
      <c r="F18" s="969"/>
      <c r="G18" s="969"/>
      <c r="H18" s="969"/>
      <c r="I18" s="969"/>
      <c r="J18" s="969"/>
      <c r="K18" s="969"/>
      <c r="L18" s="969"/>
      <c r="M18" s="969"/>
      <c r="N18" s="6"/>
      <c r="O18" s="994" t="str">
        <f>Lang!A275</f>
        <v>MP CUTATA :</v>
      </c>
      <c r="P18" s="994"/>
      <c r="Q18" s="994"/>
      <c r="R18" s="994"/>
      <c r="S18" s="998">
        <f>W369</f>
        <v>0</v>
      </c>
      <c r="T18" s="998"/>
      <c r="U18" s="998"/>
      <c r="V18" s="4"/>
      <c r="W18" s="4"/>
      <c r="X18" s="4"/>
      <c r="Y18" s="4"/>
      <c r="Z18" s="4"/>
      <c r="AA18" s="4"/>
      <c r="AB18" s="4"/>
      <c r="AC18" s="5"/>
      <c r="AD18" s="5"/>
      <c r="AE18" s="5"/>
      <c r="AF18" s="5"/>
      <c r="AG18" s="5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5"/>
      <c r="AV18" s="5"/>
      <c r="AW18" s="5"/>
      <c r="AX18" s="5"/>
      <c r="AY18" s="5"/>
      <c r="AZ18" s="5"/>
      <c r="BA18" s="5"/>
      <c r="BB18" s="5"/>
    </row>
    <row r="19" spans="1:54" s="1" customFormat="1" ht="15" customHeight="1">
      <c r="A19" s="8" t="str">
        <f>Formular!B12</f>
        <v>Completare la fact nr /data:</v>
      </c>
      <c r="B19" s="8"/>
      <c r="C19" s="8"/>
      <c r="D19" s="8"/>
      <c r="E19" s="8"/>
      <c r="F19" s="8"/>
      <c r="G19" s="968">
        <f>Formular!H12</f>
        <v>0</v>
      </c>
      <c r="H19" s="968"/>
      <c r="I19" s="968"/>
      <c r="J19" s="968"/>
      <c r="K19" s="968"/>
      <c r="L19" s="968"/>
      <c r="M19" s="968"/>
      <c r="N19" s="8"/>
      <c r="O19" s="994" t="str">
        <f>Lang!A276</f>
        <v>MP MINIRULOU :</v>
      </c>
      <c r="P19" s="994"/>
      <c r="Q19" s="994"/>
      <c r="R19" s="994"/>
      <c r="S19" s="997">
        <f>W403</f>
        <v>0</v>
      </c>
      <c r="T19" s="997"/>
      <c r="U19" s="997"/>
      <c r="V19" s="4"/>
      <c r="W19" s="4"/>
      <c r="X19" s="4">
        <f>Select!F23</f>
        <v>1</v>
      </c>
      <c r="Y19" s="4"/>
      <c r="Z19" s="4"/>
      <c r="AA19" s="4"/>
      <c r="AB19" s="4"/>
      <c r="AC19" s="5"/>
      <c r="AD19" s="5"/>
      <c r="AE19" s="5"/>
      <c r="AF19" s="5"/>
      <c r="AG19" s="5"/>
      <c r="AH19" s="3">
        <f>AG9</f>
        <v>0</v>
      </c>
      <c r="AI19" s="3">
        <f>AG9</f>
        <v>0</v>
      </c>
      <c r="AJ19" s="4"/>
      <c r="AK19" s="4"/>
      <c r="AL19" s="4"/>
      <c r="AM19" s="4"/>
      <c r="AN19" s="4"/>
      <c r="AO19" s="4"/>
      <c r="AP19" s="4"/>
      <c r="AQ19" s="4"/>
      <c r="AR19" s="229">
        <f>Select!E23</f>
        <v>2</v>
      </c>
      <c r="AS19" s="4"/>
      <c r="AT19" s="4"/>
      <c r="AU19" s="5"/>
      <c r="AV19" s="5"/>
      <c r="AW19" s="5"/>
      <c r="AX19" s="5"/>
      <c r="AY19" s="5"/>
      <c r="AZ19" s="5"/>
      <c r="BA19" s="5"/>
      <c r="BB19" s="5"/>
    </row>
    <row r="20" spans="1:54" s="1" customFormat="1" ht="15" customHeight="1">
      <c r="A20" s="122" t="str">
        <f>Lang!A257</f>
        <v>Camp obligatoriu de completat</v>
      </c>
      <c r="B20" s="123"/>
      <c r="C20" s="123"/>
      <c r="D20" s="123"/>
      <c r="E20" s="123"/>
      <c r="F20" s="123"/>
      <c r="G20" s="9"/>
      <c r="H20" s="9"/>
      <c r="I20" s="9"/>
      <c r="J20" s="9"/>
      <c r="K20" s="9"/>
      <c r="L20" s="9"/>
      <c r="M20" s="9"/>
      <c r="N20" s="9"/>
      <c r="O20" s="994" t="str">
        <f>Lang!A277</f>
        <v>MP CLICK :</v>
      </c>
      <c r="P20" s="994"/>
      <c r="Q20" s="994"/>
      <c r="R20" s="994"/>
      <c r="S20" s="998">
        <f>W254</f>
        <v>0</v>
      </c>
      <c r="T20" s="998"/>
      <c r="U20" s="998"/>
      <c r="V20" s="4"/>
      <c r="W20" s="4"/>
      <c r="X20" s="4"/>
      <c r="Y20" s="4"/>
      <c r="Z20" s="4"/>
      <c r="AA20" s="4"/>
      <c r="AB20" s="4"/>
      <c r="AC20" s="5"/>
      <c r="AD20" s="5"/>
      <c r="AE20" s="5"/>
      <c r="AF20" s="5"/>
      <c r="AG20" s="5"/>
      <c r="AH20" s="4">
        <f>ROUND(AH19*(1+X10),2)</f>
        <v>0</v>
      </c>
      <c r="AI20" s="4">
        <f>ROUND(AH19*(1+'Disc Dep'!D32),2)</f>
        <v>0</v>
      </c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5"/>
      <c r="AV20" s="5"/>
      <c r="AW20" s="5"/>
      <c r="AX20" s="5"/>
      <c r="AY20" s="5"/>
      <c r="AZ20" s="5"/>
      <c r="BA20" s="5"/>
      <c r="BB20" s="5"/>
    </row>
    <row r="21" spans="1:54" s="1" customFormat="1" ht="15" customHeight="1">
      <c r="A21" s="956" t="str">
        <f>Lang!A278</f>
        <v>TOTAL euro fara TVA</v>
      </c>
      <c r="B21" s="957"/>
      <c r="C21" s="957"/>
      <c r="D21" s="957"/>
      <c r="E21" s="957"/>
      <c r="F21" s="958"/>
      <c r="G21" s="953">
        <f>SUM(S26:T608)-S609+S610</f>
        <v>19.398642095053344</v>
      </c>
      <c r="H21" s="954"/>
      <c r="I21" s="954"/>
      <c r="J21" s="954"/>
      <c r="K21" s="954"/>
      <c r="L21" s="954"/>
      <c r="M21" s="955"/>
      <c r="N21" s="961" t="str">
        <f>Lang!A279</f>
        <v>TOTAL euro cu TVA</v>
      </c>
      <c r="O21" s="962"/>
      <c r="P21" s="962"/>
      <c r="Q21" s="962"/>
      <c r="R21" s="963"/>
      <c r="S21" s="959">
        <f>G21*1.21</f>
        <v>23.472356935014545</v>
      </c>
      <c r="T21" s="960"/>
      <c r="U21" s="960"/>
      <c r="V21" s="4"/>
      <c r="W21" s="4"/>
      <c r="X21" s="4"/>
      <c r="Y21" s="4"/>
      <c r="Z21" s="4"/>
      <c r="AA21" s="4"/>
      <c r="AB21" s="4"/>
      <c r="AC21" s="5"/>
      <c r="AD21" s="5"/>
      <c r="AE21" s="5"/>
      <c r="AF21" s="5"/>
      <c r="AG21" s="5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5"/>
      <c r="AV21" s="5"/>
      <c r="AW21" s="5"/>
      <c r="AX21" s="5"/>
      <c r="AY21" s="5"/>
      <c r="AZ21" s="5"/>
      <c r="BA21" s="5"/>
      <c r="BB21" s="5"/>
    </row>
    <row r="22" spans="1:54" s="1" customFormat="1" ht="15" customHeight="1">
      <c r="A22" s="956" t="str">
        <f>Lang!A405</f>
        <v>TOTAL lei fara TVA</v>
      </c>
      <c r="B22" s="957"/>
      <c r="C22" s="957"/>
      <c r="D22" s="957"/>
      <c r="E22" s="957"/>
      <c r="F22" s="958"/>
      <c r="G22" s="953">
        <f>G21*T16</f>
        <v>99.999999999999986</v>
      </c>
      <c r="H22" s="954"/>
      <c r="I22" s="954"/>
      <c r="J22" s="954"/>
      <c r="K22" s="954"/>
      <c r="L22" s="954"/>
      <c r="M22" s="955"/>
      <c r="N22" s="961" t="str">
        <f>Lang!A417</f>
        <v>TOTAL lei cu TVA</v>
      </c>
      <c r="O22" s="962"/>
      <c r="P22" s="962"/>
      <c r="Q22" s="962"/>
      <c r="R22" s="963"/>
      <c r="S22" s="959">
        <f>G22*1.21</f>
        <v>120.99999999999999</v>
      </c>
      <c r="T22" s="960"/>
      <c r="U22" s="960"/>
      <c r="V22" s="4"/>
      <c r="W22" s="4"/>
      <c r="X22" s="4"/>
      <c r="Y22" s="4"/>
      <c r="Z22" s="4"/>
      <c r="AA22" s="4"/>
      <c r="AB22" s="4"/>
      <c r="AC22" s="5"/>
      <c r="AD22" s="5"/>
      <c r="AE22" s="5"/>
      <c r="AF22" s="5"/>
      <c r="AG22" s="5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5"/>
      <c r="AV22" s="5"/>
      <c r="AW22" s="5"/>
      <c r="AX22" s="5"/>
      <c r="AY22" s="5"/>
      <c r="AZ22" s="5"/>
      <c r="BA22" s="5"/>
      <c r="BB22" s="5"/>
    </row>
    <row r="23" spans="1:54" s="1" customFormat="1" ht="15" customHeight="1">
      <c r="A23" s="995"/>
      <c r="B23" s="995"/>
      <c r="C23" s="995"/>
      <c r="D23" s="995"/>
      <c r="E23" s="995"/>
      <c r="F23" s="995"/>
      <c r="G23" s="995"/>
      <c r="H23" s="995"/>
      <c r="I23" s="995"/>
      <c r="J23" s="995"/>
      <c r="K23" s="995"/>
      <c r="L23" s="995"/>
      <c r="M23" s="995"/>
      <c r="N23" s="995"/>
      <c r="O23" s="995"/>
      <c r="P23" s="995"/>
      <c r="Q23" s="995"/>
      <c r="R23" s="995"/>
      <c r="S23" s="995"/>
      <c r="T23" s="995"/>
      <c r="U23" s="995"/>
      <c r="V23" s="4"/>
      <c r="W23" s="4"/>
      <c r="X23" s="4"/>
      <c r="Y23" s="4"/>
      <c r="Z23" s="4"/>
      <c r="AA23" s="4"/>
      <c r="AB23" s="4"/>
      <c r="AC23" s="5"/>
      <c r="AD23" s="5"/>
      <c r="AE23" s="5"/>
      <c r="AF23" s="5"/>
      <c r="AG23" s="5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5"/>
      <c r="AV23" s="5"/>
      <c r="AW23" s="5"/>
      <c r="AX23" s="5"/>
      <c r="AY23" s="5"/>
      <c r="AZ23" s="5"/>
      <c r="BA23" s="5"/>
      <c r="BB23" s="5"/>
    </row>
    <row r="24" spans="1:54" s="77" customFormat="1" ht="15" customHeight="1">
      <c r="A24" s="929" t="str">
        <f>Lang!A3&amp;" "&amp;SELNEW!C4</f>
        <v xml:space="preserve">TIGLA METALICA 0  </v>
      </c>
      <c r="B24" s="930"/>
      <c r="C24" s="930"/>
      <c r="D24" s="930"/>
      <c r="E24" s="930"/>
      <c r="F24" s="930"/>
      <c r="G24" s="930"/>
      <c r="H24" s="930"/>
      <c r="I24" s="930"/>
      <c r="J24" s="930"/>
      <c r="K24" s="930"/>
      <c r="L24" s="930"/>
      <c r="M24" s="930"/>
      <c r="N24" s="930"/>
      <c r="O24" s="930"/>
      <c r="P24" s="931"/>
      <c r="Q24" s="270">
        <f>IF(W26&gt;0,1,0)</f>
        <v>0</v>
      </c>
      <c r="R24" s="267"/>
      <c r="S24" s="268"/>
      <c r="T24" s="269"/>
      <c r="U24" s="365"/>
      <c r="V24" s="5"/>
      <c r="W24" s="5"/>
      <c r="X24" s="5"/>
      <c r="Y24" s="5"/>
      <c r="Z24" s="5"/>
      <c r="AA24" s="5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144"/>
      <c r="AQ24" s="144"/>
      <c r="AR24" s="144"/>
      <c r="AS24" s="144"/>
      <c r="AT24" s="4"/>
    </row>
    <row r="25" spans="1:54" s="77" customFormat="1" ht="15" customHeight="1">
      <c r="A25" s="932" t="str">
        <f>Lang!A23&amp;" "&amp;W26&amp;" |  "&amp;Lang!A403&amp;" "&amp;X26&amp;" "&amp;Lang!A404</f>
        <v xml:space="preserve">Total MP  0 |  Valoare  0  euro fara tva </v>
      </c>
      <c r="B25" s="933"/>
      <c r="C25" s="933"/>
      <c r="D25" s="933"/>
      <c r="E25" s="933"/>
      <c r="F25" s="933"/>
      <c r="G25" s="933"/>
      <c r="H25" s="933"/>
      <c r="I25" s="933"/>
      <c r="J25" s="933"/>
      <c r="K25" s="933"/>
      <c r="L25" s="933"/>
      <c r="M25" s="933"/>
      <c r="N25" s="933"/>
      <c r="O25" s="933"/>
      <c r="P25" s="934"/>
      <c r="Q25" s="271">
        <f>Q24</f>
        <v>0</v>
      </c>
      <c r="R25" s="264"/>
      <c r="S25" s="265"/>
      <c r="T25" s="266"/>
      <c r="U25" s="366"/>
      <c r="V25" s="5"/>
      <c r="W25" s="5"/>
      <c r="X25" s="5"/>
      <c r="Y25" s="5"/>
      <c r="Z25" s="5"/>
      <c r="AA25" s="5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144"/>
      <c r="AQ25" s="144"/>
      <c r="AR25" s="144"/>
      <c r="AS25" s="144"/>
      <c r="AT25" s="4"/>
    </row>
    <row r="26" spans="1:54" s="1" customFormat="1" ht="15" customHeight="1">
      <c r="A26" s="989" t="str">
        <f>SELNEW!C4</f>
        <v xml:space="preserve">0  </v>
      </c>
      <c r="B26" s="990"/>
      <c r="C26" s="990"/>
      <c r="D26" s="990"/>
      <c r="E26" s="990"/>
      <c r="F26" s="990"/>
      <c r="G26" s="990"/>
      <c r="H26" s="990"/>
      <c r="I26" s="990"/>
      <c r="J26" s="991"/>
      <c r="K26" s="940" t="str">
        <f>Formular!B15</f>
        <v xml:space="preserve"> </v>
      </c>
      <c r="L26" s="940"/>
      <c r="M26" s="940" t="str">
        <f>Formular!D15</f>
        <v xml:space="preserve"> </v>
      </c>
      <c r="N26" s="940"/>
      <c r="O26" s="940">
        <f>Formular!G15</f>
        <v>0</v>
      </c>
      <c r="P26" s="940"/>
      <c r="Q26" s="18">
        <f>Formular!J15</f>
        <v>0</v>
      </c>
      <c r="R26" s="17">
        <f>R27</f>
        <v>0</v>
      </c>
      <c r="S26" s="917" t="str">
        <f t="shared" ref="S26:S31" si="0">IF(ISERROR((M26*O26)/1000000*Q26*R26),"0",(M26*O26)/1000000*Q26*R26)</f>
        <v>0</v>
      </c>
      <c r="T26" s="918"/>
      <c r="U26" s="353" t="str">
        <f>U27</f>
        <v xml:space="preserve"> </v>
      </c>
      <c r="V26" s="186" t="str">
        <f>IF(ISERROR((M26*O26)/1000000*Q26),"0",(M26*O26)/1000000*Q26)</f>
        <v>0</v>
      </c>
      <c r="W26" s="186">
        <f>ROUND(SUM(V26:V61),2)</f>
        <v>0</v>
      </c>
      <c r="X26" s="186">
        <f>ROUND(SUM(S26:T61),2)</f>
        <v>0</v>
      </c>
      <c r="Y26" s="187">
        <v>0.2</v>
      </c>
      <c r="Z26" s="5">
        <f>SELNEW!D3</f>
        <v>0</v>
      </c>
      <c r="AA26" s="5"/>
      <c r="AB26" s="4"/>
      <c r="AC26" s="4"/>
      <c r="AD26" s="4"/>
      <c r="AE26" s="4"/>
      <c r="AF26" s="4"/>
      <c r="AG26" s="4"/>
      <c r="AH26" s="4"/>
      <c r="AI26" s="4"/>
      <c r="AJ26" s="21"/>
      <c r="AK26" s="21"/>
      <c r="AL26" s="21"/>
      <c r="AM26" s="21"/>
      <c r="AN26" s="21"/>
      <c r="AO26" s="21"/>
      <c r="AP26" s="144"/>
      <c r="AQ26" s="144"/>
      <c r="AR26" s="144"/>
      <c r="AS26" s="144"/>
      <c r="AT26" s="21"/>
      <c r="AU26" s="21"/>
    </row>
    <row r="27" spans="1:54" s="1" customFormat="1" ht="15" customHeight="1">
      <c r="A27" s="941" t="str">
        <f>A26</f>
        <v xml:space="preserve">0  </v>
      </c>
      <c r="B27" s="942"/>
      <c r="C27" s="942"/>
      <c r="D27" s="942"/>
      <c r="E27" s="942"/>
      <c r="F27" s="942"/>
      <c r="G27" s="942"/>
      <c r="H27" s="942"/>
      <c r="I27" s="942"/>
      <c r="J27" s="943"/>
      <c r="K27" s="940" t="str">
        <f>Formular!B16</f>
        <v xml:space="preserve"> </v>
      </c>
      <c r="L27" s="940"/>
      <c r="M27" s="940" t="str">
        <f>Formular!D16</f>
        <v xml:space="preserve"> </v>
      </c>
      <c r="N27" s="940"/>
      <c r="O27" s="940">
        <f>Formular!G16</f>
        <v>0</v>
      </c>
      <c r="P27" s="940"/>
      <c r="Q27" s="18">
        <f>Formular!J16</f>
        <v>0</v>
      </c>
      <c r="R27" s="17">
        <f>R28</f>
        <v>0</v>
      </c>
      <c r="S27" s="917" t="str">
        <f t="shared" si="0"/>
        <v>0</v>
      </c>
      <c r="T27" s="918"/>
      <c r="U27" s="353" t="str">
        <f>U28</f>
        <v xml:space="preserve"> </v>
      </c>
      <c r="V27" s="186" t="str">
        <f>IF(ISERROR((M27*O27)/1000000*Q27),"0",(M27*O27)/1000000*Q27)</f>
        <v>0</v>
      </c>
      <c r="W27" s="5"/>
      <c r="X27" s="5"/>
      <c r="Y27" s="5"/>
      <c r="Z27" s="5"/>
      <c r="AA27" s="5"/>
      <c r="AB27" s="4"/>
      <c r="AC27" s="4"/>
      <c r="AD27" s="4"/>
      <c r="AE27" s="4"/>
      <c r="AF27" s="4"/>
      <c r="AG27" s="4"/>
      <c r="AH27" s="4"/>
      <c r="AI27" s="4"/>
      <c r="AJ27" s="21"/>
      <c r="AK27" s="21"/>
      <c r="AL27" s="21"/>
      <c r="AM27" s="21"/>
      <c r="AN27" s="21"/>
      <c r="AO27" s="21"/>
      <c r="AP27" s="144"/>
      <c r="AQ27" s="144"/>
      <c r="AR27" s="144"/>
      <c r="AS27" s="144"/>
      <c r="AT27" s="21"/>
      <c r="AU27" s="21"/>
    </row>
    <row r="28" spans="1:54" s="1" customFormat="1" ht="15" customHeight="1">
      <c r="A28" s="941" t="str">
        <f t="shared" ref="A28:A61" si="1">A27</f>
        <v xml:space="preserve">0  </v>
      </c>
      <c r="B28" s="942"/>
      <c r="C28" s="942"/>
      <c r="D28" s="942"/>
      <c r="E28" s="942"/>
      <c r="F28" s="942"/>
      <c r="G28" s="942"/>
      <c r="H28" s="942"/>
      <c r="I28" s="942"/>
      <c r="J28" s="943"/>
      <c r="K28" s="940" t="str">
        <f>Formular!B17</f>
        <v xml:space="preserve"> </v>
      </c>
      <c r="L28" s="940"/>
      <c r="M28" s="940" t="str">
        <f>Formular!D17</f>
        <v xml:space="preserve"> </v>
      </c>
      <c r="N28" s="940"/>
      <c r="O28" s="940">
        <f>Formular!G17</f>
        <v>0</v>
      </c>
      <c r="P28" s="940"/>
      <c r="Q28" s="18">
        <f>Formular!J17</f>
        <v>0</v>
      </c>
      <c r="R28" s="17">
        <f>R29</f>
        <v>0</v>
      </c>
      <c r="S28" s="917" t="str">
        <f t="shared" si="0"/>
        <v>0</v>
      </c>
      <c r="T28" s="918"/>
      <c r="U28" s="353" t="str">
        <f>U29</f>
        <v xml:space="preserve"> </v>
      </c>
      <c r="V28" s="186" t="str">
        <f>IF(ISERROR((M28*O28)/1000000*Q28),"0",(M28*O28)/1000000*Q28)</f>
        <v>0</v>
      </c>
      <c r="W28" s="5"/>
      <c r="X28" s="5"/>
      <c r="Y28" s="5"/>
      <c r="Z28" s="5"/>
      <c r="AA28" s="5"/>
      <c r="AB28" s="4"/>
      <c r="AC28" s="4"/>
      <c r="AD28" s="4"/>
      <c r="AE28" s="4"/>
      <c r="AF28" s="4"/>
      <c r="AG28" s="4"/>
      <c r="AH28" s="4"/>
      <c r="AI28" s="4"/>
      <c r="AJ28" s="21"/>
      <c r="AK28" s="21"/>
      <c r="AL28" s="21"/>
      <c r="AM28" s="21"/>
      <c r="AN28" s="21"/>
      <c r="AO28" s="21"/>
      <c r="AP28" s="144"/>
      <c r="AQ28" s="144"/>
      <c r="AR28" s="144"/>
      <c r="AS28" s="144"/>
      <c r="AT28" s="21"/>
      <c r="AU28" s="21"/>
    </row>
    <row r="29" spans="1:54" s="1" customFormat="1" ht="15" customHeight="1">
      <c r="A29" s="941" t="str">
        <f t="shared" si="1"/>
        <v xml:space="preserve">0  </v>
      </c>
      <c r="B29" s="942"/>
      <c r="C29" s="942"/>
      <c r="D29" s="942"/>
      <c r="E29" s="942"/>
      <c r="F29" s="942"/>
      <c r="G29" s="942"/>
      <c r="H29" s="942"/>
      <c r="I29" s="942"/>
      <c r="J29" s="943"/>
      <c r="K29" s="940" t="str">
        <f>Formular!B18</f>
        <v xml:space="preserve"> </v>
      </c>
      <c r="L29" s="940"/>
      <c r="M29" s="940" t="str">
        <f>Formular!D18</f>
        <v xml:space="preserve"> </v>
      </c>
      <c r="N29" s="940"/>
      <c r="O29" s="940">
        <f>Formular!G18</f>
        <v>0</v>
      </c>
      <c r="P29" s="940"/>
      <c r="Q29" s="18">
        <f>Formular!J18</f>
        <v>0</v>
      </c>
      <c r="R29" s="17">
        <f>R30</f>
        <v>0</v>
      </c>
      <c r="S29" s="917" t="str">
        <f t="shared" si="0"/>
        <v>0</v>
      </c>
      <c r="T29" s="918"/>
      <c r="U29" s="353" t="str">
        <f>U30</f>
        <v xml:space="preserve"> </v>
      </c>
      <c r="V29" s="186" t="str">
        <f>IF(ISERROR((M29*O29)/1000000*Q29),"0",(M29*O29)/1000000*Q29)</f>
        <v>0</v>
      </c>
      <c r="W29" s="5"/>
      <c r="X29" s="5"/>
      <c r="Y29" s="5"/>
      <c r="Z29" s="5"/>
      <c r="AA29" s="5"/>
      <c r="AB29" s="4"/>
      <c r="AC29" s="4"/>
      <c r="AD29" s="4"/>
      <c r="AE29" s="4"/>
      <c r="AF29" s="4"/>
      <c r="AG29" s="4"/>
      <c r="AH29" s="4"/>
      <c r="AI29" s="4"/>
      <c r="AJ29" s="21"/>
      <c r="AK29" s="21"/>
      <c r="AL29" s="21"/>
      <c r="AM29" s="21"/>
      <c r="AN29" s="21"/>
      <c r="AO29" s="21"/>
      <c r="AP29" s="144"/>
      <c r="AQ29" s="144"/>
      <c r="AR29" s="144"/>
      <c r="AS29" s="144"/>
      <c r="AT29" s="21"/>
      <c r="AU29" s="21"/>
    </row>
    <row r="30" spans="1:54" s="1" customFormat="1" ht="15" customHeight="1">
      <c r="A30" s="941" t="str">
        <f t="shared" si="1"/>
        <v xml:space="preserve">0  </v>
      </c>
      <c r="B30" s="942"/>
      <c r="C30" s="942"/>
      <c r="D30" s="942"/>
      <c r="E30" s="942"/>
      <c r="F30" s="942"/>
      <c r="G30" s="942"/>
      <c r="H30" s="942"/>
      <c r="I30" s="942"/>
      <c r="J30" s="943"/>
      <c r="K30" s="940" t="str">
        <f>Formular!B19</f>
        <v xml:space="preserve"> </v>
      </c>
      <c r="L30" s="940"/>
      <c r="M30" s="940" t="str">
        <f>Formular!D19</f>
        <v xml:space="preserve"> </v>
      </c>
      <c r="N30" s="940"/>
      <c r="O30" s="940">
        <f>Formular!G19</f>
        <v>0</v>
      </c>
      <c r="P30" s="940"/>
      <c r="Q30" s="10">
        <f>Formular!J19</f>
        <v>0</v>
      </c>
      <c r="R30" s="11">
        <f t="shared" ref="R30:R39" si="2">R31</f>
        <v>0</v>
      </c>
      <c r="S30" s="917" t="str">
        <f t="shared" si="0"/>
        <v>0</v>
      </c>
      <c r="T30" s="918"/>
      <c r="U30" s="353" t="str">
        <f t="shared" ref="U30:U39" si="3">U31</f>
        <v xml:space="preserve"> </v>
      </c>
      <c r="V30" s="186" t="str">
        <f t="shared" ref="V30:V61" si="4">IF(ISERROR((M30*O30)/1000000*Q30),"0",(M30*O30)/1000000*Q30)</f>
        <v>0</v>
      </c>
      <c r="AA30" s="5"/>
      <c r="AB30" s="4"/>
      <c r="AC30" s="4"/>
      <c r="AD30" s="4"/>
      <c r="AE30" s="4"/>
      <c r="AF30" s="4"/>
      <c r="AG30" s="4"/>
      <c r="AH30" s="4"/>
      <c r="AI30" s="4"/>
      <c r="AJ30" s="21"/>
      <c r="AK30" s="21"/>
      <c r="AL30" s="21"/>
      <c r="AM30" s="21"/>
      <c r="AN30" s="21"/>
      <c r="AO30" s="21"/>
      <c r="AP30" s="144"/>
      <c r="AQ30" s="144"/>
      <c r="AR30" s="144"/>
      <c r="AS30" s="144"/>
      <c r="AT30" s="21"/>
      <c r="AU30" s="21"/>
    </row>
    <row r="31" spans="1:54" s="1" customFormat="1" ht="15" customHeight="1">
      <c r="A31" s="941" t="str">
        <f t="shared" si="1"/>
        <v xml:space="preserve">0  </v>
      </c>
      <c r="B31" s="942"/>
      <c r="C31" s="942"/>
      <c r="D31" s="942"/>
      <c r="E31" s="942"/>
      <c r="F31" s="942"/>
      <c r="G31" s="942"/>
      <c r="H31" s="942"/>
      <c r="I31" s="942"/>
      <c r="J31" s="943"/>
      <c r="K31" s="940" t="str">
        <f>Formular!B20</f>
        <v xml:space="preserve"> </v>
      </c>
      <c r="L31" s="940"/>
      <c r="M31" s="940" t="str">
        <f>Formular!D20</f>
        <v xml:space="preserve"> </v>
      </c>
      <c r="N31" s="940"/>
      <c r="O31" s="940">
        <f>Formular!G20</f>
        <v>0</v>
      </c>
      <c r="P31" s="940"/>
      <c r="Q31" s="10">
        <f>Formular!J20</f>
        <v>0</v>
      </c>
      <c r="R31" s="11">
        <f t="shared" si="2"/>
        <v>0</v>
      </c>
      <c r="S31" s="917" t="str">
        <f t="shared" si="0"/>
        <v>0</v>
      </c>
      <c r="T31" s="918"/>
      <c r="U31" s="353" t="str">
        <f t="shared" si="3"/>
        <v xml:space="preserve"> </v>
      </c>
      <c r="V31" s="186" t="str">
        <f t="shared" si="4"/>
        <v>0</v>
      </c>
      <c r="W31" s="186"/>
      <c r="X31" s="186"/>
      <c r="Y31" s="5"/>
      <c r="Z31" s="5"/>
      <c r="AA31" s="5"/>
      <c r="AB31" s="4"/>
      <c r="AC31" s="4"/>
      <c r="AD31" s="4"/>
      <c r="AE31" s="4"/>
      <c r="AF31" s="4"/>
      <c r="AG31" s="4"/>
      <c r="AH31" s="4"/>
      <c r="AI31" s="4"/>
      <c r="AJ31" s="21"/>
      <c r="AK31" s="21"/>
      <c r="AL31" s="21"/>
      <c r="AM31" s="21"/>
      <c r="AN31" s="21"/>
      <c r="AO31" s="21"/>
      <c r="AP31" s="144"/>
      <c r="AQ31" s="144"/>
      <c r="AR31" s="144"/>
      <c r="AS31" s="144"/>
      <c r="AT31" s="21"/>
      <c r="AU31" s="21"/>
    </row>
    <row r="32" spans="1:54" s="1" customFormat="1" ht="15" customHeight="1">
      <c r="A32" s="941" t="str">
        <f t="shared" si="1"/>
        <v xml:space="preserve">0  </v>
      </c>
      <c r="B32" s="942"/>
      <c r="C32" s="942"/>
      <c r="D32" s="942"/>
      <c r="E32" s="942"/>
      <c r="F32" s="942"/>
      <c r="G32" s="942"/>
      <c r="H32" s="942"/>
      <c r="I32" s="942"/>
      <c r="J32" s="943"/>
      <c r="K32" s="940" t="str">
        <f>Formular!B21</f>
        <v xml:space="preserve"> </v>
      </c>
      <c r="L32" s="940"/>
      <c r="M32" s="940" t="str">
        <f>Formular!D21</f>
        <v xml:space="preserve"> </v>
      </c>
      <c r="N32" s="940"/>
      <c r="O32" s="940">
        <f>Formular!G21</f>
        <v>0</v>
      </c>
      <c r="P32" s="940"/>
      <c r="Q32" s="10">
        <f>Formular!J21</f>
        <v>0</v>
      </c>
      <c r="R32" s="11">
        <f t="shared" si="2"/>
        <v>0</v>
      </c>
      <c r="S32" s="917" t="str">
        <f t="shared" ref="S32:S40" si="5">IF(ISERROR((M32*O32)/1000000*Q32*R32),"0",(M32*O32)/1000000*Q32*R32)</f>
        <v>0</v>
      </c>
      <c r="T32" s="918"/>
      <c r="U32" s="353" t="str">
        <f t="shared" si="3"/>
        <v xml:space="preserve"> </v>
      </c>
      <c r="V32" s="186" t="str">
        <f t="shared" si="4"/>
        <v>0</v>
      </c>
      <c r="W32" s="5"/>
      <c r="X32" s="5"/>
      <c r="Y32" s="5"/>
      <c r="Z32" s="5"/>
      <c r="AA32" s="5"/>
      <c r="AB32" s="4"/>
      <c r="AC32" s="4"/>
      <c r="AD32" s="4"/>
      <c r="AE32" s="4"/>
      <c r="AF32" s="4"/>
      <c r="AG32" s="4"/>
      <c r="AH32" s="4"/>
      <c r="AI32" s="4"/>
      <c r="AJ32" s="21"/>
      <c r="AK32" s="21"/>
      <c r="AL32" s="21"/>
      <c r="AM32" s="21"/>
      <c r="AN32" s="21"/>
      <c r="AO32" s="21"/>
      <c r="AP32" s="144"/>
      <c r="AQ32" s="144"/>
      <c r="AR32" s="144"/>
      <c r="AS32" s="144"/>
      <c r="AT32" s="21"/>
      <c r="AU32" s="21"/>
    </row>
    <row r="33" spans="1:54" s="1" customFormat="1" ht="15" customHeight="1">
      <c r="A33" s="941" t="str">
        <f t="shared" si="1"/>
        <v xml:space="preserve">0  </v>
      </c>
      <c r="B33" s="942"/>
      <c r="C33" s="942"/>
      <c r="D33" s="942"/>
      <c r="E33" s="942"/>
      <c r="F33" s="942"/>
      <c r="G33" s="942"/>
      <c r="H33" s="942"/>
      <c r="I33" s="942"/>
      <c r="J33" s="943"/>
      <c r="K33" s="940" t="str">
        <f>Formular!B22</f>
        <v xml:space="preserve"> </v>
      </c>
      <c r="L33" s="940"/>
      <c r="M33" s="940" t="str">
        <f>Formular!D22</f>
        <v xml:space="preserve"> </v>
      </c>
      <c r="N33" s="940"/>
      <c r="O33" s="940">
        <f>Formular!G22</f>
        <v>0</v>
      </c>
      <c r="P33" s="940"/>
      <c r="Q33" s="10">
        <f>Formular!J22</f>
        <v>0</v>
      </c>
      <c r="R33" s="11">
        <f t="shared" si="2"/>
        <v>0</v>
      </c>
      <c r="S33" s="917" t="str">
        <f t="shared" si="5"/>
        <v>0</v>
      </c>
      <c r="T33" s="918"/>
      <c r="U33" s="353" t="str">
        <f t="shared" si="3"/>
        <v xml:space="preserve"> </v>
      </c>
      <c r="V33" s="186" t="str">
        <f t="shared" si="4"/>
        <v>0</v>
      </c>
      <c r="W33" s="5"/>
      <c r="X33" s="5"/>
      <c r="Y33" s="5"/>
      <c r="Z33" s="5"/>
      <c r="AA33" s="5"/>
      <c r="AB33" s="4"/>
      <c r="AC33" s="4"/>
      <c r="AD33" s="4"/>
      <c r="AE33" s="4"/>
      <c r="AF33" s="4"/>
      <c r="AG33" s="4"/>
      <c r="AH33" s="4"/>
      <c r="AI33" s="4"/>
      <c r="AJ33" s="21"/>
      <c r="AK33" s="21"/>
      <c r="AL33" s="21"/>
      <c r="AM33" s="21"/>
      <c r="AN33" s="21"/>
      <c r="AO33" s="21"/>
      <c r="AP33" s="144"/>
      <c r="AQ33" s="144"/>
      <c r="AR33" s="144"/>
      <c r="AS33" s="144"/>
      <c r="AT33" s="21"/>
      <c r="AU33" s="21"/>
    </row>
    <row r="34" spans="1:54" ht="15" customHeight="1">
      <c r="A34" s="941" t="str">
        <f t="shared" si="1"/>
        <v xml:space="preserve">0  </v>
      </c>
      <c r="B34" s="942"/>
      <c r="C34" s="942"/>
      <c r="D34" s="942"/>
      <c r="E34" s="942"/>
      <c r="F34" s="942"/>
      <c r="G34" s="942"/>
      <c r="H34" s="942"/>
      <c r="I34" s="942"/>
      <c r="J34" s="943"/>
      <c r="K34" s="940" t="str">
        <f>Formular!B23</f>
        <v xml:space="preserve"> </v>
      </c>
      <c r="L34" s="940"/>
      <c r="M34" s="940" t="str">
        <f>Formular!D23</f>
        <v xml:space="preserve"> </v>
      </c>
      <c r="N34" s="940"/>
      <c r="O34" s="940">
        <f>Formular!G23</f>
        <v>0</v>
      </c>
      <c r="P34" s="940"/>
      <c r="Q34" s="10">
        <f>Formular!J23</f>
        <v>0</v>
      </c>
      <c r="R34" s="11">
        <f t="shared" si="2"/>
        <v>0</v>
      </c>
      <c r="S34" s="917" t="str">
        <f t="shared" si="5"/>
        <v>0</v>
      </c>
      <c r="T34" s="918"/>
      <c r="U34" s="353" t="str">
        <f t="shared" si="3"/>
        <v xml:space="preserve"> </v>
      </c>
      <c r="V34" s="186" t="str">
        <f t="shared" si="4"/>
        <v>0</v>
      </c>
      <c r="W34" s="5"/>
      <c r="X34" s="5"/>
      <c r="Y34" s="5"/>
      <c r="Z34" s="5"/>
      <c r="AA34" s="5"/>
      <c r="AC34" s="4"/>
      <c r="AD34" s="4"/>
      <c r="AE34" s="4"/>
      <c r="AF34" s="4"/>
      <c r="AG34" s="4"/>
      <c r="AJ34" s="21"/>
      <c r="AK34" s="21"/>
      <c r="AL34" s="21"/>
      <c r="AM34" s="21"/>
      <c r="AN34" s="21"/>
      <c r="AO34" s="21"/>
      <c r="AP34" s="144"/>
      <c r="AQ34" s="144"/>
      <c r="AR34" s="144"/>
      <c r="AS34" s="144"/>
      <c r="AT34" s="21"/>
      <c r="AU34" s="21"/>
      <c r="AV34"/>
      <c r="AW34"/>
      <c r="AX34"/>
      <c r="AY34"/>
      <c r="AZ34"/>
      <c r="BA34"/>
      <c r="BB34"/>
    </row>
    <row r="35" spans="1:54" ht="15" customHeight="1">
      <c r="A35" s="941" t="str">
        <f t="shared" si="1"/>
        <v xml:space="preserve">0  </v>
      </c>
      <c r="B35" s="942"/>
      <c r="C35" s="942"/>
      <c r="D35" s="942"/>
      <c r="E35" s="942"/>
      <c r="F35" s="942"/>
      <c r="G35" s="942"/>
      <c r="H35" s="942"/>
      <c r="I35" s="942"/>
      <c r="J35" s="943"/>
      <c r="K35" s="940" t="str">
        <f>Formular!B24</f>
        <v xml:space="preserve"> </v>
      </c>
      <c r="L35" s="940"/>
      <c r="M35" s="940" t="str">
        <f>Formular!D24</f>
        <v xml:space="preserve"> </v>
      </c>
      <c r="N35" s="940"/>
      <c r="O35" s="940">
        <f>Formular!G24</f>
        <v>0</v>
      </c>
      <c r="P35" s="940"/>
      <c r="Q35" s="10">
        <f>Formular!J24</f>
        <v>0</v>
      </c>
      <c r="R35" s="11">
        <f t="shared" si="2"/>
        <v>0</v>
      </c>
      <c r="S35" s="917" t="str">
        <f t="shared" si="5"/>
        <v>0</v>
      </c>
      <c r="T35" s="918"/>
      <c r="U35" s="353" t="str">
        <f t="shared" si="3"/>
        <v xml:space="preserve"> </v>
      </c>
      <c r="V35" s="186" t="str">
        <f t="shared" si="4"/>
        <v>0</v>
      </c>
      <c r="W35" s="5"/>
      <c r="X35" s="5"/>
      <c r="Y35" s="5"/>
      <c r="Z35" s="5"/>
      <c r="AA35" s="5"/>
      <c r="AC35" s="4"/>
      <c r="AD35" s="4"/>
      <c r="AE35" s="4"/>
      <c r="AF35" s="4"/>
      <c r="AG35" s="4"/>
      <c r="AP35" s="144"/>
      <c r="AQ35" s="144"/>
      <c r="AR35" s="144"/>
      <c r="AS35" s="144"/>
      <c r="AU35"/>
      <c r="AV35"/>
      <c r="AW35"/>
      <c r="AX35"/>
      <c r="AY35"/>
      <c r="AZ35"/>
      <c r="BA35"/>
      <c r="BB35"/>
    </row>
    <row r="36" spans="1:54" ht="15" customHeight="1">
      <c r="A36" s="941" t="str">
        <f t="shared" si="1"/>
        <v xml:space="preserve">0  </v>
      </c>
      <c r="B36" s="942"/>
      <c r="C36" s="942"/>
      <c r="D36" s="942"/>
      <c r="E36" s="942"/>
      <c r="F36" s="942"/>
      <c r="G36" s="942"/>
      <c r="H36" s="942"/>
      <c r="I36" s="942"/>
      <c r="J36" s="943"/>
      <c r="K36" s="940" t="str">
        <f>Formular!B25</f>
        <v xml:space="preserve"> </v>
      </c>
      <c r="L36" s="940"/>
      <c r="M36" s="940" t="str">
        <f>Formular!D25</f>
        <v xml:space="preserve"> </v>
      </c>
      <c r="N36" s="940"/>
      <c r="O36" s="940">
        <f>Formular!G25</f>
        <v>0</v>
      </c>
      <c r="P36" s="940"/>
      <c r="Q36" s="10">
        <f>Formular!J25</f>
        <v>0</v>
      </c>
      <c r="R36" s="11">
        <f t="shared" si="2"/>
        <v>0</v>
      </c>
      <c r="S36" s="917" t="str">
        <f t="shared" si="5"/>
        <v>0</v>
      </c>
      <c r="T36" s="918"/>
      <c r="U36" s="353" t="str">
        <f t="shared" si="3"/>
        <v xml:space="preserve"> </v>
      </c>
      <c r="V36" s="186" t="str">
        <f t="shared" si="4"/>
        <v>0</v>
      </c>
      <c r="W36" s="5"/>
      <c r="X36" s="5"/>
      <c r="Y36" s="5"/>
      <c r="Z36" s="5"/>
      <c r="AA36" s="5"/>
      <c r="AC36" s="4"/>
      <c r="AD36" s="4"/>
      <c r="AE36" s="4"/>
      <c r="AF36" s="4"/>
      <c r="AG36" s="4"/>
      <c r="AP36" s="144"/>
      <c r="AQ36" s="144"/>
      <c r="AR36" s="144"/>
      <c r="AS36" s="144"/>
      <c r="AU36"/>
      <c r="AV36"/>
      <c r="AW36"/>
      <c r="AX36"/>
      <c r="AY36"/>
      <c r="AZ36"/>
      <c r="BA36"/>
      <c r="BB36"/>
    </row>
    <row r="37" spans="1:54" ht="15" customHeight="1">
      <c r="A37" s="941" t="str">
        <f t="shared" si="1"/>
        <v xml:space="preserve">0  </v>
      </c>
      <c r="B37" s="942"/>
      <c r="C37" s="942"/>
      <c r="D37" s="942"/>
      <c r="E37" s="942"/>
      <c r="F37" s="942"/>
      <c r="G37" s="942"/>
      <c r="H37" s="942"/>
      <c r="I37" s="942"/>
      <c r="J37" s="943"/>
      <c r="K37" s="940" t="str">
        <f>Formular!B26</f>
        <v xml:space="preserve"> </v>
      </c>
      <c r="L37" s="940"/>
      <c r="M37" s="940" t="str">
        <f>Formular!D26</f>
        <v xml:space="preserve"> </v>
      </c>
      <c r="N37" s="940"/>
      <c r="O37" s="940">
        <f>Formular!G26</f>
        <v>0</v>
      </c>
      <c r="P37" s="940"/>
      <c r="Q37" s="10">
        <f>Formular!J26</f>
        <v>0</v>
      </c>
      <c r="R37" s="11">
        <f t="shared" si="2"/>
        <v>0</v>
      </c>
      <c r="S37" s="917" t="str">
        <f t="shared" si="5"/>
        <v>0</v>
      </c>
      <c r="T37" s="918"/>
      <c r="U37" s="353" t="str">
        <f t="shared" si="3"/>
        <v xml:space="preserve"> </v>
      </c>
      <c r="V37" s="186" t="str">
        <f t="shared" si="4"/>
        <v>0</v>
      </c>
      <c r="W37" s="5"/>
      <c r="X37" s="5"/>
      <c r="Y37" s="5"/>
      <c r="Z37" s="5"/>
      <c r="AA37" s="5"/>
      <c r="AC37" s="4"/>
      <c r="AD37" s="4"/>
      <c r="AE37" s="4"/>
      <c r="AF37" s="4"/>
      <c r="AG37" s="4"/>
      <c r="AP37" s="144"/>
      <c r="AQ37" s="144"/>
      <c r="AR37" s="144"/>
      <c r="AS37" s="144"/>
      <c r="AU37"/>
      <c r="AV37"/>
      <c r="AW37"/>
      <c r="AX37"/>
      <c r="AY37"/>
      <c r="AZ37"/>
      <c r="BA37"/>
      <c r="BB37"/>
    </row>
    <row r="38" spans="1:54" ht="15" customHeight="1">
      <c r="A38" s="941" t="str">
        <f t="shared" si="1"/>
        <v xml:space="preserve">0  </v>
      </c>
      <c r="B38" s="942"/>
      <c r="C38" s="942"/>
      <c r="D38" s="942"/>
      <c r="E38" s="942"/>
      <c r="F38" s="942"/>
      <c r="G38" s="942"/>
      <c r="H38" s="942"/>
      <c r="I38" s="942"/>
      <c r="J38" s="943"/>
      <c r="K38" s="940" t="str">
        <f>Formular!B27</f>
        <v xml:space="preserve"> </v>
      </c>
      <c r="L38" s="940"/>
      <c r="M38" s="940" t="str">
        <f>Formular!D27</f>
        <v xml:space="preserve"> </v>
      </c>
      <c r="N38" s="940"/>
      <c r="O38" s="940">
        <f>Formular!G27</f>
        <v>0</v>
      </c>
      <c r="P38" s="940"/>
      <c r="Q38" s="10">
        <f>Formular!J27</f>
        <v>0</v>
      </c>
      <c r="R38" s="11">
        <f t="shared" si="2"/>
        <v>0</v>
      </c>
      <c r="S38" s="917" t="str">
        <f t="shared" si="5"/>
        <v>0</v>
      </c>
      <c r="T38" s="918"/>
      <c r="U38" s="353" t="str">
        <f t="shared" si="3"/>
        <v xml:space="preserve"> </v>
      </c>
      <c r="V38" s="186" t="str">
        <f t="shared" si="4"/>
        <v>0</v>
      </c>
      <c r="W38" s="5"/>
      <c r="X38" s="5"/>
      <c r="Y38" s="5"/>
      <c r="Z38" s="5"/>
      <c r="AA38" s="5"/>
      <c r="AC38" s="4"/>
      <c r="AD38" s="4"/>
      <c r="AE38" s="4"/>
      <c r="AF38" s="4"/>
      <c r="AG38" s="4"/>
      <c r="AP38" s="144"/>
      <c r="AQ38" s="144"/>
      <c r="AR38" s="144"/>
      <c r="AS38" s="144"/>
      <c r="AU38"/>
      <c r="AV38"/>
      <c r="AW38"/>
      <c r="AX38"/>
      <c r="AY38"/>
      <c r="AZ38"/>
      <c r="BA38"/>
      <c r="BB38"/>
    </row>
    <row r="39" spans="1:54" ht="15" customHeight="1">
      <c r="A39" s="941" t="str">
        <f t="shared" si="1"/>
        <v xml:space="preserve">0  </v>
      </c>
      <c r="B39" s="942"/>
      <c r="C39" s="942"/>
      <c r="D39" s="942"/>
      <c r="E39" s="942"/>
      <c r="F39" s="942"/>
      <c r="G39" s="942"/>
      <c r="H39" s="942"/>
      <c r="I39" s="942"/>
      <c r="J39" s="943"/>
      <c r="K39" s="940" t="str">
        <f>Formular!B28</f>
        <v xml:space="preserve"> </v>
      </c>
      <c r="L39" s="940"/>
      <c r="M39" s="940" t="str">
        <f>Formular!D28</f>
        <v xml:space="preserve"> </v>
      </c>
      <c r="N39" s="940"/>
      <c r="O39" s="940">
        <f>Formular!G28</f>
        <v>0</v>
      </c>
      <c r="P39" s="940"/>
      <c r="Q39" s="10">
        <f>Formular!J28</f>
        <v>0</v>
      </c>
      <c r="R39" s="11">
        <f t="shared" si="2"/>
        <v>0</v>
      </c>
      <c r="S39" s="917" t="str">
        <f t="shared" si="5"/>
        <v>0</v>
      </c>
      <c r="T39" s="918"/>
      <c r="U39" s="353" t="str">
        <f t="shared" si="3"/>
        <v xml:space="preserve"> </v>
      </c>
      <c r="V39" s="186" t="str">
        <f t="shared" si="4"/>
        <v>0</v>
      </c>
      <c r="W39" s="5"/>
      <c r="X39" s="5"/>
      <c r="Y39" s="5"/>
      <c r="Z39" s="5"/>
      <c r="AA39" s="5"/>
      <c r="AC39" s="4"/>
      <c r="AD39" s="4"/>
      <c r="AE39" s="4"/>
      <c r="AF39" s="4"/>
      <c r="AG39" s="4"/>
      <c r="AP39" s="144"/>
      <c r="AQ39" s="144"/>
      <c r="AR39" s="144"/>
      <c r="AS39" s="144"/>
      <c r="AU39"/>
      <c r="AV39"/>
      <c r="AW39"/>
      <c r="AX39"/>
      <c r="AY39"/>
      <c r="AZ39"/>
      <c r="BA39"/>
      <c r="BB39"/>
    </row>
    <row r="40" spans="1:54" ht="15" customHeight="1">
      <c r="A40" s="941" t="str">
        <f t="shared" si="1"/>
        <v xml:space="preserve">0  </v>
      </c>
      <c r="B40" s="942"/>
      <c r="C40" s="942"/>
      <c r="D40" s="942"/>
      <c r="E40" s="942"/>
      <c r="F40" s="942"/>
      <c r="G40" s="942"/>
      <c r="H40" s="942"/>
      <c r="I40" s="942"/>
      <c r="J40" s="943"/>
      <c r="K40" s="940" t="str">
        <f>Formular!B29</f>
        <v xml:space="preserve"> </v>
      </c>
      <c r="L40" s="940"/>
      <c r="M40" s="940" t="str">
        <f>Formular!D29</f>
        <v xml:space="preserve"> </v>
      </c>
      <c r="N40" s="940"/>
      <c r="O40" s="940">
        <f>Formular!G29</f>
        <v>0</v>
      </c>
      <c r="P40" s="940"/>
      <c r="Q40" s="10">
        <f>Formular!J29</f>
        <v>0</v>
      </c>
      <c r="R40" s="11">
        <f>R41</f>
        <v>0</v>
      </c>
      <c r="S40" s="917" t="str">
        <f t="shared" si="5"/>
        <v>0</v>
      </c>
      <c r="T40" s="918"/>
      <c r="U40" s="353" t="str">
        <f>U41</f>
        <v xml:space="preserve"> </v>
      </c>
      <c r="V40" s="186" t="str">
        <f t="shared" si="4"/>
        <v>0</v>
      </c>
      <c r="W40" s="5"/>
      <c r="X40" s="5"/>
      <c r="Y40" s="5"/>
      <c r="Z40" s="5"/>
      <c r="AA40" s="5"/>
      <c r="AC40" s="4"/>
      <c r="AD40" s="4"/>
      <c r="AE40" s="4"/>
      <c r="AF40" s="4"/>
      <c r="AG40" s="4"/>
      <c r="AP40" s="144"/>
      <c r="AQ40" s="144"/>
      <c r="AR40" s="144"/>
      <c r="AS40" s="144"/>
      <c r="AU40"/>
      <c r="AV40"/>
      <c r="AW40"/>
      <c r="AX40"/>
      <c r="AY40"/>
      <c r="AZ40"/>
      <c r="BA40"/>
      <c r="BB40"/>
    </row>
    <row r="41" spans="1:54" ht="15" customHeight="1">
      <c r="A41" s="941" t="str">
        <f t="shared" si="1"/>
        <v xml:space="preserve">0  </v>
      </c>
      <c r="B41" s="942"/>
      <c r="C41" s="942"/>
      <c r="D41" s="942"/>
      <c r="E41" s="942"/>
      <c r="F41" s="942"/>
      <c r="G41" s="942"/>
      <c r="H41" s="942"/>
      <c r="I41" s="942"/>
      <c r="J41" s="943"/>
      <c r="K41" s="940" t="str">
        <f>Formular!B30</f>
        <v xml:space="preserve"> </v>
      </c>
      <c r="L41" s="940"/>
      <c r="M41" s="940" t="str">
        <f>Formular!D30</f>
        <v xml:space="preserve"> </v>
      </c>
      <c r="N41" s="940"/>
      <c r="O41" s="940">
        <f>Formular!G30</f>
        <v>0</v>
      </c>
      <c r="P41" s="940"/>
      <c r="Q41" s="10">
        <f>Formular!J30</f>
        <v>0</v>
      </c>
      <c r="R41" s="11">
        <f>IF(W26&gt;35,Z26,Z26)</f>
        <v>0</v>
      </c>
      <c r="S41" s="917" t="str">
        <f>IF(ISERROR((M41*O41)/1000000*Q41*R41),"0",(M41*O41)/1000000*Q41*R41)</f>
        <v>0</v>
      </c>
      <c r="T41" s="918"/>
      <c r="U41" s="353" t="s">
        <v>36</v>
      </c>
      <c r="V41" s="186" t="str">
        <f t="shared" si="4"/>
        <v>0</v>
      </c>
      <c r="W41" s="5"/>
      <c r="X41" s="5"/>
      <c r="Y41" s="5"/>
      <c r="Z41" s="5"/>
      <c r="AA41" s="5"/>
      <c r="AC41" s="4"/>
      <c r="AD41" s="4"/>
      <c r="AE41" s="4"/>
      <c r="AF41" s="4"/>
      <c r="AG41" s="4"/>
      <c r="AP41" s="144"/>
      <c r="AQ41" s="144"/>
      <c r="AR41" s="144"/>
      <c r="AS41" s="144"/>
      <c r="AU41"/>
      <c r="AV41"/>
      <c r="AW41"/>
      <c r="AX41"/>
      <c r="AY41"/>
      <c r="AZ41"/>
      <c r="BA41"/>
      <c r="BB41"/>
    </row>
    <row r="42" spans="1:54" ht="15" customHeight="1">
      <c r="A42" s="941" t="str">
        <f t="shared" si="1"/>
        <v xml:space="preserve">0  </v>
      </c>
      <c r="B42" s="942"/>
      <c r="C42" s="942"/>
      <c r="D42" s="942"/>
      <c r="E42" s="942"/>
      <c r="F42" s="942"/>
      <c r="G42" s="942"/>
      <c r="H42" s="942"/>
      <c r="I42" s="942"/>
      <c r="J42" s="943"/>
      <c r="K42" s="940" t="str">
        <f>Formular!B31</f>
        <v>Atipica</v>
      </c>
      <c r="L42" s="940"/>
      <c r="M42" s="940">
        <f>Formular!D31</f>
        <v>0</v>
      </c>
      <c r="N42" s="940"/>
      <c r="O42" s="940">
        <f>Formular!G31</f>
        <v>0</v>
      </c>
      <c r="P42" s="940"/>
      <c r="Q42" s="10">
        <f>Formular!J31</f>
        <v>0</v>
      </c>
      <c r="R42" s="11">
        <f>R41</f>
        <v>0</v>
      </c>
      <c r="S42" s="917">
        <f t="shared" ref="S42:S61" si="6">IF(ISERROR((M42*O42)/1000000*Q42*R42),"0",(M42*O42)/1000000*Q42*R42)</f>
        <v>0</v>
      </c>
      <c r="T42" s="918"/>
      <c r="U42" s="353" t="str">
        <f>U41</f>
        <v xml:space="preserve"> </v>
      </c>
      <c r="V42" s="186">
        <f t="shared" si="4"/>
        <v>0</v>
      </c>
      <c r="W42" s="5"/>
      <c r="X42" s="5"/>
      <c r="Y42" s="5"/>
      <c r="Z42" s="5"/>
      <c r="AA42" s="5"/>
      <c r="AC42" s="4"/>
      <c r="AD42" s="4"/>
      <c r="AE42" s="4"/>
      <c r="AF42" s="4"/>
      <c r="AG42" s="4"/>
      <c r="AP42" s="144"/>
      <c r="AQ42" s="144"/>
      <c r="AR42" s="144"/>
      <c r="AS42" s="144"/>
      <c r="AU42"/>
      <c r="AV42"/>
      <c r="AW42"/>
      <c r="AX42"/>
      <c r="AY42"/>
      <c r="AZ42"/>
      <c r="BA42"/>
      <c r="BB42"/>
    </row>
    <row r="43" spans="1:54" ht="15" customHeight="1">
      <c r="A43" s="941" t="str">
        <f t="shared" si="1"/>
        <v xml:space="preserve">0  </v>
      </c>
      <c r="B43" s="942"/>
      <c r="C43" s="942"/>
      <c r="D43" s="942"/>
      <c r="E43" s="942"/>
      <c r="F43" s="942"/>
      <c r="G43" s="942"/>
      <c r="H43" s="942"/>
      <c r="I43" s="942"/>
      <c r="J43" s="943"/>
      <c r="K43" s="940" t="str">
        <f>Formular!B32</f>
        <v>Atipica</v>
      </c>
      <c r="L43" s="940"/>
      <c r="M43" s="940">
        <f>Formular!D32</f>
        <v>0</v>
      </c>
      <c r="N43" s="940"/>
      <c r="O43" s="940">
        <f>Formular!G32</f>
        <v>0</v>
      </c>
      <c r="P43" s="940"/>
      <c r="Q43" s="10">
        <f>Formular!J32</f>
        <v>0</v>
      </c>
      <c r="R43" s="11">
        <f t="shared" ref="R43:R61" si="7">R42</f>
        <v>0</v>
      </c>
      <c r="S43" s="917">
        <f t="shared" si="6"/>
        <v>0</v>
      </c>
      <c r="T43" s="918"/>
      <c r="U43" s="353" t="str">
        <f t="shared" ref="U43:U61" si="8">U42</f>
        <v xml:space="preserve"> </v>
      </c>
      <c r="V43" s="186">
        <f t="shared" si="4"/>
        <v>0</v>
      </c>
      <c r="W43" s="5"/>
      <c r="X43" s="5"/>
      <c r="Y43" s="5"/>
      <c r="Z43" s="5"/>
      <c r="AA43" s="5"/>
      <c r="AC43" s="4"/>
      <c r="AD43" s="4"/>
      <c r="AE43" s="4"/>
      <c r="AF43" s="4"/>
      <c r="AG43" s="4"/>
      <c r="AP43" s="144"/>
      <c r="AQ43" s="144"/>
      <c r="AR43" s="144"/>
      <c r="AS43" s="144"/>
      <c r="AU43"/>
      <c r="AV43"/>
      <c r="AW43"/>
      <c r="AX43"/>
      <c r="AY43"/>
      <c r="AZ43"/>
      <c r="BA43"/>
      <c r="BB43"/>
    </row>
    <row r="44" spans="1:54" ht="15" customHeight="1">
      <c r="A44" s="941" t="str">
        <f t="shared" si="1"/>
        <v xml:space="preserve">0  </v>
      </c>
      <c r="B44" s="942"/>
      <c r="C44" s="942"/>
      <c r="D44" s="942"/>
      <c r="E44" s="942"/>
      <c r="F44" s="942"/>
      <c r="G44" s="942"/>
      <c r="H44" s="942"/>
      <c r="I44" s="942"/>
      <c r="J44" s="943"/>
      <c r="K44" s="940" t="str">
        <f>Formular!B33</f>
        <v>Atipica</v>
      </c>
      <c r="L44" s="940"/>
      <c r="M44" s="940">
        <f>Formular!D33</f>
        <v>0</v>
      </c>
      <c r="N44" s="940"/>
      <c r="O44" s="940">
        <f>Formular!G33</f>
        <v>0</v>
      </c>
      <c r="P44" s="940"/>
      <c r="Q44" s="10">
        <f>Formular!J33</f>
        <v>0</v>
      </c>
      <c r="R44" s="11">
        <f t="shared" si="7"/>
        <v>0</v>
      </c>
      <c r="S44" s="917">
        <f t="shared" si="6"/>
        <v>0</v>
      </c>
      <c r="T44" s="918"/>
      <c r="U44" s="353" t="str">
        <f t="shared" si="8"/>
        <v xml:space="preserve"> </v>
      </c>
      <c r="V44" s="186">
        <f t="shared" si="4"/>
        <v>0</v>
      </c>
      <c r="W44" s="5"/>
      <c r="X44" s="5"/>
      <c r="Y44" s="5"/>
      <c r="Z44" s="5"/>
      <c r="AA44" s="5"/>
      <c r="AC44" s="4"/>
      <c r="AD44" s="4"/>
      <c r="AE44" s="4"/>
      <c r="AF44" s="4"/>
      <c r="AG44" s="4"/>
      <c r="AP44" s="144"/>
      <c r="AQ44" s="144"/>
      <c r="AR44" s="144"/>
      <c r="AS44" s="144"/>
      <c r="AU44"/>
      <c r="AV44"/>
      <c r="AW44"/>
      <c r="AX44"/>
      <c r="AY44"/>
      <c r="AZ44"/>
      <c r="BA44"/>
      <c r="BB44"/>
    </row>
    <row r="45" spans="1:54" ht="15" customHeight="1">
      <c r="A45" s="941" t="str">
        <f t="shared" si="1"/>
        <v xml:space="preserve">0  </v>
      </c>
      <c r="B45" s="942"/>
      <c r="C45" s="942"/>
      <c r="D45" s="942"/>
      <c r="E45" s="942"/>
      <c r="F45" s="942"/>
      <c r="G45" s="942"/>
      <c r="H45" s="942"/>
      <c r="I45" s="942"/>
      <c r="J45" s="943"/>
      <c r="K45" s="940" t="str">
        <f>Formular!B34</f>
        <v>Atipica</v>
      </c>
      <c r="L45" s="940"/>
      <c r="M45" s="940">
        <f>Formular!D34</f>
        <v>0</v>
      </c>
      <c r="N45" s="940"/>
      <c r="O45" s="940">
        <f>Formular!G34</f>
        <v>0</v>
      </c>
      <c r="P45" s="940"/>
      <c r="Q45" s="10">
        <f>Formular!J34</f>
        <v>0</v>
      </c>
      <c r="R45" s="11">
        <f t="shared" si="7"/>
        <v>0</v>
      </c>
      <c r="S45" s="917">
        <f t="shared" si="6"/>
        <v>0</v>
      </c>
      <c r="T45" s="918"/>
      <c r="U45" s="353" t="str">
        <f t="shared" si="8"/>
        <v xml:space="preserve"> </v>
      </c>
      <c r="V45" s="186">
        <f t="shared" si="4"/>
        <v>0</v>
      </c>
      <c r="W45" s="5"/>
      <c r="X45" s="5"/>
      <c r="Y45" s="5"/>
      <c r="Z45" s="5"/>
      <c r="AA45" s="5"/>
      <c r="AC45" s="4"/>
      <c r="AD45" s="4"/>
      <c r="AE45" s="4"/>
      <c r="AF45" s="4"/>
      <c r="AG45" s="4"/>
      <c r="AP45" s="144"/>
      <c r="AQ45" s="144"/>
      <c r="AR45" s="144"/>
      <c r="AS45" s="144"/>
      <c r="AU45"/>
      <c r="AV45"/>
      <c r="AW45"/>
      <c r="AX45"/>
      <c r="AY45"/>
      <c r="AZ45"/>
      <c r="BA45"/>
      <c r="BB45"/>
    </row>
    <row r="46" spans="1:54" ht="15" customHeight="1">
      <c r="A46" s="941" t="str">
        <f t="shared" si="1"/>
        <v xml:space="preserve">0  </v>
      </c>
      <c r="B46" s="942"/>
      <c r="C46" s="942"/>
      <c r="D46" s="942"/>
      <c r="E46" s="942"/>
      <c r="F46" s="942"/>
      <c r="G46" s="942"/>
      <c r="H46" s="942"/>
      <c r="I46" s="942"/>
      <c r="J46" s="943"/>
      <c r="K46" s="940" t="str">
        <f>Formular!B35</f>
        <v>Atipica</v>
      </c>
      <c r="L46" s="940"/>
      <c r="M46" s="940">
        <f>Formular!D35</f>
        <v>0</v>
      </c>
      <c r="N46" s="940"/>
      <c r="O46" s="940">
        <f>Formular!G35</f>
        <v>0</v>
      </c>
      <c r="P46" s="940"/>
      <c r="Q46" s="10">
        <f>Formular!J35</f>
        <v>0</v>
      </c>
      <c r="R46" s="11">
        <f t="shared" si="7"/>
        <v>0</v>
      </c>
      <c r="S46" s="917">
        <f t="shared" si="6"/>
        <v>0</v>
      </c>
      <c r="T46" s="918"/>
      <c r="U46" s="353" t="str">
        <f t="shared" si="8"/>
        <v xml:space="preserve"> </v>
      </c>
      <c r="V46" s="186">
        <f t="shared" si="4"/>
        <v>0</v>
      </c>
      <c r="W46" s="5"/>
      <c r="X46" s="5"/>
      <c r="Y46" s="5"/>
      <c r="Z46" s="5"/>
      <c r="AA46" s="5"/>
      <c r="AC46" s="4"/>
      <c r="AD46" s="4"/>
      <c r="AE46" s="4"/>
      <c r="AF46" s="4"/>
      <c r="AG46" s="4"/>
      <c r="AP46" s="144"/>
      <c r="AQ46" s="144"/>
      <c r="AR46" s="144"/>
      <c r="AS46" s="144"/>
      <c r="AU46"/>
      <c r="AV46"/>
      <c r="AW46"/>
      <c r="AX46"/>
      <c r="AY46"/>
      <c r="AZ46"/>
      <c r="BA46"/>
      <c r="BB46"/>
    </row>
    <row r="47" spans="1:54" ht="15" customHeight="1">
      <c r="A47" s="941" t="str">
        <f t="shared" si="1"/>
        <v xml:space="preserve">0  </v>
      </c>
      <c r="B47" s="942"/>
      <c r="C47" s="942"/>
      <c r="D47" s="942"/>
      <c r="E47" s="942"/>
      <c r="F47" s="942"/>
      <c r="G47" s="942"/>
      <c r="H47" s="942"/>
      <c r="I47" s="942"/>
      <c r="J47" s="943"/>
      <c r="K47" s="940" t="str">
        <f>Formular!B36</f>
        <v>Atipica</v>
      </c>
      <c r="L47" s="940"/>
      <c r="M47" s="940">
        <f>Formular!D36</f>
        <v>0</v>
      </c>
      <c r="N47" s="940"/>
      <c r="O47" s="940">
        <f>Formular!G36</f>
        <v>0</v>
      </c>
      <c r="P47" s="940"/>
      <c r="Q47" s="10">
        <f>Formular!J36</f>
        <v>0</v>
      </c>
      <c r="R47" s="11">
        <f t="shared" si="7"/>
        <v>0</v>
      </c>
      <c r="S47" s="917">
        <f t="shared" si="6"/>
        <v>0</v>
      </c>
      <c r="T47" s="918"/>
      <c r="U47" s="353" t="str">
        <f t="shared" si="8"/>
        <v xml:space="preserve"> </v>
      </c>
      <c r="V47" s="186">
        <f t="shared" si="4"/>
        <v>0</v>
      </c>
      <c r="W47" s="5"/>
      <c r="X47" s="5"/>
      <c r="Y47" s="5"/>
      <c r="Z47" s="5"/>
      <c r="AA47" s="5"/>
      <c r="AC47" s="4"/>
      <c r="AD47" s="4"/>
      <c r="AE47" s="4"/>
      <c r="AF47" s="4"/>
      <c r="AG47" s="4"/>
      <c r="AP47" s="144"/>
      <c r="AQ47" s="144"/>
      <c r="AR47" s="144"/>
      <c r="AS47" s="144"/>
      <c r="AU47"/>
      <c r="AV47"/>
      <c r="AW47"/>
      <c r="AX47"/>
      <c r="AY47"/>
      <c r="AZ47"/>
      <c r="BA47"/>
      <c r="BB47"/>
    </row>
    <row r="48" spans="1:54" ht="15" customHeight="1">
      <c r="A48" s="941" t="str">
        <f t="shared" si="1"/>
        <v xml:space="preserve">0  </v>
      </c>
      <c r="B48" s="942"/>
      <c r="C48" s="942"/>
      <c r="D48" s="942"/>
      <c r="E48" s="942"/>
      <c r="F48" s="942"/>
      <c r="G48" s="942"/>
      <c r="H48" s="942"/>
      <c r="I48" s="942"/>
      <c r="J48" s="943"/>
      <c r="K48" s="940" t="str">
        <f>Formular!B37</f>
        <v>Atipica</v>
      </c>
      <c r="L48" s="940"/>
      <c r="M48" s="940">
        <f>Formular!D37</f>
        <v>0</v>
      </c>
      <c r="N48" s="940"/>
      <c r="O48" s="940">
        <f>Formular!G37</f>
        <v>0</v>
      </c>
      <c r="P48" s="940"/>
      <c r="Q48" s="10">
        <f>Formular!J37</f>
        <v>0</v>
      </c>
      <c r="R48" s="11">
        <f t="shared" si="7"/>
        <v>0</v>
      </c>
      <c r="S48" s="917">
        <f t="shared" si="6"/>
        <v>0</v>
      </c>
      <c r="T48" s="918"/>
      <c r="U48" s="353" t="str">
        <f t="shared" si="8"/>
        <v xml:space="preserve"> </v>
      </c>
      <c r="V48" s="186">
        <f t="shared" si="4"/>
        <v>0</v>
      </c>
      <c r="W48" s="5"/>
      <c r="X48" s="5"/>
      <c r="Y48" s="5"/>
      <c r="Z48" s="5"/>
      <c r="AA48" s="5"/>
      <c r="AC48" s="4"/>
      <c r="AD48" s="4"/>
      <c r="AE48" s="4"/>
      <c r="AF48" s="4"/>
      <c r="AG48" s="4"/>
      <c r="AP48" s="144"/>
      <c r="AQ48" s="144"/>
      <c r="AR48" s="144"/>
      <c r="AS48" s="144"/>
      <c r="AU48"/>
      <c r="AV48"/>
      <c r="AW48"/>
      <c r="AX48"/>
      <c r="AY48"/>
      <c r="AZ48"/>
      <c r="BA48"/>
      <c r="BB48"/>
    </row>
    <row r="49" spans="1:54" ht="15" customHeight="1">
      <c r="A49" s="941" t="str">
        <f t="shared" si="1"/>
        <v xml:space="preserve">0  </v>
      </c>
      <c r="B49" s="942"/>
      <c r="C49" s="942"/>
      <c r="D49" s="942"/>
      <c r="E49" s="942"/>
      <c r="F49" s="942"/>
      <c r="G49" s="942"/>
      <c r="H49" s="942"/>
      <c r="I49" s="942"/>
      <c r="J49" s="943"/>
      <c r="K49" s="940" t="str">
        <f>Formular!B38</f>
        <v>Atipica</v>
      </c>
      <c r="L49" s="940"/>
      <c r="M49" s="940">
        <f>Formular!D38</f>
        <v>0</v>
      </c>
      <c r="N49" s="940"/>
      <c r="O49" s="940">
        <f>Formular!G38</f>
        <v>0</v>
      </c>
      <c r="P49" s="940"/>
      <c r="Q49" s="10">
        <f>Formular!J38</f>
        <v>0</v>
      </c>
      <c r="R49" s="11">
        <f t="shared" si="7"/>
        <v>0</v>
      </c>
      <c r="S49" s="917">
        <f t="shared" si="6"/>
        <v>0</v>
      </c>
      <c r="T49" s="918"/>
      <c r="U49" s="353" t="str">
        <f t="shared" si="8"/>
        <v xml:space="preserve"> </v>
      </c>
      <c r="V49" s="186">
        <f t="shared" si="4"/>
        <v>0</v>
      </c>
      <c r="W49" s="5"/>
      <c r="X49" s="5"/>
      <c r="Y49" s="5"/>
      <c r="Z49" s="5"/>
      <c r="AA49" s="5"/>
      <c r="AC49" s="4"/>
      <c r="AD49" s="4"/>
      <c r="AE49" s="4"/>
      <c r="AF49" s="4"/>
      <c r="AG49" s="4"/>
      <c r="AP49" s="144"/>
      <c r="AQ49" s="144"/>
      <c r="AR49" s="144"/>
      <c r="AS49" s="144"/>
      <c r="AU49"/>
      <c r="AV49"/>
      <c r="AW49"/>
      <c r="AX49"/>
      <c r="AY49"/>
      <c r="AZ49"/>
      <c r="BA49"/>
      <c r="BB49"/>
    </row>
    <row r="50" spans="1:54" ht="15" customHeight="1">
      <c r="A50" s="941" t="str">
        <f t="shared" si="1"/>
        <v xml:space="preserve">0  </v>
      </c>
      <c r="B50" s="942"/>
      <c r="C50" s="942"/>
      <c r="D50" s="942"/>
      <c r="E50" s="942"/>
      <c r="F50" s="942"/>
      <c r="G50" s="942"/>
      <c r="H50" s="942"/>
      <c r="I50" s="942"/>
      <c r="J50" s="943"/>
      <c r="K50" s="940" t="str">
        <f>Formular!B39</f>
        <v>Atipica</v>
      </c>
      <c r="L50" s="940"/>
      <c r="M50" s="940">
        <f>Formular!D39</f>
        <v>0</v>
      </c>
      <c r="N50" s="940"/>
      <c r="O50" s="940">
        <f>Formular!G39</f>
        <v>0</v>
      </c>
      <c r="P50" s="940"/>
      <c r="Q50" s="10">
        <f>Formular!J39</f>
        <v>0</v>
      </c>
      <c r="R50" s="11">
        <f t="shared" si="7"/>
        <v>0</v>
      </c>
      <c r="S50" s="917">
        <f t="shared" si="6"/>
        <v>0</v>
      </c>
      <c r="T50" s="918"/>
      <c r="U50" s="353" t="str">
        <f t="shared" si="8"/>
        <v xml:space="preserve"> </v>
      </c>
      <c r="V50" s="186">
        <f t="shared" si="4"/>
        <v>0</v>
      </c>
      <c r="W50" s="5"/>
      <c r="X50" s="5"/>
      <c r="Y50" s="5"/>
      <c r="Z50" s="5"/>
      <c r="AA50" s="5"/>
      <c r="AC50" s="4"/>
      <c r="AD50" s="4"/>
      <c r="AE50" s="4"/>
      <c r="AF50" s="4"/>
      <c r="AG50" s="4"/>
      <c r="AP50" s="144"/>
      <c r="AQ50" s="144"/>
      <c r="AR50" s="144"/>
      <c r="AS50" s="144"/>
      <c r="AU50"/>
      <c r="AV50"/>
      <c r="AW50"/>
      <c r="AX50"/>
      <c r="AY50"/>
      <c r="AZ50"/>
      <c r="BA50"/>
      <c r="BB50"/>
    </row>
    <row r="51" spans="1:54" ht="15" customHeight="1">
      <c r="A51" s="941" t="str">
        <f t="shared" si="1"/>
        <v xml:space="preserve">0  </v>
      </c>
      <c r="B51" s="942"/>
      <c r="C51" s="942"/>
      <c r="D51" s="942"/>
      <c r="E51" s="942"/>
      <c r="F51" s="942"/>
      <c r="G51" s="942"/>
      <c r="H51" s="942"/>
      <c r="I51" s="942"/>
      <c r="J51" s="943"/>
      <c r="K51" s="940" t="str">
        <f>Formular!B40</f>
        <v>Atipica</v>
      </c>
      <c r="L51" s="940"/>
      <c r="M51" s="940">
        <f>Formular!D40</f>
        <v>0</v>
      </c>
      <c r="N51" s="940"/>
      <c r="O51" s="940">
        <f>Formular!G40</f>
        <v>0</v>
      </c>
      <c r="P51" s="940"/>
      <c r="Q51" s="10">
        <f>Formular!J40</f>
        <v>0</v>
      </c>
      <c r="R51" s="11">
        <f t="shared" si="7"/>
        <v>0</v>
      </c>
      <c r="S51" s="917">
        <f t="shared" si="6"/>
        <v>0</v>
      </c>
      <c r="T51" s="918"/>
      <c r="U51" s="353" t="str">
        <f t="shared" si="8"/>
        <v xml:space="preserve"> </v>
      </c>
      <c r="V51" s="186">
        <f t="shared" si="4"/>
        <v>0</v>
      </c>
      <c r="W51" s="5"/>
      <c r="X51" s="5"/>
      <c r="Y51" s="5"/>
      <c r="Z51" s="5"/>
      <c r="AA51" s="5"/>
      <c r="AC51" s="4"/>
      <c r="AD51" s="4"/>
      <c r="AE51" s="4"/>
      <c r="AF51" s="4"/>
      <c r="AG51" s="4"/>
      <c r="AP51" s="144"/>
      <c r="AQ51" s="144"/>
      <c r="AR51" s="144"/>
      <c r="AS51" s="144"/>
      <c r="AU51"/>
      <c r="AV51"/>
      <c r="AW51"/>
      <c r="AX51"/>
      <c r="AY51"/>
      <c r="AZ51"/>
      <c r="BA51"/>
      <c r="BB51"/>
    </row>
    <row r="52" spans="1:54" ht="15" customHeight="1">
      <c r="A52" s="941" t="str">
        <f t="shared" si="1"/>
        <v xml:space="preserve">0  </v>
      </c>
      <c r="B52" s="942"/>
      <c r="C52" s="942"/>
      <c r="D52" s="942"/>
      <c r="E52" s="942"/>
      <c r="F52" s="942"/>
      <c r="G52" s="942"/>
      <c r="H52" s="942"/>
      <c r="I52" s="942"/>
      <c r="J52" s="943"/>
      <c r="K52" s="940" t="str">
        <f>Formular!B41</f>
        <v>Atipica</v>
      </c>
      <c r="L52" s="940"/>
      <c r="M52" s="940">
        <f>Formular!D41</f>
        <v>0</v>
      </c>
      <c r="N52" s="940"/>
      <c r="O52" s="940">
        <f>Formular!G41</f>
        <v>0</v>
      </c>
      <c r="P52" s="940"/>
      <c r="Q52" s="10">
        <f>Formular!J41</f>
        <v>0</v>
      </c>
      <c r="R52" s="11">
        <f t="shared" si="7"/>
        <v>0</v>
      </c>
      <c r="S52" s="917">
        <f t="shared" si="6"/>
        <v>0</v>
      </c>
      <c r="T52" s="918"/>
      <c r="U52" s="353" t="str">
        <f t="shared" si="8"/>
        <v xml:space="preserve"> </v>
      </c>
      <c r="V52" s="186">
        <f t="shared" si="4"/>
        <v>0</v>
      </c>
      <c r="W52" s="5"/>
      <c r="X52" s="5"/>
      <c r="Y52" s="5"/>
      <c r="Z52" s="5"/>
      <c r="AA52" s="5"/>
      <c r="AC52" s="4"/>
      <c r="AD52" s="4"/>
      <c r="AE52" s="4"/>
      <c r="AF52" s="4"/>
      <c r="AG52" s="4"/>
      <c r="AP52" s="144"/>
      <c r="AQ52" s="144"/>
      <c r="AR52" s="144"/>
      <c r="AS52" s="144"/>
      <c r="AU52"/>
      <c r="AV52"/>
      <c r="AW52"/>
      <c r="AX52"/>
      <c r="AY52"/>
      <c r="AZ52"/>
      <c r="BA52"/>
      <c r="BB52"/>
    </row>
    <row r="53" spans="1:54" ht="15" customHeight="1">
      <c r="A53" s="941" t="str">
        <f t="shared" si="1"/>
        <v xml:space="preserve">0  </v>
      </c>
      <c r="B53" s="942"/>
      <c r="C53" s="942"/>
      <c r="D53" s="942"/>
      <c r="E53" s="942"/>
      <c r="F53" s="942"/>
      <c r="G53" s="942"/>
      <c r="H53" s="942"/>
      <c r="I53" s="942"/>
      <c r="J53" s="943"/>
      <c r="K53" s="940" t="str">
        <f>Formular!B42</f>
        <v>Atipica</v>
      </c>
      <c r="L53" s="940"/>
      <c r="M53" s="940">
        <f>Formular!D42</f>
        <v>0</v>
      </c>
      <c r="N53" s="940"/>
      <c r="O53" s="940">
        <f>Formular!G42</f>
        <v>0</v>
      </c>
      <c r="P53" s="940"/>
      <c r="Q53" s="10">
        <f>Formular!J42</f>
        <v>0</v>
      </c>
      <c r="R53" s="11">
        <f t="shared" si="7"/>
        <v>0</v>
      </c>
      <c r="S53" s="917">
        <f t="shared" si="6"/>
        <v>0</v>
      </c>
      <c r="T53" s="918"/>
      <c r="U53" s="353" t="str">
        <f t="shared" si="8"/>
        <v xml:space="preserve"> </v>
      </c>
      <c r="V53" s="186">
        <f t="shared" si="4"/>
        <v>0</v>
      </c>
      <c r="W53" s="5"/>
      <c r="X53" s="5"/>
      <c r="Y53" s="5"/>
      <c r="Z53" s="5"/>
      <c r="AA53" s="5"/>
      <c r="AC53" s="4"/>
      <c r="AD53" s="4"/>
      <c r="AE53" s="4"/>
      <c r="AF53" s="4"/>
      <c r="AG53" s="4"/>
      <c r="AP53" s="144"/>
      <c r="AQ53" s="144"/>
      <c r="AR53" s="144"/>
      <c r="AS53" s="144"/>
      <c r="AU53"/>
      <c r="AV53"/>
      <c r="AW53"/>
      <c r="AX53"/>
      <c r="AY53"/>
      <c r="AZ53"/>
      <c r="BA53"/>
      <c r="BB53"/>
    </row>
    <row r="54" spans="1:54" ht="15" customHeight="1">
      <c r="A54" s="941" t="str">
        <f t="shared" si="1"/>
        <v xml:space="preserve">0  </v>
      </c>
      <c r="B54" s="942"/>
      <c r="C54" s="942"/>
      <c r="D54" s="942"/>
      <c r="E54" s="942"/>
      <c r="F54" s="942"/>
      <c r="G54" s="942"/>
      <c r="H54" s="942"/>
      <c r="I54" s="942"/>
      <c r="J54" s="943"/>
      <c r="K54" s="940" t="str">
        <f>Formular!B43</f>
        <v>Atipica</v>
      </c>
      <c r="L54" s="940"/>
      <c r="M54" s="940">
        <f>Formular!D43</f>
        <v>0</v>
      </c>
      <c r="N54" s="940"/>
      <c r="O54" s="940">
        <f>Formular!G43</f>
        <v>0</v>
      </c>
      <c r="P54" s="940"/>
      <c r="Q54" s="10">
        <f>Formular!J43</f>
        <v>0</v>
      </c>
      <c r="R54" s="11">
        <f t="shared" si="7"/>
        <v>0</v>
      </c>
      <c r="S54" s="917">
        <f t="shared" si="6"/>
        <v>0</v>
      </c>
      <c r="T54" s="918"/>
      <c r="U54" s="353" t="str">
        <f t="shared" si="8"/>
        <v xml:space="preserve"> </v>
      </c>
      <c r="V54" s="186">
        <f t="shared" si="4"/>
        <v>0</v>
      </c>
      <c r="W54" s="5"/>
      <c r="X54" s="5"/>
      <c r="Y54" s="5"/>
      <c r="Z54" s="5"/>
      <c r="AA54" s="5"/>
      <c r="AC54" s="4"/>
      <c r="AD54" s="4"/>
      <c r="AE54" s="4"/>
      <c r="AF54" s="4"/>
      <c r="AG54" s="4"/>
      <c r="AP54" s="144"/>
      <c r="AQ54" s="144"/>
      <c r="AR54" s="144"/>
      <c r="AS54" s="144"/>
      <c r="AU54"/>
      <c r="AV54"/>
      <c r="AW54"/>
      <c r="AX54"/>
      <c r="AY54"/>
      <c r="AZ54"/>
      <c r="BA54"/>
      <c r="BB54"/>
    </row>
    <row r="55" spans="1:54" ht="15" customHeight="1">
      <c r="A55" s="941" t="str">
        <f t="shared" si="1"/>
        <v xml:space="preserve">0  </v>
      </c>
      <c r="B55" s="942"/>
      <c r="C55" s="942"/>
      <c r="D55" s="942"/>
      <c r="E55" s="942"/>
      <c r="F55" s="942"/>
      <c r="G55" s="942"/>
      <c r="H55" s="942"/>
      <c r="I55" s="942"/>
      <c r="J55" s="943"/>
      <c r="K55" s="940" t="str">
        <f>Formular!B44</f>
        <v>Atipica</v>
      </c>
      <c r="L55" s="940"/>
      <c r="M55" s="940">
        <f>Formular!D44</f>
        <v>0</v>
      </c>
      <c r="N55" s="940"/>
      <c r="O55" s="940">
        <f>Formular!G44</f>
        <v>0</v>
      </c>
      <c r="P55" s="940"/>
      <c r="Q55" s="10">
        <f>Formular!J44</f>
        <v>0</v>
      </c>
      <c r="R55" s="11">
        <f t="shared" si="7"/>
        <v>0</v>
      </c>
      <c r="S55" s="917">
        <f t="shared" si="6"/>
        <v>0</v>
      </c>
      <c r="T55" s="918"/>
      <c r="U55" s="353" t="str">
        <f t="shared" si="8"/>
        <v xml:space="preserve"> </v>
      </c>
      <c r="V55" s="186">
        <f t="shared" si="4"/>
        <v>0</v>
      </c>
      <c r="W55" s="5"/>
      <c r="X55" s="5"/>
      <c r="Y55" s="5"/>
      <c r="Z55" s="5"/>
      <c r="AA55" s="5"/>
      <c r="AC55" s="4"/>
      <c r="AD55" s="4"/>
      <c r="AE55" s="4"/>
      <c r="AF55" s="4"/>
      <c r="AG55" s="4"/>
      <c r="AP55" s="144"/>
      <c r="AQ55" s="144"/>
      <c r="AR55" s="144"/>
      <c r="AS55" s="144"/>
      <c r="AU55"/>
      <c r="AV55"/>
      <c r="AW55"/>
      <c r="AX55"/>
      <c r="AY55"/>
      <c r="AZ55"/>
      <c r="BA55"/>
      <c r="BB55"/>
    </row>
    <row r="56" spans="1:54" ht="15" customHeight="1">
      <c r="A56" s="941" t="str">
        <f t="shared" si="1"/>
        <v xml:space="preserve">0  </v>
      </c>
      <c r="B56" s="942"/>
      <c r="C56" s="942"/>
      <c r="D56" s="942"/>
      <c r="E56" s="942"/>
      <c r="F56" s="942"/>
      <c r="G56" s="942"/>
      <c r="H56" s="942"/>
      <c r="I56" s="942"/>
      <c r="J56" s="943"/>
      <c r="K56" s="940" t="str">
        <f>Formular!B45</f>
        <v>Atipica</v>
      </c>
      <c r="L56" s="940"/>
      <c r="M56" s="940">
        <f>Formular!D45</f>
        <v>0</v>
      </c>
      <c r="N56" s="940"/>
      <c r="O56" s="940">
        <f>Formular!G45</f>
        <v>0</v>
      </c>
      <c r="P56" s="940"/>
      <c r="Q56" s="10">
        <f>Formular!J45</f>
        <v>0</v>
      </c>
      <c r="R56" s="11">
        <f t="shared" si="7"/>
        <v>0</v>
      </c>
      <c r="S56" s="917">
        <f t="shared" si="6"/>
        <v>0</v>
      </c>
      <c r="T56" s="918"/>
      <c r="U56" s="353" t="str">
        <f t="shared" si="8"/>
        <v xml:space="preserve"> </v>
      </c>
      <c r="V56" s="186">
        <f t="shared" si="4"/>
        <v>0</v>
      </c>
      <c r="W56" s="5"/>
      <c r="X56" s="5"/>
      <c r="Y56" s="5"/>
      <c r="Z56" s="5"/>
      <c r="AA56" s="5"/>
      <c r="AC56" s="4"/>
      <c r="AD56" s="4"/>
      <c r="AE56" s="4"/>
      <c r="AF56" s="4"/>
      <c r="AG56" s="4"/>
      <c r="AP56" s="144"/>
      <c r="AQ56" s="144"/>
      <c r="AR56" s="144"/>
      <c r="AS56" s="144"/>
      <c r="AU56"/>
      <c r="AV56"/>
      <c r="AW56"/>
      <c r="AX56"/>
      <c r="AY56"/>
      <c r="AZ56"/>
      <c r="BA56"/>
      <c r="BB56"/>
    </row>
    <row r="57" spans="1:54" ht="15" customHeight="1">
      <c r="A57" s="941" t="str">
        <f t="shared" si="1"/>
        <v xml:space="preserve">0  </v>
      </c>
      <c r="B57" s="942"/>
      <c r="C57" s="942"/>
      <c r="D57" s="942"/>
      <c r="E57" s="942"/>
      <c r="F57" s="942"/>
      <c r="G57" s="942"/>
      <c r="H57" s="942"/>
      <c r="I57" s="942"/>
      <c r="J57" s="943"/>
      <c r="K57" s="940" t="str">
        <f>Formular!B46</f>
        <v>Atipica</v>
      </c>
      <c r="L57" s="940"/>
      <c r="M57" s="940">
        <f>Formular!D46</f>
        <v>0</v>
      </c>
      <c r="N57" s="940"/>
      <c r="O57" s="940">
        <f>Formular!G46</f>
        <v>0</v>
      </c>
      <c r="P57" s="940"/>
      <c r="Q57" s="10">
        <f>Formular!J46</f>
        <v>0</v>
      </c>
      <c r="R57" s="11">
        <f t="shared" si="7"/>
        <v>0</v>
      </c>
      <c r="S57" s="917">
        <f t="shared" si="6"/>
        <v>0</v>
      </c>
      <c r="T57" s="918"/>
      <c r="U57" s="353" t="str">
        <f t="shared" si="8"/>
        <v xml:space="preserve"> </v>
      </c>
      <c r="V57" s="186">
        <f t="shared" si="4"/>
        <v>0</v>
      </c>
      <c r="W57" s="5"/>
      <c r="X57" s="5"/>
      <c r="Y57" s="5"/>
      <c r="Z57" s="5"/>
      <c r="AA57" s="5"/>
      <c r="AC57" s="4"/>
      <c r="AD57" s="4"/>
      <c r="AE57" s="4"/>
      <c r="AF57" s="4"/>
      <c r="AG57" s="4"/>
      <c r="AP57" s="144"/>
      <c r="AQ57" s="144"/>
      <c r="AR57" s="144"/>
      <c r="AS57" s="144"/>
      <c r="AU57"/>
      <c r="AV57"/>
      <c r="AW57"/>
      <c r="AX57"/>
      <c r="AY57"/>
      <c r="AZ57"/>
      <c r="BA57"/>
      <c r="BB57"/>
    </row>
    <row r="58" spans="1:54" ht="15" customHeight="1">
      <c r="A58" s="941" t="str">
        <f t="shared" si="1"/>
        <v xml:space="preserve">0  </v>
      </c>
      <c r="B58" s="942"/>
      <c r="C58" s="942"/>
      <c r="D58" s="942"/>
      <c r="E58" s="942"/>
      <c r="F58" s="942"/>
      <c r="G58" s="942"/>
      <c r="H58" s="942"/>
      <c r="I58" s="942"/>
      <c r="J58" s="943"/>
      <c r="K58" s="940" t="str">
        <f>Formular!B47</f>
        <v>Atipica</v>
      </c>
      <c r="L58" s="940"/>
      <c r="M58" s="940">
        <f>Formular!D47</f>
        <v>0</v>
      </c>
      <c r="N58" s="940"/>
      <c r="O58" s="940">
        <f>Formular!G47</f>
        <v>0</v>
      </c>
      <c r="P58" s="940"/>
      <c r="Q58" s="10">
        <f>Formular!J47</f>
        <v>0</v>
      </c>
      <c r="R58" s="11">
        <f t="shared" si="7"/>
        <v>0</v>
      </c>
      <c r="S58" s="917">
        <f t="shared" si="6"/>
        <v>0</v>
      </c>
      <c r="T58" s="918"/>
      <c r="U58" s="353" t="str">
        <f t="shared" si="8"/>
        <v xml:space="preserve"> </v>
      </c>
      <c r="V58" s="186">
        <f t="shared" si="4"/>
        <v>0</v>
      </c>
      <c r="W58" s="5"/>
      <c r="X58" s="5"/>
      <c r="Y58" s="5"/>
      <c r="Z58" s="5"/>
      <c r="AA58" s="5"/>
      <c r="AC58" s="4"/>
      <c r="AD58" s="4"/>
      <c r="AE58" s="4"/>
      <c r="AF58" s="4"/>
      <c r="AG58" s="4"/>
      <c r="AP58" s="144"/>
      <c r="AQ58" s="144"/>
      <c r="AR58" s="144"/>
      <c r="AS58" s="144"/>
      <c r="AU58"/>
      <c r="AV58"/>
      <c r="AW58"/>
      <c r="AX58"/>
      <c r="AY58"/>
      <c r="AZ58"/>
      <c r="BA58"/>
      <c r="BB58"/>
    </row>
    <row r="59" spans="1:54" ht="15" customHeight="1">
      <c r="A59" s="941" t="str">
        <f t="shared" si="1"/>
        <v xml:space="preserve">0  </v>
      </c>
      <c r="B59" s="942"/>
      <c r="C59" s="942"/>
      <c r="D59" s="942"/>
      <c r="E59" s="942"/>
      <c r="F59" s="942"/>
      <c r="G59" s="942"/>
      <c r="H59" s="942"/>
      <c r="I59" s="942"/>
      <c r="J59" s="943"/>
      <c r="K59" s="940" t="str">
        <f>Formular!B48</f>
        <v>Atipica</v>
      </c>
      <c r="L59" s="940"/>
      <c r="M59" s="940">
        <f>Formular!D48</f>
        <v>0</v>
      </c>
      <c r="N59" s="940"/>
      <c r="O59" s="940">
        <f>Formular!G48</f>
        <v>0</v>
      </c>
      <c r="P59" s="940"/>
      <c r="Q59" s="10">
        <f>Formular!J48</f>
        <v>0</v>
      </c>
      <c r="R59" s="11">
        <f t="shared" si="7"/>
        <v>0</v>
      </c>
      <c r="S59" s="917">
        <f t="shared" si="6"/>
        <v>0</v>
      </c>
      <c r="T59" s="918"/>
      <c r="U59" s="353" t="str">
        <f t="shared" si="8"/>
        <v xml:space="preserve"> </v>
      </c>
      <c r="V59" s="186">
        <f t="shared" si="4"/>
        <v>0</v>
      </c>
      <c r="W59" s="5"/>
      <c r="X59" s="5"/>
      <c r="Y59" s="5"/>
      <c r="Z59" s="5"/>
      <c r="AA59" s="5"/>
      <c r="AC59" s="4"/>
      <c r="AD59" s="4"/>
      <c r="AE59" s="4"/>
      <c r="AF59" s="4"/>
      <c r="AG59" s="4"/>
      <c r="AP59" s="144"/>
      <c r="AQ59" s="144"/>
      <c r="AR59" s="144"/>
      <c r="AS59" s="144"/>
      <c r="AU59"/>
      <c r="AV59"/>
      <c r="AW59"/>
      <c r="AX59"/>
      <c r="AY59"/>
      <c r="AZ59"/>
      <c r="BA59"/>
      <c r="BB59"/>
    </row>
    <row r="60" spans="1:54" ht="15" customHeight="1">
      <c r="A60" s="941" t="str">
        <f t="shared" si="1"/>
        <v xml:space="preserve">0  </v>
      </c>
      <c r="B60" s="942"/>
      <c r="C60" s="942"/>
      <c r="D60" s="942"/>
      <c r="E60" s="942"/>
      <c r="F60" s="942"/>
      <c r="G60" s="942"/>
      <c r="H60" s="942"/>
      <c r="I60" s="942"/>
      <c r="J60" s="943"/>
      <c r="K60" s="940" t="str">
        <f>Formular!B49</f>
        <v>Atipica</v>
      </c>
      <c r="L60" s="940"/>
      <c r="M60" s="940">
        <f>Formular!D49</f>
        <v>0</v>
      </c>
      <c r="N60" s="940"/>
      <c r="O60" s="940">
        <f>Formular!G49</f>
        <v>0</v>
      </c>
      <c r="P60" s="940"/>
      <c r="Q60" s="10">
        <f>Formular!J49</f>
        <v>0</v>
      </c>
      <c r="R60" s="11">
        <f t="shared" si="7"/>
        <v>0</v>
      </c>
      <c r="S60" s="917">
        <f t="shared" si="6"/>
        <v>0</v>
      </c>
      <c r="T60" s="918"/>
      <c r="U60" s="353" t="str">
        <f t="shared" si="8"/>
        <v xml:space="preserve"> </v>
      </c>
      <c r="V60" s="186">
        <f t="shared" si="4"/>
        <v>0</v>
      </c>
      <c r="W60" s="5"/>
      <c r="X60" s="5"/>
      <c r="Y60" s="5"/>
      <c r="Z60" s="5"/>
      <c r="AA60" s="5"/>
      <c r="AC60" s="4"/>
      <c r="AD60" s="4"/>
      <c r="AE60" s="4"/>
      <c r="AF60" s="4"/>
      <c r="AG60" s="4"/>
      <c r="AP60" s="144"/>
      <c r="AQ60" s="144"/>
      <c r="AR60" s="144"/>
      <c r="AS60" s="144"/>
      <c r="AU60"/>
      <c r="AV60"/>
      <c r="AW60"/>
      <c r="AX60"/>
      <c r="AY60"/>
      <c r="AZ60"/>
      <c r="BA60"/>
      <c r="BB60"/>
    </row>
    <row r="61" spans="1:54" ht="15" customHeight="1">
      <c r="A61" s="941" t="str">
        <f t="shared" si="1"/>
        <v xml:space="preserve">0  </v>
      </c>
      <c r="B61" s="942"/>
      <c r="C61" s="942"/>
      <c r="D61" s="942"/>
      <c r="E61" s="942"/>
      <c r="F61" s="942"/>
      <c r="G61" s="942"/>
      <c r="H61" s="942"/>
      <c r="I61" s="942"/>
      <c r="J61" s="943"/>
      <c r="K61" s="940" t="str">
        <f>Formular!B50</f>
        <v>Atipica</v>
      </c>
      <c r="L61" s="940"/>
      <c r="M61" s="940">
        <f>Formular!D50</f>
        <v>0</v>
      </c>
      <c r="N61" s="940"/>
      <c r="O61" s="940">
        <f>Formular!G50</f>
        <v>0</v>
      </c>
      <c r="P61" s="940"/>
      <c r="Q61" s="10">
        <f>Formular!J50</f>
        <v>0</v>
      </c>
      <c r="R61" s="11">
        <f t="shared" si="7"/>
        <v>0</v>
      </c>
      <c r="S61" s="917">
        <f t="shared" si="6"/>
        <v>0</v>
      </c>
      <c r="T61" s="918"/>
      <c r="U61" s="353" t="str">
        <f t="shared" si="8"/>
        <v xml:space="preserve"> </v>
      </c>
      <c r="V61" s="186">
        <f t="shared" si="4"/>
        <v>0</v>
      </c>
      <c r="W61" s="5"/>
      <c r="X61" s="5"/>
      <c r="Y61" s="5"/>
      <c r="Z61" s="5"/>
      <c r="AA61" s="5"/>
      <c r="AC61" s="4"/>
      <c r="AD61" s="4"/>
      <c r="AE61" s="4"/>
      <c r="AF61" s="4"/>
      <c r="AG61" s="4"/>
      <c r="AP61" s="144"/>
      <c r="AQ61" s="144"/>
      <c r="AR61" s="144"/>
      <c r="AS61" s="144"/>
      <c r="AU61"/>
      <c r="AV61"/>
      <c r="AW61"/>
      <c r="AX61"/>
      <c r="AY61"/>
      <c r="AZ61"/>
      <c r="BA61"/>
      <c r="BB61"/>
    </row>
    <row r="62" spans="1:54" s="77" customFormat="1" ht="15" customHeight="1">
      <c r="A62" s="929" t="str">
        <f>Lang!A406&amp;G64&amp;" "&amp;K64</f>
        <v>ACCESORII TIGLA METALICA0 0</v>
      </c>
      <c r="B62" s="930"/>
      <c r="C62" s="930"/>
      <c r="D62" s="930"/>
      <c r="E62" s="930"/>
      <c r="F62" s="930"/>
      <c r="G62" s="930"/>
      <c r="H62" s="930"/>
      <c r="I62" s="930"/>
      <c r="J62" s="930"/>
      <c r="K62" s="930"/>
      <c r="L62" s="930"/>
      <c r="M62" s="930"/>
      <c r="N62" s="930"/>
      <c r="O62" s="930"/>
      <c r="P62" s="931"/>
      <c r="Q62" s="270">
        <f>IF(W64&gt;0,1,0)</f>
        <v>0</v>
      </c>
      <c r="R62" s="267"/>
      <c r="S62" s="268"/>
      <c r="T62" s="269"/>
      <c r="U62" s="365"/>
      <c r="V62" s="5"/>
      <c r="W62" s="5"/>
      <c r="X62" s="5"/>
      <c r="Y62" s="5"/>
      <c r="Z62" s="5"/>
      <c r="AA62" s="5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144"/>
      <c r="AQ62" s="144"/>
      <c r="AR62" s="144"/>
      <c r="AS62" s="144"/>
      <c r="AT62" s="4"/>
    </row>
    <row r="63" spans="1:54" s="77" customFormat="1" ht="15" customHeight="1">
      <c r="A63" s="932" t="str">
        <f>Lang!A403&amp;X64&amp;Lang!A404</f>
        <v xml:space="preserve">Valoare 0 euro fara tva </v>
      </c>
      <c r="B63" s="933"/>
      <c r="C63" s="933"/>
      <c r="D63" s="933"/>
      <c r="E63" s="933"/>
      <c r="F63" s="933"/>
      <c r="G63" s="933"/>
      <c r="H63" s="933"/>
      <c r="I63" s="933"/>
      <c r="J63" s="933"/>
      <c r="K63" s="933"/>
      <c r="L63" s="933"/>
      <c r="M63" s="933"/>
      <c r="N63" s="933"/>
      <c r="O63" s="933"/>
      <c r="P63" s="934"/>
      <c r="Q63" s="271">
        <f>Q62</f>
        <v>0</v>
      </c>
      <c r="R63" s="264"/>
      <c r="S63" s="265"/>
      <c r="T63" s="266"/>
      <c r="U63" s="366"/>
      <c r="V63" s="5"/>
      <c r="W63" s="5"/>
      <c r="X63" s="5"/>
      <c r="Y63" s="5"/>
      <c r="Z63" s="5"/>
      <c r="AA63" s="5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144"/>
      <c r="AQ63" s="144"/>
      <c r="AR63" s="144"/>
      <c r="AS63" s="144"/>
      <c r="AT63" s="4"/>
    </row>
    <row r="64" spans="1:54" s="1" customFormat="1" ht="15" customHeight="1">
      <c r="A64" s="950" t="str">
        <f>Formular!L12</f>
        <v>Bordura speciala calcan BSC</v>
      </c>
      <c r="B64" s="950"/>
      <c r="C64" s="950"/>
      <c r="D64" s="950"/>
      <c r="E64" s="950"/>
      <c r="F64" s="950"/>
      <c r="G64" s="940">
        <f>INDEX(Select!B233:B244,Select!B232)</f>
        <v>0</v>
      </c>
      <c r="H64" s="940"/>
      <c r="I64" s="940"/>
      <c r="J64" s="940"/>
      <c r="K64" s="944">
        <f>INDEX(Select!I3:I21,Select!I2)</f>
        <v>0</v>
      </c>
      <c r="L64" s="945"/>
      <c r="M64" s="945"/>
      <c r="N64" s="945"/>
      <c r="O64" s="945"/>
      <c r="P64" s="946"/>
      <c r="Q64" s="10">
        <f>Formular!T12</f>
        <v>0</v>
      </c>
      <c r="R64" s="11">
        <f>Info!C72</f>
        <v>0</v>
      </c>
      <c r="S64" s="917">
        <f>Q64*R64</f>
        <v>0</v>
      </c>
      <c r="T64" s="918"/>
      <c r="U64" s="353"/>
      <c r="V64" s="186"/>
      <c r="W64" s="5">
        <f>ROUND(SUM(Q64:Q118),2)</f>
        <v>0</v>
      </c>
      <c r="X64" s="186">
        <f>SUM(S64:T118)</f>
        <v>0</v>
      </c>
      <c r="Y64" s="5"/>
      <c r="Z64" s="5"/>
      <c r="AA64" s="5" t="str">
        <f>IF(Q64&gt;0,A64&amp;", ","")</f>
        <v/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144"/>
      <c r="AQ64" s="144"/>
      <c r="AR64" s="144"/>
      <c r="AS64" s="144"/>
      <c r="AT64" s="4"/>
    </row>
    <row r="65" spans="1:46" s="1" customFormat="1" ht="15" customHeight="1">
      <c r="A65" s="950" t="str">
        <f>Formular!L13</f>
        <v xml:space="preserve">Coama dreapta mare </v>
      </c>
      <c r="B65" s="950"/>
      <c r="C65" s="950"/>
      <c r="D65" s="950"/>
      <c r="E65" s="950"/>
      <c r="F65" s="950"/>
      <c r="G65" s="940">
        <f>G64</f>
        <v>0</v>
      </c>
      <c r="H65" s="940"/>
      <c r="I65" s="940"/>
      <c r="J65" s="940"/>
      <c r="K65" s="944">
        <f>K64</f>
        <v>0</v>
      </c>
      <c r="L65" s="945"/>
      <c r="M65" s="945"/>
      <c r="N65" s="945"/>
      <c r="O65" s="945"/>
      <c r="P65" s="946"/>
      <c r="Q65" s="22">
        <f>Formular!T13</f>
        <v>0</v>
      </c>
      <c r="R65" s="350">
        <f>Info!C73</f>
        <v>0</v>
      </c>
      <c r="S65" s="917">
        <f t="shared" ref="S65" si="9">Q65*R65</f>
        <v>0</v>
      </c>
      <c r="T65" s="918"/>
      <c r="U65" s="353"/>
      <c r="V65" s="186"/>
      <c r="W65" s="5"/>
      <c r="X65" s="5"/>
      <c r="Y65" s="5"/>
      <c r="Z65" s="5"/>
      <c r="AA65" s="5" t="str">
        <f t="shared" ref="AA65:AA130" si="10">IF(Q65&gt;0,A65&amp;", ","")</f>
        <v/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144"/>
      <c r="AQ65" s="144"/>
      <c r="AR65" s="144"/>
      <c r="AS65" s="144"/>
      <c r="AT65" s="4"/>
    </row>
    <row r="66" spans="1:46" s="1" customFormat="1" ht="15" customHeight="1">
      <c r="A66" s="950" t="str">
        <f>Formular!L14</f>
        <v>Coama dreapta mica CDMI</v>
      </c>
      <c r="B66" s="950"/>
      <c r="C66" s="950"/>
      <c r="D66" s="950"/>
      <c r="E66" s="950"/>
      <c r="F66" s="950"/>
      <c r="G66" s="940">
        <f t="shared" ref="G66:G83" si="11">G65</f>
        <v>0</v>
      </c>
      <c r="H66" s="940"/>
      <c r="I66" s="940"/>
      <c r="J66" s="940"/>
      <c r="K66" s="944">
        <f t="shared" ref="K66:K83" si="12">K65</f>
        <v>0</v>
      </c>
      <c r="L66" s="945"/>
      <c r="M66" s="945"/>
      <c r="N66" s="945"/>
      <c r="O66" s="945"/>
      <c r="P66" s="946"/>
      <c r="Q66" s="223">
        <f>Formular!T14</f>
        <v>0</v>
      </c>
      <c r="R66" s="350">
        <f>Info!C74</f>
        <v>0</v>
      </c>
      <c r="S66" s="917">
        <f t="shared" ref="S66:S83" si="13">Q66*R66</f>
        <v>0</v>
      </c>
      <c r="T66" s="918"/>
      <c r="U66" s="353"/>
      <c r="V66" s="186"/>
      <c r="W66" s="5"/>
      <c r="X66" s="5"/>
      <c r="Y66" s="5"/>
      <c r="Z66" s="5"/>
      <c r="AA66" s="404" t="str">
        <f t="shared" si="10"/>
        <v/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144"/>
      <c r="AQ66" s="144"/>
      <c r="AR66" s="144"/>
      <c r="AS66" s="144"/>
      <c r="AT66" s="4"/>
    </row>
    <row r="67" spans="1:46" s="1" customFormat="1" ht="15" customHeight="1">
      <c r="A67" s="950" t="str">
        <f>Formular!L15</f>
        <v>Coama rotunda mica CR</v>
      </c>
      <c r="B67" s="950"/>
      <c r="C67" s="950"/>
      <c r="D67" s="950"/>
      <c r="E67" s="950"/>
      <c r="F67" s="950"/>
      <c r="G67" s="940">
        <f t="shared" si="11"/>
        <v>0</v>
      </c>
      <c r="H67" s="940"/>
      <c r="I67" s="940"/>
      <c r="J67" s="940"/>
      <c r="K67" s="944">
        <f t="shared" si="12"/>
        <v>0</v>
      </c>
      <c r="L67" s="945"/>
      <c r="M67" s="945"/>
      <c r="N67" s="945"/>
      <c r="O67" s="945"/>
      <c r="P67" s="946"/>
      <c r="Q67" s="223">
        <f>Formular!T15</f>
        <v>0</v>
      </c>
      <c r="R67" s="350">
        <f>Info!C75</f>
        <v>0</v>
      </c>
      <c r="S67" s="917">
        <f t="shared" si="13"/>
        <v>0</v>
      </c>
      <c r="T67" s="918"/>
      <c r="U67" s="353"/>
      <c r="V67" s="186"/>
      <c r="W67" s="5"/>
      <c r="X67" s="5"/>
      <c r="Y67" s="5"/>
      <c r="Z67" s="5"/>
      <c r="AA67" s="404" t="str">
        <f t="shared" si="10"/>
        <v/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144"/>
      <c r="AQ67" s="144"/>
      <c r="AR67" s="144"/>
      <c r="AS67" s="144"/>
      <c r="AT67" s="4"/>
    </row>
    <row r="68" spans="1:46" s="1" customFormat="1" ht="15" customHeight="1">
      <c r="A68" s="950" t="str">
        <f>Formular!L16</f>
        <v>Coama rotunda mare CRMA</v>
      </c>
      <c r="B68" s="950"/>
      <c r="C68" s="950"/>
      <c r="D68" s="950"/>
      <c r="E68" s="950"/>
      <c r="F68" s="950"/>
      <c r="G68" s="940">
        <f t="shared" si="11"/>
        <v>0</v>
      </c>
      <c r="H68" s="940"/>
      <c r="I68" s="940"/>
      <c r="J68" s="940"/>
      <c r="K68" s="944">
        <f t="shared" si="12"/>
        <v>0</v>
      </c>
      <c r="L68" s="945"/>
      <c r="M68" s="945"/>
      <c r="N68" s="945"/>
      <c r="O68" s="945"/>
      <c r="P68" s="946"/>
      <c r="Q68" s="223">
        <f>Formular!T16</f>
        <v>0</v>
      </c>
      <c r="R68" s="350">
        <f>Info!C76</f>
        <v>0</v>
      </c>
      <c r="S68" s="917">
        <f t="shared" si="13"/>
        <v>0</v>
      </c>
      <c r="T68" s="918"/>
      <c r="U68" s="353"/>
      <c r="V68" s="186"/>
      <c r="W68" s="5"/>
      <c r="X68" s="5"/>
      <c r="Y68" s="5"/>
      <c r="Z68" s="5"/>
      <c r="AA68" s="404" t="str">
        <f t="shared" si="10"/>
        <v/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144"/>
      <c r="AQ68" s="144"/>
      <c r="AR68" s="144"/>
      <c r="AS68" s="144"/>
      <c r="AT68" s="4"/>
    </row>
    <row r="69" spans="1:46" s="1" customFormat="1" ht="15" customHeight="1">
      <c r="A69" s="950" t="str">
        <f>Formular!L17</f>
        <v>Semicoama</v>
      </c>
      <c r="B69" s="950"/>
      <c r="C69" s="950"/>
      <c r="D69" s="950"/>
      <c r="E69" s="950"/>
      <c r="F69" s="950"/>
      <c r="G69" s="940">
        <f t="shared" si="11"/>
        <v>0</v>
      </c>
      <c r="H69" s="940"/>
      <c r="I69" s="940"/>
      <c r="J69" s="940"/>
      <c r="K69" s="944">
        <f t="shared" si="12"/>
        <v>0</v>
      </c>
      <c r="L69" s="945"/>
      <c r="M69" s="945"/>
      <c r="N69" s="945"/>
      <c r="O69" s="945"/>
      <c r="P69" s="946"/>
      <c r="Q69" s="223">
        <f>Formular!T17</f>
        <v>0</v>
      </c>
      <c r="R69" s="350">
        <f>Info!C77</f>
        <v>0</v>
      </c>
      <c r="S69" s="917">
        <f t="shared" si="13"/>
        <v>0</v>
      </c>
      <c r="T69" s="918"/>
      <c r="U69" s="353"/>
      <c r="V69" s="186"/>
      <c r="W69" s="5"/>
      <c r="X69" s="5"/>
      <c r="Y69" s="5"/>
      <c r="Z69" s="5"/>
      <c r="AA69" s="404" t="str">
        <f t="shared" si="10"/>
        <v/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144"/>
      <c r="AQ69" s="144"/>
      <c r="AR69" s="144"/>
      <c r="AS69" s="144"/>
      <c r="AT69" s="4"/>
    </row>
    <row r="70" spans="1:46" s="1" customFormat="1" ht="15" customHeight="1">
      <c r="A70" s="950" t="str">
        <f>Formular!L18</f>
        <v>Capac coama</v>
      </c>
      <c r="B70" s="950"/>
      <c r="C70" s="950"/>
      <c r="D70" s="950"/>
      <c r="E70" s="950"/>
      <c r="F70" s="950"/>
      <c r="G70" s="940">
        <f t="shared" si="11"/>
        <v>0</v>
      </c>
      <c r="H70" s="940"/>
      <c r="I70" s="940"/>
      <c r="J70" s="940"/>
      <c r="K70" s="944">
        <f t="shared" si="12"/>
        <v>0</v>
      </c>
      <c r="L70" s="945"/>
      <c r="M70" s="945"/>
      <c r="N70" s="945"/>
      <c r="O70" s="945"/>
      <c r="P70" s="946"/>
      <c r="Q70" s="223">
        <f>Formular!T18</f>
        <v>0</v>
      </c>
      <c r="R70" s="350">
        <f>Info!C78</f>
        <v>0</v>
      </c>
      <c r="S70" s="917">
        <f t="shared" si="13"/>
        <v>0</v>
      </c>
      <c r="T70" s="918"/>
      <c r="U70" s="353"/>
      <c r="V70" s="186"/>
      <c r="W70" s="5"/>
      <c r="X70" s="5"/>
      <c r="Y70" s="5"/>
      <c r="Z70" s="5"/>
      <c r="AA70" s="404" t="str">
        <f t="shared" si="10"/>
        <v/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144"/>
      <c r="AQ70" s="144"/>
      <c r="AR70" s="144"/>
      <c r="AS70" s="144"/>
      <c r="AT70" s="4"/>
    </row>
    <row r="71" spans="1:46" s="1" customFormat="1" ht="15" customHeight="1">
      <c r="A71" s="950" t="str">
        <f>Formular!L19</f>
        <v>Colector fronton CF</v>
      </c>
      <c r="B71" s="950"/>
      <c r="C71" s="950"/>
      <c r="D71" s="950"/>
      <c r="E71" s="950"/>
      <c r="F71" s="950"/>
      <c r="G71" s="940">
        <f t="shared" si="11"/>
        <v>0</v>
      </c>
      <c r="H71" s="940"/>
      <c r="I71" s="940"/>
      <c r="J71" s="940"/>
      <c r="K71" s="944">
        <f t="shared" si="12"/>
        <v>0</v>
      </c>
      <c r="L71" s="945"/>
      <c r="M71" s="945"/>
      <c r="N71" s="945"/>
      <c r="O71" s="945"/>
      <c r="P71" s="946"/>
      <c r="Q71" s="223">
        <f>Formular!T19</f>
        <v>0</v>
      </c>
      <c r="R71" s="350">
        <f>Info!C79</f>
        <v>0</v>
      </c>
      <c r="S71" s="917">
        <f t="shared" si="13"/>
        <v>0</v>
      </c>
      <c r="T71" s="918"/>
      <c r="U71" s="353"/>
      <c r="V71" s="186"/>
      <c r="W71" s="5"/>
      <c r="X71" s="5"/>
      <c r="Y71" s="5"/>
      <c r="Z71" s="5"/>
      <c r="AA71" s="404" t="str">
        <f t="shared" si="10"/>
        <v/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144"/>
      <c r="AQ71" s="144"/>
      <c r="AR71" s="144"/>
      <c r="AS71" s="144"/>
      <c r="AT71" s="4"/>
    </row>
    <row r="72" spans="1:46" s="1" customFormat="1" ht="15" customHeight="1">
      <c r="A72" s="950" t="str">
        <f>Formular!L20</f>
        <v>Racord calcan</v>
      </c>
      <c r="B72" s="950"/>
      <c r="C72" s="950"/>
      <c r="D72" s="950"/>
      <c r="E72" s="950"/>
      <c r="F72" s="950"/>
      <c r="G72" s="940">
        <f t="shared" si="11"/>
        <v>0</v>
      </c>
      <c r="H72" s="940"/>
      <c r="I72" s="940"/>
      <c r="J72" s="940"/>
      <c r="K72" s="944">
        <f t="shared" si="12"/>
        <v>0</v>
      </c>
      <c r="L72" s="945"/>
      <c r="M72" s="945"/>
      <c r="N72" s="945"/>
      <c r="O72" s="945"/>
      <c r="P72" s="946"/>
      <c r="Q72" s="223">
        <f>Formular!T20</f>
        <v>0</v>
      </c>
      <c r="R72" s="350">
        <f>Info!C80</f>
        <v>0</v>
      </c>
      <c r="S72" s="917">
        <f t="shared" si="13"/>
        <v>0</v>
      </c>
      <c r="T72" s="918"/>
      <c r="U72" s="353"/>
      <c r="V72" s="186"/>
      <c r="W72" s="5"/>
      <c r="X72" s="5"/>
      <c r="Y72" s="5"/>
      <c r="Z72" s="5"/>
      <c r="AA72" s="404" t="str">
        <f t="shared" si="10"/>
        <v/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144"/>
      <c r="AQ72" s="144"/>
      <c r="AR72" s="144"/>
      <c r="AS72" s="144"/>
      <c r="AT72" s="4"/>
    </row>
    <row r="73" spans="1:46" s="77" customFormat="1" ht="15" customHeight="1">
      <c r="A73" s="950" t="str">
        <f>Formular!L21</f>
        <v>Dolie DO</v>
      </c>
      <c r="B73" s="950"/>
      <c r="C73" s="950"/>
      <c r="D73" s="950"/>
      <c r="E73" s="950"/>
      <c r="F73" s="950"/>
      <c r="G73" s="940">
        <f t="shared" si="11"/>
        <v>0</v>
      </c>
      <c r="H73" s="940"/>
      <c r="I73" s="940"/>
      <c r="J73" s="940"/>
      <c r="K73" s="944">
        <f t="shared" si="12"/>
        <v>0</v>
      </c>
      <c r="L73" s="945"/>
      <c r="M73" s="945"/>
      <c r="N73" s="945"/>
      <c r="O73" s="945"/>
      <c r="P73" s="946"/>
      <c r="Q73" s="223">
        <f>Formular!T21</f>
        <v>0</v>
      </c>
      <c r="R73" s="350">
        <f>Info!C81</f>
        <v>0</v>
      </c>
      <c r="S73" s="917">
        <f t="shared" si="13"/>
        <v>0</v>
      </c>
      <c r="T73" s="918"/>
      <c r="U73" s="353"/>
      <c r="V73" s="186"/>
      <c r="W73" s="5"/>
      <c r="X73" s="5"/>
      <c r="Y73" s="5"/>
      <c r="Z73" s="5"/>
      <c r="AA73" s="404" t="str">
        <f t="shared" si="10"/>
        <v/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144"/>
      <c r="AQ73" s="144"/>
      <c r="AR73" s="144"/>
      <c r="AS73" s="144"/>
      <c r="AT73" s="4"/>
    </row>
    <row r="74" spans="1:46" s="1" customFormat="1" ht="15" customHeight="1">
      <c r="A74" s="950" t="str">
        <f>Formular!L22</f>
        <v>Opritor zapada</v>
      </c>
      <c r="B74" s="950"/>
      <c r="C74" s="950"/>
      <c r="D74" s="950"/>
      <c r="E74" s="950"/>
      <c r="F74" s="950"/>
      <c r="G74" s="940">
        <f t="shared" si="11"/>
        <v>0</v>
      </c>
      <c r="H74" s="940"/>
      <c r="I74" s="940"/>
      <c r="J74" s="940"/>
      <c r="K74" s="944">
        <f t="shared" si="12"/>
        <v>0</v>
      </c>
      <c r="L74" s="945"/>
      <c r="M74" s="945"/>
      <c r="N74" s="945"/>
      <c r="O74" s="945"/>
      <c r="P74" s="946"/>
      <c r="Q74" s="223">
        <f>Formular!T22</f>
        <v>0</v>
      </c>
      <c r="R74" s="350">
        <f>Info!C82</f>
        <v>0</v>
      </c>
      <c r="S74" s="917">
        <f t="shared" si="13"/>
        <v>0</v>
      </c>
      <c r="T74" s="918"/>
      <c r="U74" s="353"/>
      <c r="V74" s="186"/>
      <c r="W74" s="5"/>
      <c r="X74" s="5"/>
      <c r="Y74" s="5"/>
      <c r="Z74" s="5"/>
      <c r="AA74" s="404" t="str">
        <f t="shared" si="10"/>
        <v/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144"/>
      <c r="AQ74" s="144"/>
      <c r="AR74" s="144"/>
      <c r="AS74" s="144"/>
      <c r="AT74" s="4"/>
    </row>
    <row r="75" spans="1:46" s="1" customFormat="1" ht="15" customHeight="1">
      <c r="A75" s="950" t="str">
        <f>Formular!L23</f>
        <v>Pazie tip 1 PAZ 1</v>
      </c>
      <c r="B75" s="950"/>
      <c r="C75" s="950"/>
      <c r="D75" s="950"/>
      <c r="E75" s="950"/>
      <c r="F75" s="950"/>
      <c r="G75" s="940">
        <f t="shared" si="11"/>
        <v>0</v>
      </c>
      <c r="H75" s="940"/>
      <c r="I75" s="940"/>
      <c r="J75" s="940"/>
      <c r="K75" s="944">
        <f t="shared" si="12"/>
        <v>0</v>
      </c>
      <c r="L75" s="945"/>
      <c r="M75" s="945"/>
      <c r="N75" s="945"/>
      <c r="O75" s="945"/>
      <c r="P75" s="946"/>
      <c r="Q75" s="223">
        <f>Formular!T23</f>
        <v>0</v>
      </c>
      <c r="R75" s="350">
        <f>Info!C83</f>
        <v>0</v>
      </c>
      <c r="S75" s="917">
        <f t="shared" si="13"/>
        <v>0</v>
      </c>
      <c r="T75" s="918"/>
      <c r="U75" s="353"/>
      <c r="V75" s="186"/>
      <c r="W75" s="5"/>
      <c r="X75" s="5"/>
      <c r="Y75" s="5"/>
      <c r="Z75" s="5"/>
      <c r="AA75" s="404" t="str">
        <f t="shared" si="10"/>
        <v/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144"/>
      <c r="AQ75" s="144"/>
      <c r="AR75" s="144"/>
      <c r="AS75" s="144"/>
      <c r="AT75" s="4"/>
    </row>
    <row r="76" spans="1:46" s="1" customFormat="1" ht="15" customHeight="1">
      <c r="A76" s="950" t="str">
        <f>Formular!L24</f>
        <v>Pazie streasina PAZS</v>
      </c>
      <c r="B76" s="950"/>
      <c r="C76" s="950"/>
      <c r="D76" s="950"/>
      <c r="E76" s="950"/>
      <c r="F76" s="950"/>
      <c r="G76" s="940">
        <f t="shared" si="11"/>
        <v>0</v>
      </c>
      <c r="H76" s="940"/>
      <c r="I76" s="940"/>
      <c r="J76" s="940"/>
      <c r="K76" s="944">
        <f t="shared" si="12"/>
        <v>0</v>
      </c>
      <c r="L76" s="945"/>
      <c r="M76" s="945"/>
      <c r="N76" s="945"/>
      <c r="O76" s="945"/>
      <c r="P76" s="946"/>
      <c r="Q76" s="223">
        <f>Formular!T24</f>
        <v>0</v>
      </c>
      <c r="R76" s="350">
        <f>Info!C84</f>
        <v>0</v>
      </c>
      <c r="S76" s="917">
        <f t="shared" si="13"/>
        <v>0</v>
      </c>
      <c r="T76" s="918"/>
      <c r="U76" s="353"/>
      <c r="V76" s="186"/>
      <c r="W76" s="5"/>
      <c r="X76" s="5"/>
      <c r="Y76" s="5"/>
      <c r="Z76" s="5"/>
      <c r="AA76" s="404" t="str">
        <f t="shared" si="10"/>
        <v/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144"/>
      <c r="AQ76" s="144"/>
      <c r="AR76" s="144"/>
      <c r="AS76" s="144"/>
      <c r="AT76" s="4"/>
    </row>
    <row r="77" spans="1:46" s="1" customFormat="1" ht="15" customHeight="1">
      <c r="A77" s="950" t="str">
        <f>Formular!L25</f>
        <v>Parazapada Ranforsata PRZS</v>
      </c>
      <c r="B77" s="950"/>
      <c r="C77" s="950"/>
      <c r="D77" s="950"/>
      <c r="E77" s="950"/>
      <c r="F77" s="950"/>
      <c r="G77" s="940">
        <f t="shared" si="11"/>
        <v>0</v>
      </c>
      <c r="H77" s="940"/>
      <c r="I77" s="940"/>
      <c r="J77" s="940"/>
      <c r="K77" s="944">
        <f t="shared" si="12"/>
        <v>0</v>
      </c>
      <c r="L77" s="945"/>
      <c r="M77" s="945"/>
      <c r="N77" s="945"/>
      <c r="O77" s="945"/>
      <c r="P77" s="946"/>
      <c r="Q77" s="223">
        <f>Formular!T25</f>
        <v>0</v>
      </c>
      <c r="R77" s="350">
        <f>Info!C85</f>
        <v>0</v>
      </c>
      <c r="S77" s="917">
        <f t="shared" si="13"/>
        <v>0</v>
      </c>
      <c r="T77" s="918"/>
      <c r="U77" s="353"/>
      <c r="V77" s="186"/>
      <c r="W77" s="5"/>
      <c r="X77" s="5"/>
      <c r="Y77" s="5"/>
      <c r="Z77" s="5"/>
      <c r="AA77" s="404" t="str">
        <f t="shared" si="10"/>
        <v/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144"/>
      <c r="AQ77" s="144"/>
      <c r="AR77" s="144"/>
      <c r="AS77" s="144"/>
      <c r="AT77" s="4"/>
    </row>
    <row r="78" spans="1:46" s="1" customFormat="1" ht="15" customHeight="1">
      <c r="A78" s="950" t="str">
        <f>Formular!L26</f>
        <v>Rupere panta interior</v>
      </c>
      <c r="B78" s="950"/>
      <c r="C78" s="950"/>
      <c r="D78" s="950"/>
      <c r="E78" s="950"/>
      <c r="F78" s="950"/>
      <c r="G78" s="940">
        <f t="shared" si="11"/>
        <v>0</v>
      </c>
      <c r="H78" s="940"/>
      <c r="I78" s="940"/>
      <c r="J78" s="940"/>
      <c r="K78" s="944">
        <f t="shared" si="12"/>
        <v>0</v>
      </c>
      <c r="L78" s="945"/>
      <c r="M78" s="945"/>
      <c r="N78" s="945"/>
      <c r="O78" s="945"/>
      <c r="P78" s="946"/>
      <c r="Q78" s="223">
        <f>Formular!T26</f>
        <v>0</v>
      </c>
      <c r="R78" s="350">
        <f>Info!C86</f>
        <v>0</v>
      </c>
      <c r="S78" s="917">
        <f t="shared" si="13"/>
        <v>0</v>
      </c>
      <c r="T78" s="918"/>
      <c r="U78" s="353"/>
      <c r="V78" s="186"/>
      <c r="W78" s="5"/>
      <c r="X78" s="5"/>
      <c r="Y78" s="5"/>
      <c r="Z78" s="5"/>
      <c r="AA78" s="404" t="str">
        <f t="shared" si="10"/>
        <v/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144"/>
      <c r="AQ78" s="144"/>
      <c r="AR78" s="144"/>
      <c r="AS78" s="144"/>
      <c r="AT78" s="4"/>
    </row>
    <row r="79" spans="1:46" s="1" customFormat="1" ht="15" customHeight="1">
      <c r="A79" s="950" t="str">
        <f>Formular!L27</f>
        <v>Sort rupere perete vertical SRV</v>
      </c>
      <c r="B79" s="950"/>
      <c r="C79" s="950"/>
      <c r="D79" s="950"/>
      <c r="E79" s="950"/>
      <c r="F79" s="950"/>
      <c r="G79" s="940">
        <f t="shared" si="11"/>
        <v>0</v>
      </c>
      <c r="H79" s="940"/>
      <c r="I79" s="940"/>
      <c r="J79" s="940"/>
      <c r="K79" s="944">
        <f t="shared" si="12"/>
        <v>0</v>
      </c>
      <c r="L79" s="945"/>
      <c r="M79" s="945"/>
      <c r="N79" s="945"/>
      <c r="O79" s="945"/>
      <c r="P79" s="946"/>
      <c r="Q79" s="223">
        <f>Formular!T27</f>
        <v>0</v>
      </c>
      <c r="R79" s="350">
        <f>Info!C87</f>
        <v>0</v>
      </c>
      <c r="S79" s="917">
        <f t="shared" si="13"/>
        <v>0</v>
      </c>
      <c r="T79" s="918"/>
      <c r="U79" s="353"/>
      <c r="V79" s="186"/>
      <c r="W79" s="5"/>
      <c r="X79" s="5"/>
      <c r="Y79" s="5"/>
      <c r="Z79" s="5"/>
      <c r="AA79" s="404" t="str">
        <f t="shared" si="10"/>
        <v/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144"/>
      <c r="AQ79" s="144"/>
      <c r="AR79" s="144"/>
      <c r="AS79" s="144"/>
      <c r="AT79" s="4"/>
    </row>
    <row r="80" spans="1:46" s="1" customFormat="1" ht="15" customHeight="1">
      <c r="A80" s="950" t="str">
        <f>Formular!L28</f>
        <v>Sort streasina SO</v>
      </c>
      <c r="B80" s="950"/>
      <c r="C80" s="950"/>
      <c r="D80" s="950"/>
      <c r="E80" s="950"/>
      <c r="F80" s="950"/>
      <c r="G80" s="940">
        <f t="shared" si="11"/>
        <v>0</v>
      </c>
      <c r="H80" s="940"/>
      <c r="I80" s="940"/>
      <c r="J80" s="940"/>
      <c r="K80" s="944">
        <f t="shared" si="12"/>
        <v>0</v>
      </c>
      <c r="L80" s="945"/>
      <c r="M80" s="945"/>
      <c r="N80" s="945"/>
      <c r="O80" s="945"/>
      <c r="P80" s="946"/>
      <c r="Q80" s="223">
        <f>Formular!T28</f>
        <v>0</v>
      </c>
      <c r="R80" s="350">
        <f>Info!C88</f>
        <v>0</v>
      </c>
      <c r="S80" s="917">
        <f t="shared" si="13"/>
        <v>0</v>
      </c>
      <c r="T80" s="918"/>
      <c r="U80" s="353"/>
      <c r="V80" s="186"/>
      <c r="W80" s="5"/>
      <c r="X80" s="5"/>
      <c r="Y80" s="5"/>
      <c r="Z80" s="5"/>
      <c r="AA80" s="404" t="str">
        <f t="shared" si="10"/>
        <v/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144"/>
      <c r="AQ80" s="144"/>
      <c r="AR80" s="144"/>
      <c r="AS80" s="144"/>
      <c r="AT80" s="4"/>
    </row>
    <row r="81" spans="1:54" s="1" customFormat="1" ht="15" customHeight="1">
      <c r="A81" s="950" t="str">
        <f>Formular!L29</f>
        <v>Set Cos Fum</v>
      </c>
      <c r="B81" s="950"/>
      <c r="C81" s="950"/>
      <c r="D81" s="950"/>
      <c r="E81" s="950"/>
      <c r="F81" s="950"/>
      <c r="G81" s="940">
        <f t="shared" si="11"/>
        <v>0</v>
      </c>
      <c r="H81" s="940"/>
      <c r="I81" s="940"/>
      <c r="J81" s="940"/>
      <c r="K81" s="944">
        <f t="shared" si="12"/>
        <v>0</v>
      </c>
      <c r="L81" s="945"/>
      <c r="M81" s="945"/>
      <c r="N81" s="945"/>
      <c r="O81" s="945"/>
      <c r="P81" s="946"/>
      <c r="Q81" s="223">
        <f>Formular!T29</f>
        <v>0</v>
      </c>
      <c r="R81" s="350">
        <f>Info!C89</f>
        <v>0</v>
      </c>
      <c r="S81" s="917">
        <f t="shared" si="13"/>
        <v>0</v>
      </c>
      <c r="T81" s="918"/>
      <c r="U81" s="353"/>
      <c r="V81" s="186"/>
      <c r="W81" s="5"/>
      <c r="X81" s="5"/>
      <c r="Y81" s="5"/>
      <c r="Z81" s="5"/>
      <c r="AA81" s="404" t="str">
        <f t="shared" si="10"/>
        <v/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144"/>
      <c r="AQ81" s="144"/>
      <c r="AR81" s="144"/>
      <c r="AS81" s="144"/>
      <c r="AT81" s="4"/>
    </row>
    <row r="82" spans="1:54" s="1" customFormat="1" ht="15" customHeight="1">
      <c r="A82" s="950">
        <f>Formular!L30</f>
        <v>0</v>
      </c>
      <c r="B82" s="950"/>
      <c r="C82" s="950"/>
      <c r="D82" s="950"/>
      <c r="E82" s="950"/>
      <c r="F82" s="950"/>
      <c r="G82" s="940">
        <f t="shared" si="11"/>
        <v>0</v>
      </c>
      <c r="H82" s="940"/>
      <c r="I82" s="940"/>
      <c r="J82" s="940"/>
      <c r="K82" s="944">
        <f t="shared" si="12"/>
        <v>0</v>
      </c>
      <c r="L82" s="945"/>
      <c r="M82" s="945"/>
      <c r="N82" s="945"/>
      <c r="O82" s="945"/>
      <c r="P82" s="946"/>
      <c r="Q82" s="223">
        <f>Formular!T30</f>
        <v>0</v>
      </c>
      <c r="R82" s="350">
        <f>Info!C90</f>
        <v>0</v>
      </c>
      <c r="S82" s="917">
        <f t="shared" si="13"/>
        <v>0</v>
      </c>
      <c r="T82" s="918"/>
      <c r="U82" s="353"/>
      <c r="V82" s="186"/>
      <c r="W82" s="5"/>
      <c r="X82" s="5"/>
      <c r="Y82" s="5"/>
      <c r="Z82" s="5"/>
      <c r="AA82" s="404" t="str">
        <f t="shared" si="10"/>
        <v/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144"/>
      <c r="AQ82" s="144"/>
      <c r="AR82" s="144"/>
      <c r="AS82" s="144"/>
      <c r="AT82" s="4"/>
    </row>
    <row r="83" spans="1:54" s="1" customFormat="1" ht="15" customHeight="1">
      <c r="A83" s="950">
        <f>Formular!L31</f>
        <v>0</v>
      </c>
      <c r="B83" s="950"/>
      <c r="C83" s="950"/>
      <c r="D83" s="950"/>
      <c r="E83" s="950"/>
      <c r="F83" s="950"/>
      <c r="G83" s="940">
        <f t="shared" si="11"/>
        <v>0</v>
      </c>
      <c r="H83" s="940"/>
      <c r="I83" s="940"/>
      <c r="J83" s="940"/>
      <c r="K83" s="944">
        <f t="shared" si="12"/>
        <v>0</v>
      </c>
      <c r="L83" s="945"/>
      <c r="M83" s="945"/>
      <c r="N83" s="945"/>
      <c r="O83" s="945"/>
      <c r="P83" s="946"/>
      <c r="Q83" s="223">
        <f>Formular!T31</f>
        <v>0</v>
      </c>
      <c r="R83" s="350">
        <f>Info!C91</f>
        <v>0</v>
      </c>
      <c r="S83" s="917">
        <f t="shared" si="13"/>
        <v>0</v>
      </c>
      <c r="T83" s="918"/>
      <c r="U83" s="353"/>
      <c r="V83" s="186"/>
      <c r="W83" s="5"/>
      <c r="X83" s="5"/>
      <c r="Y83" s="5"/>
      <c r="Z83" s="5"/>
      <c r="AA83" s="404" t="str">
        <f t="shared" si="10"/>
        <v/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144"/>
      <c r="AQ83" s="144"/>
      <c r="AR83" s="144"/>
      <c r="AS83" s="144"/>
      <c r="AT83" s="4"/>
    </row>
    <row r="84" spans="1:54" s="77" customFormat="1" ht="15" customHeight="1">
      <c r="A84" s="981" t="str">
        <f>Formular!L32</f>
        <v>TABLA PLANA ( 1250x2000 )</v>
      </c>
      <c r="B84" s="982"/>
      <c r="C84" s="982"/>
      <c r="D84" s="982"/>
      <c r="E84" s="982"/>
      <c r="F84" s="945">
        <f>G83</f>
        <v>0</v>
      </c>
      <c r="G84" s="945"/>
      <c r="H84" s="945"/>
      <c r="I84" s="945"/>
      <c r="J84" s="946"/>
      <c r="K84" s="944">
        <f>K83</f>
        <v>0</v>
      </c>
      <c r="L84" s="945"/>
      <c r="M84" s="945"/>
      <c r="N84" s="945"/>
      <c r="O84" s="945"/>
      <c r="P84" s="946"/>
      <c r="Q84" s="78">
        <f>Formular!T32</f>
        <v>0</v>
      </c>
      <c r="R84" s="145">
        <f>IF(Select!B232=11,Info!M123,IF(Select!B232=12,Info!N123,Info!C122))</f>
        <v>0</v>
      </c>
      <c r="S84" s="917">
        <f>Q84*R84</f>
        <v>0</v>
      </c>
      <c r="T84" s="918"/>
      <c r="U84" s="353"/>
      <c r="V84" s="3"/>
      <c r="W84" s="4"/>
      <c r="X84" s="4"/>
      <c r="Y84" s="4"/>
      <c r="Z84" s="4"/>
      <c r="AA84" s="404" t="str">
        <f t="shared" si="10"/>
        <v/>
      </c>
      <c r="AB84" s="4"/>
      <c r="AC84" s="5"/>
      <c r="AD84" s="5"/>
      <c r="AE84" s="5"/>
      <c r="AF84" s="5"/>
      <c r="AG84" s="5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5"/>
      <c r="AV84" s="5"/>
      <c r="AW84" s="5"/>
      <c r="AX84" s="5"/>
      <c r="AY84" s="5"/>
      <c r="AZ84" s="5"/>
      <c r="BA84" s="5"/>
      <c r="BB84" s="5"/>
    </row>
    <row r="85" spans="1:54" s="1" customFormat="1" ht="15" customHeight="1">
      <c r="A85" s="949" t="str">
        <f>INDEX(Select!$CA$2:$CA$3,Select!$CA$1)</f>
        <v>Borduri speciale</v>
      </c>
      <c r="B85" s="949"/>
      <c r="C85" s="949"/>
      <c r="D85" s="949"/>
      <c r="E85" s="949"/>
      <c r="F85" s="34">
        <f>G83</f>
        <v>0</v>
      </c>
      <c r="G85" s="940">
        <f>K83</f>
        <v>0</v>
      </c>
      <c r="H85" s="940"/>
      <c r="I85" s="940"/>
      <c r="J85" s="940"/>
      <c r="K85" s="939">
        <f>Formular!N36</f>
        <v>0</v>
      </c>
      <c r="L85" s="939"/>
      <c r="M85" s="939"/>
      <c r="N85" s="939">
        <f>Formular!Q36</f>
        <v>2000</v>
      </c>
      <c r="O85" s="939"/>
      <c r="P85" s="939"/>
      <c r="Q85" s="24">
        <f>Formular!T36</f>
        <v>0</v>
      </c>
      <c r="R85" s="23">
        <f>IF(AND(Select!B232&lt;11,Select!CA1=1),Info!C117,IF(AND(Select!B232&lt;11,Select!CA1=2),Info!C119,IF(AND(Select!B232=11,Select!CA1=1),Info!M118,IF(AND(Select!B232=12,Select!CA1=1),Info!N118,IF(AND(Select!B232=11,Select!CA1=2),Info!M120,IF(AND(Select!B232=12,Select!CA1=2),Info!N120))))))</f>
        <v>0</v>
      </c>
      <c r="S85" s="917">
        <f>(K85*N85)/1000000*Q85*R85</f>
        <v>0</v>
      </c>
      <c r="T85" s="918"/>
      <c r="U85" s="353"/>
      <c r="V85" s="186"/>
      <c r="W85" s="5"/>
      <c r="X85" s="5"/>
      <c r="Y85" s="5"/>
      <c r="Z85" s="5"/>
      <c r="AA85" s="404" t="str">
        <f t="shared" si="10"/>
        <v/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144"/>
      <c r="AQ85" s="144"/>
      <c r="AR85" s="144"/>
      <c r="AS85" s="144"/>
      <c r="AT85" s="4"/>
    </row>
    <row r="86" spans="1:54" s="1" customFormat="1" ht="15" customHeight="1">
      <c r="A86" s="949" t="str">
        <f>INDEX(Select!$CA$2:$CA$3,Select!$CA$1)</f>
        <v>Borduri speciale</v>
      </c>
      <c r="B86" s="949"/>
      <c r="C86" s="949"/>
      <c r="D86" s="949"/>
      <c r="E86" s="949"/>
      <c r="F86" s="34">
        <f t="shared" ref="F86:F104" si="14">F85</f>
        <v>0</v>
      </c>
      <c r="G86" s="940">
        <f t="shared" ref="G86:G94" si="15">G85</f>
        <v>0</v>
      </c>
      <c r="H86" s="940"/>
      <c r="I86" s="940"/>
      <c r="J86" s="940"/>
      <c r="K86" s="939">
        <f>Formular!N37</f>
        <v>0</v>
      </c>
      <c r="L86" s="939"/>
      <c r="M86" s="939"/>
      <c r="N86" s="939">
        <f>Formular!Q37</f>
        <v>0</v>
      </c>
      <c r="O86" s="939"/>
      <c r="P86" s="939"/>
      <c r="Q86" s="24">
        <f>Formular!T37</f>
        <v>0</v>
      </c>
      <c r="R86" s="23">
        <f>R85</f>
        <v>0</v>
      </c>
      <c r="S86" s="917">
        <f t="shared" ref="S86:S104" si="16">(K86*N86)/1000000*Q86*R86</f>
        <v>0</v>
      </c>
      <c r="T86" s="918"/>
      <c r="U86" s="353"/>
      <c r="V86" s="186"/>
      <c r="W86" s="5"/>
      <c r="X86" s="5"/>
      <c r="Y86" s="5"/>
      <c r="Z86" s="5"/>
      <c r="AA86" s="404" t="str">
        <f t="shared" si="10"/>
        <v/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144"/>
      <c r="AQ86" s="144"/>
      <c r="AR86" s="144"/>
      <c r="AS86" s="144"/>
      <c r="AT86" s="4"/>
    </row>
    <row r="87" spans="1:54" s="1" customFormat="1" ht="15" customHeight="1">
      <c r="A87" s="949" t="str">
        <f>INDEX(Select!$CA$2:$CA$3,Select!$CA$1)</f>
        <v>Borduri speciale</v>
      </c>
      <c r="B87" s="949"/>
      <c r="C87" s="949"/>
      <c r="D87" s="949"/>
      <c r="E87" s="949"/>
      <c r="F87" s="34">
        <f t="shared" si="14"/>
        <v>0</v>
      </c>
      <c r="G87" s="940">
        <f t="shared" si="15"/>
        <v>0</v>
      </c>
      <c r="H87" s="940"/>
      <c r="I87" s="940"/>
      <c r="J87" s="940"/>
      <c r="K87" s="939">
        <f>Formular!N38</f>
        <v>0</v>
      </c>
      <c r="L87" s="939"/>
      <c r="M87" s="939"/>
      <c r="N87" s="939">
        <f>Formular!Q38</f>
        <v>0</v>
      </c>
      <c r="O87" s="939"/>
      <c r="P87" s="939"/>
      <c r="Q87" s="24">
        <f>Formular!T38</f>
        <v>0</v>
      </c>
      <c r="R87" s="23">
        <f t="shared" ref="R87:R94" si="17">R86</f>
        <v>0</v>
      </c>
      <c r="S87" s="917">
        <f t="shared" si="16"/>
        <v>0</v>
      </c>
      <c r="T87" s="918"/>
      <c r="U87" s="353"/>
      <c r="V87" s="186"/>
      <c r="W87" s="5"/>
      <c r="X87" s="5"/>
      <c r="Y87" s="5"/>
      <c r="Z87" s="5"/>
      <c r="AA87" s="404" t="str">
        <f t="shared" si="10"/>
        <v/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144"/>
      <c r="AQ87" s="144"/>
      <c r="AR87" s="144"/>
      <c r="AS87" s="144"/>
      <c r="AT87" s="4"/>
    </row>
    <row r="88" spans="1:54" s="1" customFormat="1" ht="15" customHeight="1">
      <c r="A88" s="949" t="str">
        <f>INDEX(Select!$CA$2:$CA$3,Select!$CA$1)</f>
        <v>Borduri speciale</v>
      </c>
      <c r="B88" s="949"/>
      <c r="C88" s="949"/>
      <c r="D88" s="949"/>
      <c r="E88" s="949"/>
      <c r="F88" s="34">
        <f t="shared" si="14"/>
        <v>0</v>
      </c>
      <c r="G88" s="940">
        <f t="shared" si="15"/>
        <v>0</v>
      </c>
      <c r="H88" s="940"/>
      <c r="I88" s="940"/>
      <c r="J88" s="940"/>
      <c r="K88" s="939">
        <f>Formular!N39</f>
        <v>0</v>
      </c>
      <c r="L88" s="939"/>
      <c r="M88" s="939"/>
      <c r="N88" s="939">
        <f>Formular!Q39</f>
        <v>0</v>
      </c>
      <c r="O88" s="939"/>
      <c r="P88" s="939"/>
      <c r="Q88" s="24">
        <f>Formular!T39</f>
        <v>0</v>
      </c>
      <c r="R88" s="23">
        <f t="shared" si="17"/>
        <v>0</v>
      </c>
      <c r="S88" s="917">
        <f t="shared" si="16"/>
        <v>0</v>
      </c>
      <c r="T88" s="918"/>
      <c r="U88" s="353"/>
      <c r="V88" s="186"/>
      <c r="W88" s="5"/>
      <c r="X88" s="5"/>
      <c r="Y88" s="5"/>
      <c r="Z88" s="5"/>
      <c r="AA88" s="404" t="str">
        <f t="shared" si="10"/>
        <v/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144"/>
      <c r="AQ88" s="144"/>
      <c r="AR88" s="144"/>
      <c r="AS88" s="144"/>
      <c r="AT88" s="4"/>
    </row>
    <row r="89" spans="1:54" s="1" customFormat="1" ht="15" customHeight="1">
      <c r="A89" s="949" t="str">
        <f>INDEX(Select!$CA$2:$CA$3,Select!$CA$1)</f>
        <v>Borduri speciale</v>
      </c>
      <c r="B89" s="949"/>
      <c r="C89" s="949"/>
      <c r="D89" s="949"/>
      <c r="E89" s="949"/>
      <c r="F89" s="34">
        <f t="shared" si="14"/>
        <v>0</v>
      </c>
      <c r="G89" s="940">
        <f t="shared" si="15"/>
        <v>0</v>
      </c>
      <c r="H89" s="940"/>
      <c r="I89" s="940"/>
      <c r="J89" s="940"/>
      <c r="K89" s="939">
        <f>Formular!N40</f>
        <v>0</v>
      </c>
      <c r="L89" s="939"/>
      <c r="M89" s="939"/>
      <c r="N89" s="939">
        <f>Formular!Q40</f>
        <v>0</v>
      </c>
      <c r="O89" s="939"/>
      <c r="P89" s="939"/>
      <c r="Q89" s="24">
        <f>Formular!T40</f>
        <v>0</v>
      </c>
      <c r="R89" s="23">
        <f t="shared" si="17"/>
        <v>0</v>
      </c>
      <c r="S89" s="917">
        <f t="shared" si="16"/>
        <v>0</v>
      </c>
      <c r="T89" s="918"/>
      <c r="U89" s="353"/>
      <c r="V89" s="186"/>
      <c r="W89" s="5"/>
      <c r="X89" s="5"/>
      <c r="Y89" s="5"/>
      <c r="Z89" s="5"/>
      <c r="AA89" s="404" t="str">
        <f t="shared" si="10"/>
        <v/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144"/>
      <c r="AQ89" s="144"/>
      <c r="AR89" s="144"/>
      <c r="AS89" s="144"/>
      <c r="AT89" s="4"/>
    </row>
    <row r="90" spans="1:54" s="1" customFormat="1" ht="15" customHeight="1">
      <c r="A90" s="949" t="str">
        <f>INDEX(Select!$CA$2:$CA$3,Select!$CA$1)</f>
        <v>Borduri speciale</v>
      </c>
      <c r="B90" s="949"/>
      <c r="C90" s="949"/>
      <c r="D90" s="949"/>
      <c r="E90" s="949"/>
      <c r="F90" s="34">
        <f t="shared" si="14"/>
        <v>0</v>
      </c>
      <c r="G90" s="940">
        <f t="shared" si="15"/>
        <v>0</v>
      </c>
      <c r="H90" s="940"/>
      <c r="I90" s="940"/>
      <c r="J90" s="940"/>
      <c r="K90" s="939">
        <f>Formular!N41</f>
        <v>0</v>
      </c>
      <c r="L90" s="939"/>
      <c r="M90" s="939"/>
      <c r="N90" s="939">
        <f>Formular!Q41</f>
        <v>0</v>
      </c>
      <c r="O90" s="939"/>
      <c r="P90" s="939"/>
      <c r="Q90" s="24">
        <f>Formular!T41</f>
        <v>0</v>
      </c>
      <c r="R90" s="23">
        <f t="shared" si="17"/>
        <v>0</v>
      </c>
      <c r="S90" s="917">
        <f t="shared" si="16"/>
        <v>0</v>
      </c>
      <c r="T90" s="918"/>
      <c r="U90" s="353"/>
      <c r="V90" s="186"/>
      <c r="W90" s="5"/>
      <c r="X90" s="5"/>
      <c r="Y90" s="5"/>
      <c r="Z90" s="5"/>
      <c r="AA90" s="404" t="str">
        <f t="shared" si="10"/>
        <v/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144"/>
      <c r="AQ90" s="144"/>
      <c r="AR90" s="144"/>
      <c r="AS90" s="144"/>
      <c r="AT90" s="4"/>
    </row>
    <row r="91" spans="1:54" s="1" customFormat="1" ht="15" customHeight="1">
      <c r="A91" s="949" t="str">
        <f>INDEX(Select!$CA$2:$CA$3,Select!$CA$1)</f>
        <v>Borduri speciale</v>
      </c>
      <c r="B91" s="949"/>
      <c r="C91" s="949"/>
      <c r="D91" s="949"/>
      <c r="E91" s="949"/>
      <c r="F91" s="34">
        <f t="shared" si="14"/>
        <v>0</v>
      </c>
      <c r="G91" s="940">
        <f t="shared" si="15"/>
        <v>0</v>
      </c>
      <c r="H91" s="940"/>
      <c r="I91" s="940"/>
      <c r="J91" s="940"/>
      <c r="K91" s="939">
        <f>Formular!N42</f>
        <v>0</v>
      </c>
      <c r="L91" s="939"/>
      <c r="M91" s="939"/>
      <c r="N91" s="939">
        <f>Formular!Q42</f>
        <v>0</v>
      </c>
      <c r="O91" s="939"/>
      <c r="P91" s="939"/>
      <c r="Q91" s="24">
        <f>Formular!T42</f>
        <v>0</v>
      </c>
      <c r="R91" s="23">
        <f t="shared" si="17"/>
        <v>0</v>
      </c>
      <c r="S91" s="917">
        <f t="shared" si="16"/>
        <v>0</v>
      </c>
      <c r="T91" s="918"/>
      <c r="U91" s="353"/>
      <c r="V91" s="186"/>
      <c r="W91" s="5"/>
      <c r="X91" s="5"/>
      <c r="Y91" s="5"/>
      <c r="Z91" s="5"/>
      <c r="AA91" s="404" t="str">
        <f t="shared" si="10"/>
        <v/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144"/>
      <c r="AQ91" s="144"/>
      <c r="AR91" s="144"/>
      <c r="AS91" s="144"/>
      <c r="AT91" s="4"/>
    </row>
    <row r="92" spans="1:54" s="1" customFormat="1" ht="15" customHeight="1">
      <c r="A92" s="949" t="str">
        <f>INDEX(Select!$CA$2:$CA$3,Select!$CA$1)</f>
        <v>Borduri speciale</v>
      </c>
      <c r="B92" s="949"/>
      <c r="C92" s="949"/>
      <c r="D92" s="949"/>
      <c r="E92" s="949"/>
      <c r="F92" s="34">
        <f t="shared" si="14"/>
        <v>0</v>
      </c>
      <c r="G92" s="940">
        <f t="shared" si="15"/>
        <v>0</v>
      </c>
      <c r="H92" s="940"/>
      <c r="I92" s="940"/>
      <c r="J92" s="940"/>
      <c r="K92" s="939">
        <f>Formular!N43</f>
        <v>0</v>
      </c>
      <c r="L92" s="939"/>
      <c r="M92" s="939"/>
      <c r="N92" s="939">
        <f>Formular!Q43</f>
        <v>0</v>
      </c>
      <c r="O92" s="939"/>
      <c r="P92" s="939"/>
      <c r="Q92" s="24">
        <f>Formular!T43</f>
        <v>0</v>
      </c>
      <c r="R92" s="23">
        <f t="shared" si="17"/>
        <v>0</v>
      </c>
      <c r="S92" s="917">
        <f t="shared" si="16"/>
        <v>0</v>
      </c>
      <c r="T92" s="918"/>
      <c r="U92" s="353"/>
      <c r="V92" s="186"/>
      <c r="W92" s="5"/>
      <c r="X92" s="5"/>
      <c r="Y92" s="5"/>
      <c r="Z92" s="5"/>
      <c r="AA92" s="404" t="str">
        <f t="shared" si="10"/>
        <v/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144"/>
      <c r="AQ92" s="144"/>
      <c r="AR92" s="144"/>
      <c r="AS92" s="144"/>
      <c r="AT92" s="4"/>
    </row>
    <row r="93" spans="1:54" s="1" customFormat="1" ht="15" customHeight="1">
      <c r="A93" s="949" t="str">
        <f>INDEX(Select!$CA$2:$CA$3,Select!$CA$1)</f>
        <v>Borduri speciale</v>
      </c>
      <c r="B93" s="949"/>
      <c r="C93" s="949"/>
      <c r="D93" s="949"/>
      <c r="E93" s="949"/>
      <c r="F93" s="34">
        <f t="shared" si="14"/>
        <v>0</v>
      </c>
      <c r="G93" s="940">
        <f t="shared" si="15"/>
        <v>0</v>
      </c>
      <c r="H93" s="940"/>
      <c r="I93" s="940"/>
      <c r="J93" s="940"/>
      <c r="K93" s="939">
        <f>Formular!N44</f>
        <v>0</v>
      </c>
      <c r="L93" s="939"/>
      <c r="M93" s="939"/>
      <c r="N93" s="939">
        <f>Formular!Q44</f>
        <v>0</v>
      </c>
      <c r="O93" s="939"/>
      <c r="P93" s="939"/>
      <c r="Q93" s="24">
        <f>Formular!T44</f>
        <v>0</v>
      </c>
      <c r="R93" s="23">
        <f t="shared" si="17"/>
        <v>0</v>
      </c>
      <c r="S93" s="917">
        <f t="shared" si="16"/>
        <v>0</v>
      </c>
      <c r="T93" s="918"/>
      <c r="U93" s="353"/>
      <c r="V93" s="186"/>
      <c r="W93" s="5"/>
      <c r="X93" s="5"/>
      <c r="Y93" s="5"/>
      <c r="Z93" s="5"/>
      <c r="AA93" s="404" t="str">
        <f t="shared" si="10"/>
        <v/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144"/>
      <c r="AQ93" s="144"/>
      <c r="AR93" s="144"/>
      <c r="AS93" s="144"/>
      <c r="AT93" s="4"/>
    </row>
    <row r="94" spans="1:54" s="1" customFormat="1" ht="15" customHeight="1">
      <c r="A94" s="949" t="str">
        <f>INDEX(Select!$CA$2:$CA$3,Select!$CA$1)</f>
        <v>Borduri speciale</v>
      </c>
      <c r="B94" s="949"/>
      <c r="C94" s="949"/>
      <c r="D94" s="949"/>
      <c r="E94" s="949"/>
      <c r="F94" s="34">
        <f t="shared" si="14"/>
        <v>0</v>
      </c>
      <c r="G94" s="940">
        <f t="shared" si="15"/>
        <v>0</v>
      </c>
      <c r="H94" s="940"/>
      <c r="I94" s="940"/>
      <c r="J94" s="940"/>
      <c r="K94" s="939">
        <f>Formular!N45</f>
        <v>0</v>
      </c>
      <c r="L94" s="939"/>
      <c r="M94" s="939"/>
      <c r="N94" s="939">
        <f>Formular!Q45</f>
        <v>0</v>
      </c>
      <c r="O94" s="939"/>
      <c r="P94" s="939"/>
      <c r="Q94" s="24">
        <f>Formular!T45</f>
        <v>0</v>
      </c>
      <c r="R94" s="23">
        <f t="shared" si="17"/>
        <v>0</v>
      </c>
      <c r="S94" s="917">
        <f t="shared" si="16"/>
        <v>0</v>
      </c>
      <c r="T94" s="918"/>
      <c r="U94" s="353"/>
      <c r="V94" s="186"/>
      <c r="W94" s="5"/>
      <c r="X94" s="5"/>
      <c r="Y94" s="5"/>
      <c r="Z94" s="5"/>
      <c r="AA94" s="404" t="str">
        <f t="shared" si="10"/>
        <v/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144"/>
      <c r="AQ94" s="144"/>
      <c r="AR94" s="144"/>
      <c r="AS94" s="144"/>
      <c r="AT94" s="4"/>
    </row>
    <row r="95" spans="1:54" s="1" customFormat="1" ht="15" customHeight="1">
      <c r="A95" s="949" t="s">
        <v>398</v>
      </c>
      <c r="B95" s="949"/>
      <c r="C95" s="949"/>
      <c r="D95" s="949"/>
      <c r="E95" s="949"/>
      <c r="F95" s="34">
        <f>INDEX(Select!B280:B286,Select!B279)</f>
        <v>0</v>
      </c>
      <c r="G95" s="939" t="s">
        <v>408</v>
      </c>
      <c r="H95" s="939"/>
      <c r="I95" s="939"/>
      <c r="J95" s="939"/>
      <c r="K95" s="939">
        <f>Formular!N50</f>
        <v>0</v>
      </c>
      <c r="L95" s="939"/>
      <c r="M95" s="939"/>
      <c r="N95" s="939">
        <f>Formular!Q50</f>
        <v>2000</v>
      </c>
      <c r="O95" s="939"/>
      <c r="P95" s="939"/>
      <c r="Q95" s="24">
        <f>Formular!T50</f>
        <v>0</v>
      </c>
      <c r="R95" s="23">
        <f>Info!C121</f>
        <v>0</v>
      </c>
      <c r="S95" s="917">
        <f t="shared" si="16"/>
        <v>0</v>
      </c>
      <c r="T95" s="918"/>
      <c r="U95" s="353"/>
      <c r="V95" s="186"/>
      <c r="W95" s="5"/>
      <c r="X95" s="5"/>
      <c r="Y95" s="5"/>
      <c r="Z95" s="5"/>
      <c r="AA95" s="404" t="str">
        <f t="shared" si="10"/>
        <v/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144"/>
      <c r="AQ95" s="144"/>
      <c r="AR95" s="144"/>
      <c r="AS95" s="144"/>
      <c r="AT95" s="4"/>
    </row>
    <row r="96" spans="1:54" s="1" customFormat="1" ht="15" customHeight="1">
      <c r="A96" s="949" t="s">
        <v>399</v>
      </c>
      <c r="B96" s="949"/>
      <c r="C96" s="949"/>
      <c r="D96" s="949"/>
      <c r="E96" s="949"/>
      <c r="F96" s="34">
        <f>F95</f>
        <v>0</v>
      </c>
      <c r="G96" s="939" t="s">
        <v>408</v>
      </c>
      <c r="H96" s="939"/>
      <c r="I96" s="939"/>
      <c r="J96" s="939"/>
      <c r="K96" s="939">
        <f>Formular!N51</f>
        <v>0</v>
      </c>
      <c r="L96" s="939"/>
      <c r="M96" s="939"/>
      <c r="N96" s="939">
        <f>Formular!Q51</f>
        <v>0</v>
      </c>
      <c r="O96" s="939"/>
      <c r="P96" s="939"/>
      <c r="Q96" s="24">
        <f>Formular!T51</f>
        <v>0</v>
      </c>
      <c r="R96" s="23">
        <f>R95</f>
        <v>0</v>
      </c>
      <c r="S96" s="917">
        <f t="shared" si="16"/>
        <v>0</v>
      </c>
      <c r="T96" s="918"/>
      <c r="U96" s="353"/>
      <c r="V96" s="186"/>
      <c r="W96" s="5"/>
      <c r="X96" s="5"/>
      <c r="Y96" s="5"/>
      <c r="Z96" s="5"/>
      <c r="AA96" s="404" t="str">
        <f t="shared" si="10"/>
        <v/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144"/>
      <c r="AQ96" s="144"/>
      <c r="AR96" s="144"/>
      <c r="AS96" s="144"/>
      <c r="AT96" s="4"/>
    </row>
    <row r="97" spans="1:46" s="1" customFormat="1" ht="15" customHeight="1">
      <c r="A97" s="949" t="s">
        <v>400</v>
      </c>
      <c r="B97" s="949"/>
      <c r="C97" s="949"/>
      <c r="D97" s="949"/>
      <c r="E97" s="949"/>
      <c r="F97" s="34">
        <f t="shared" si="14"/>
        <v>0</v>
      </c>
      <c r="G97" s="939" t="s">
        <v>408</v>
      </c>
      <c r="H97" s="939"/>
      <c r="I97" s="939"/>
      <c r="J97" s="939"/>
      <c r="K97" s="939">
        <f>Formular!N52</f>
        <v>0</v>
      </c>
      <c r="L97" s="939"/>
      <c r="M97" s="939"/>
      <c r="N97" s="939">
        <f>Formular!Q52</f>
        <v>0</v>
      </c>
      <c r="O97" s="939"/>
      <c r="P97" s="939"/>
      <c r="Q97" s="24">
        <f>Formular!T52</f>
        <v>0</v>
      </c>
      <c r="R97" s="23">
        <f t="shared" ref="R97:R104" si="18">R96</f>
        <v>0</v>
      </c>
      <c r="S97" s="917">
        <f t="shared" si="16"/>
        <v>0</v>
      </c>
      <c r="T97" s="918"/>
      <c r="U97" s="353"/>
      <c r="V97" s="186"/>
      <c r="W97" s="5"/>
      <c r="X97" s="5"/>
      <c r="Y97" s="5"/>
      <c r="Z97" s="5"/>
      <c r="AA97" s="404" t="str">
        <f t="shared" si="10"/>
        <v/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144"/>
      <c r="AQ97" s="144"/>
      <c r="AR97" s="144"/>
      <c r="AS97" s="144"/>
      <c r="AT97" s="4"/>
    </row>
    <row r="98" spans="1:46" s="1" customFormat="1" ht="15" customHeight="1">
      <c r="A98" s="949" t="s">
        <v>401</v>
      </c>
      <c r="B98" s="949"/>
      <c r="C98" s="949"/>
      <c r="D98" s="949"/>
      <c r="E98" s="949"/>
      <c r="F98" s="34">
        <f t="shared" si="14"/>
        <v>0</v>
      </c>
      <c r="G98" s="939" t="s">
        <v>408</v>
      </c>
      <c r="H98" s="939"/>
      <c r="I98" s="939"/>
      <c r="J98" s="939"/>
      <c r="K98" s="939">
        <f>Formular!N53</f>
        <v>0</v>
      </c>
      <c r="L98" s="939"/>
      <c r="M98" s="939"/>
      <c r="N98" s="939">
        <f>Formular!Q53</f>
        <v>0</v>
      </c>
      <c r="O98" s="939"/>
      <c r="P98" s="939"/>
      <c r="Q98" s="24">
        <f>Formular!T53</f>
        <v>0</v>
      </c>
      <c r="R98" s="23">
        <f t="shared" si="18"/>
        <v>0</v>
      </c>
      <c r="S98" s="917">
        <f t="shared" si="16"/>
        <v>0</v>
      </c>
      <c r="T98" s="918"/>
      <c r="U98" s="353"/>
      <c r="V98" s="186"/>
      <c r="W98" s="5"/>
      <c r="X98" s="5"/>
      <c r="Y98" s="5"/>
      <c r="Z98" s="5"/>
      <c r="AA98" s="404" t="str">
        <f t="shared" si="10"/>
        <v/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144"/>
      <c r="AQ98" s="144"/>
      <c r="AR98" s="144"/>
      <c r="AS98" s="144"/>
      <c r="AT98" s="4"/>
    </row>
    <row r="99" spans="1:46" s="1" customFormat="1" ht="15" customHeight="1">
      <c r="A99" s="949" t="s">
        <v>402</v>
      </c>
      <c r="B99" s="949"/>
      <c r="C99" s="949"/>
      <c r="D99" s="949"/>
      <c r="E99" s="949"/>
      <c r="F99" s="34">
        <f t="shared" si="14"/>
        <v>0</v>
      </c>
      <c r="G99" s="939" t="s">
        <v>408</v>
      </c>
      <c r="H99" s="939"/>
      <c r="I99" s="939"/>
      <c r="J99" s="939"/>
      <c r="K99" s="939">
        <f>Formular!N54</f>
        <v>0</v>
      </c>
      <c r="L99" s="939"/>
      <c r="M99" s="939"/>
      <c r="N99" s="939">
        <f>Formular!Q54</f>
        <v>0</v>
      </c>
      <c r="O99" s="939"/>
      <c r="P99" s="939"/>
      <c r="Q99" s="24">
        <f>Formular!T54</f>
        <v>0</v>
      </c>
      <c r="R99" s="23">
        <f t="shared" si="18"/>
        <v>0</v>
      </c>
      <c r="S99" s="917">
        <f t="shared" si="16"/>
        <v>0</v>
      </c>
      <c r="T99" s="918"/>
      <c r="U99" s="353"/>
      <c r="V99" s="186"/>
      <c r="W99" s="5"/>
      <c r="X99" s="5"/>
      <c r="Y99" s="5"/>
      <c r="Z99" s="5"/>
      <c r="AA99" s="404" t="str">
        <f t="shared" si="10"/>
        <v/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144"/>
      <c r="AQ99" s="144"/>
      <c r="AR99" s="144"/>
      <c r="AS99" s="144"/>
      <c r="AT99" s="4"/>
    </row>
    <row r="100" spans="1:46" s="1" customFormat="1" ht="15" customHeight="1">
      <c r="A100" s="949" t="s">
        <v>403</v>
      </c>
      <c r="B100" s="949"/>
      <c r="C100" s="949"/>
      <c r="D100" s="949"/>
      <c r="E100" s="949"/>
      <c r="F100" s="34">
        <f t="shared" si="14"/>
        <v>0</v>
      </c>
      <c r="G100" s="939" t="s">
        <v>408</v>
      </c>
      <c r="H100" s="939"/>
      <c r="I100" s="939"/>
      <c r="J100" s="939"/>
      <c r="K100" s="939">
        <f>Formular!N55</f>
        <v>0</v>
      </c>
      <c r="L100" s="939"/>
      <c r="M100" s="939"/>
      <c r="N100" s="939">
        <f>Formular!Q55</f>
        <v>0</v>
      </c>
      <c r="O100" s="939"/>
      <c r="P100" s="939"/>
      <c r="Q100" s="24">
        <f>Formular!T55</f>
        <v>0</v>
      </c>
      <c r="R100" s="23">
        <f t="shared" si="18"/>
        <v>0</v>
      </c>
      <c r="S100" s="917">
        <f t="shared" si="16"/>
        <v>0</v>
      </c>
      <c r="T100" s="918"/>
      <c r="U100" s="353"/>
      <c r="V100" s="186"/>
      <c r="W100" s="5"/>
      <c r="X100" s="5"/>
      <c r="Y100" s="5"/>
      <c r="Z100" s="5"/>
      <c r="AA100" s="404" t="str">
        <f t="shared" si="10"/>
        <v/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144"/>
      <c r="AQ100" s="144"/>
      <c r="AR100" s="144"/>
      <c r="AS100" s="144"/>
      <c r="AT100" s="4"/>
    </row>
    <row r="101" spans="1:46" s="1" customFormat="1" ht="15" customHeight="1">
      <c r="A101" s="949" t="s">
        <v>404</v>
      </c>
      <c r="B101" s="949"/>
      <c r="C101" s="949"/>
      <c r="D101" s="949"/>
      <c r="E101" s="949"/>
      <c r="F101" s="34">
        <f t="shared" si="14"/>
        <v>0</v>
      </c>
      <c r="G101" s="939" t="s">
        <v>408</v>
      </c>
      <c r="H101" s="939"/>
      <c r="I101" s="939"/>
      <c r="J101" s="939"/>
      <c r="K101" s="939">
        <f>Formular!N56</f>
        <v>0</v>
      </c>
      <c r="L101" s="939"/>
      <c r="M101" s="939"/>
      <c r="N101" s="939">
        <f>Formular!Q56</f>
        <v>0</v>
      </c>
      <c r="O101" s="939"/>
      <c r="P101" s="939"/>
      <c r="Q101" s="24">
        <f>Formular!T56</f>
        <v>0</v>
      </c>
      <c r="R101" s="23">
        <f t="shared" si="18"/>
        <v>0</v>
      </c>
      <c r="S101" s="917">
        <f t="shared" si="16"/>
        <v>0</v>
      </c>
      <c r="T101" s="918"/>
      <c r="U101" s="353"/>
      <c r="V101" s="186"/>
      <c r="W101" s="5"/>
      <c r="X101" s="5"/>
      <c r="Y101" s="5"/>
      <c r="Z101" s="5"/>
      <c r="AA101" s="404" t="str">
        <f t="shared" si="10"/>
        <v/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144"/>
      <c r="AQ101" s="144"/>
      <c r="AR101" s="144"/>
      <c r="AS101" s="144"/>
      <c r="AT101" s="4"/>
    </row>
    <row r="102" spans="1:46" s="1" customFormat="1" ht="15" customHeight="1">
      <c r="A102" s="949" t="s">
        <v>405</v>
      </c>
      <c r="B102" s="949"/>
      <c r="C102" s="949"/>
      <c r="D102" s="949"/>
      <c r="E102" s="949"/>
      <c r="F102" s="34">
        <f t="shared" si="14"/>
        <v>0</v>
      </c>
      <c r="G102" s="939" t="s">
        <v>408</v>
      </c>
      <c r="H102" s="939"/>
      <c r="I102" s="939"/>
      <c r="J102" s="939"/>
      <c r="K102" s="939">
        <f>Formular!N57</f>
        <v>0</v>
      </c>
      <c r="L102" s="939"/>
      <c r="M102" s="939"/>
      <c r="N102" s="939">
        <f>Formular!Q57</f>
        <v>0</v>
      </c>
      <c r="O102" s="939"/>
      <c r="P102" s="939"/>
      <c r="Q102" s="24">
        <f>Formular!T57</f>
        <v>0</v>
      </c>
      <c r="R102" s="23">
        <f t="shared" si="18"/>
        <v>0</v>
      </c>
      <c r="S102" s="917">
        <f t="shared" si="16"/>
        <v>0</v>
      </c>
      <c r="T102" s="918"/>
      <c r="U102" s="353"/>
      <c r="V102" s="186"/>
      <c r="W102" s="5"/>
      <c r="X102" s="5"/>
      <c r="Y102" s="5"/>
      <c r="Z102" s="5"/>
      <c r="AA102" s="404" t="str">
        <f t="shared" si="10"/>
        <v/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144"/>
      <c r="AQ102" s="144"/>
      <c r="AR102" s="144"/>
      <c r="AS102" s="144"/>
      <c r="AT102" s="4"/>
    </row>
    <row r="103" spans="1:46" s="1" customFormat="1" ht="15" customHeight="1">
      <c r="A103" s="949" t="s">
        <v>406</v>
      </c>
      <c r="B103" s="949"/>
      <c r="C103" s="949"/>
      <c r="D103" s="949"/>
      <c r="E103" s="949"/>
      <c r="F103" s="34">
        <f t="shared" si="14"/>
        <v>0</v>
      </c>
      <c r="G103" s="939" t="s">
        <v>408</v>
      </c>
      <c r="H103" s="939"/>
      <c r="I103" s="939"/>
      <c r="J103" s="939"/>
      <c r="K103" s="939">
        <f>Formular!N58</f>
        <v>0</v>
      </c>
      <c r="L103" s="939"/>
      <c r="M103" s="939"/>
      <c r="N103" s="939">
        <f>Formular!Q58</f>
        <v>0</v>
      </c>
      <c r="O103" s="939"/>
      <c r="P103" s="939"/>
      <c r="Q103" s="24">
        <f>Formular!T58</f>
        <v>0</v>
      </c>
      <c r="R103" s="23">
        <f t="shared" si="18"/>
        <v>0</v>
      </c>
      <c r="S103" s="917">
        <f t="shared" si="16"/>
        <v>0</v>
      </c>
      <c r="T103" s="918"/>
      <c r="U103" s="353"/>
      <c r="V103" s="186"/>
      <c r="W103" s="5"/>
      <c r="X103" s="5"/>
      <c r="Y103" s="5"/>
      <c r="Z103" s="5"/>
      <c r="AA103" s="404" t="str">
        <f t="shared" si="10"/>
        <v/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144"/>
      <c r="AQ103" s="144"/>
      <c r="AR103" s="144"/>
      <c r="AS103" s="144"/>
      <c r="AT103" s="4"/>
    </row>
    <row r="104" spans="1:46" s="1" customFormat="1" ht="15" customHeight="1">
      <c r="A104" s="949" t="s">
        <v>407</v>
      </c>
      <c r="B104" s="949"/>
      <c r="C104" s="949"/>
      <c r="D104" s="949"/>
      <c r="E104" s="949"/>
      <c r="F104" s="34">
        <f t="shared" si="14"/>
        <v>0</v>
      </c>
      <c r="G104" s="939" t="s">
        <v>408</v>
      </c>
      <c r="H104" s="939"/>
      <c r="I104" s="939"/>
      <c r="J104" s="939"/>
      <c r="K104" s="939">
        <f>Formular!N59</f>
        <v>0</v>
      </c>
      <c r="L104" s="939"/>
      <c r="M104" s="939"/>
      <c r="N104" s="939">
        <f>Formular!Q59</f>
        <v>0</v>
      </c>
      <c r="O104" s="939"/>
      <c r="P104" s="939"/>
      <c r="Q104" s="24">
        <f>Formular!T59</f>
        <v>0</v>
      </c>
      <c r="R104" s="23">
        <f t="shared" si="18"/>
        <v>0</v>
      </c>
      <c r="S104" s="917">
        <f t="shared" si="16"/>
        <v>0</v>
      </c>
      <c r="T104" s="918"/>
      <c r="U104" s="353"/>
      <c r="V104" s="186"/>
      <c r="W104" s="5"/>
      <c r="X104" s="5"/>
      <c r="Y104" s="5"/>
      <c r="Z104" s="5"/>
      <c r="AA104" s="404" t="str">
        <f t="shared" si="10"/>
        <v/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144"/>
      <c r="AQ104" s="144"/>
      <c r="AR104" s="144"/>
      <c r="AS104" s="144"/>
      <c r="AT104" s="4"/>
    </row>
    <row r="105" spans="1:46" s="77" customFormat="1" ht="15" customHeight="1">
      <c r="A105" s="926" t="str">
        <f>Formular!V49</f>
        <v>Specială bordură calcan BSC</v>
      </c>
      <c r="B105" s="922"/>
      <c r="C105" s="922"/>
      <c r="D105" s="922"/>
      <c r="E105" s="922"/>
      <c r="F105" s="184">
        <f>F104</f>
        <v>0</v>
      </c>
      <c r="G105" s="926" t="str">
        <f>G104</f>
        <v>ZINCAT</v>
      </c>
      <c r="H105" s="922"/>
      <c r="I105" s="922"/>
      <c r="J105" s="922"/>
      <c r="K105" s="922">
        <v>312</v>
      </c>
      <c r="L105" s="922"/>
      <c r="M105" s="922"/>
      <c r="N105" s="922">
        <v>2000</v>
      </c>
      <c r="O105" s="922"/>
      <c r="P105" s="923"/>
      <c r="Q105" s="178">
        <f>Formular!AD49</f>
        <v>0</v>
      </c>
      <c r="R105" s="179">
        <f>Info!C412</f>
        <v>0</v>
      </c>
      <c r="S105" s="917">
        <f>Q105*R105</f>
        <v>0</v>
      </c>
      <c r="T105" s="918"/>
      <c r="U105" s="353"/>
      <c r="V105" s="186"/>
      <c r="W105" s="5"/>
      <c r="X105" s="5"/>
      <c r="Y105" s="5"/>
      <c r="Z105" s="5"/>
      <c r="AA105" s="404" t="str">
        <f t="shared" si="10"/>
        <v/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144"/>
      <c r="AQ105" s="144"/>
      <c r="AR105" s="144"/>
      <c r="AS105" s="144"/>
      <c r="AT105" s="4"/>
    </row>
    <row r="106" spans="1:46" s="77" customFormat="1" ht="15" customHeight="1">
      <c r="A106" s="926" t="str">
        <f>Formular!V50</f>
        <v>Coamă dreaptă mare CDMA</v>
      </c>
      <c r="B106" s="922"/>
      <c r="C106" s="922"/>
      <c r="D106" s="922"/>
      <c r="E106" s="922"/>
      <c r="F106" s="184">
        <f t="shared" ref="F106:F118" si="19">F105</f>
        <v>0</v>
      </c>
      <c r="G106" s="926" t="str">
        <f t="shared" ref="G106:G118" si="20">G105</f>
        <v>ZINCAT</v>
      </c>
      <c r="H106" s="922"/>
      <c r="I106" s="922"/>
      <c r="J106" s="922"/>
      <c r="K106" s="922">
        <v>416</v>
      </c>
      <c r="L106" s="922"/>
      <c r="M106" s="922"/>
      <c r="N106" s="922">
        <v>2000</v>
      </c>
      <c r="O106" s="922"/>
      <c r="P106" s="923"/>
      <c r="Q106" s="178">
        <f>Formular!AD50</f>
        <v>0</v>
      </c>
      <c r="R106" s="350">
        <f>Info!C413</f>
        <v>0</v>
      </c>
      <c r="S106" s="917">
        <f t="shared" ref="S106:S118" si="21">Q106*R106</f>
        <v>0</v>
      </c>
      <c r="T106" s="918"/>
      <c r="U106" s="353"/>
      <c r="V106" s="186"/>
      <c r="W106" s="5"/>
      <c r="X106" s="5"/>
      <c r="Y106" s="5"/>
      <c r="Z106" s="5"/>
      <c r="AA106" s="404" t="str">
        <f t="shared" si="10"/>
        <v/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144"/>
      <c r="AQ106" s="144"/>
      <c r="AR106" s="144"/>
      <c r="AS106" s="144"/>
      <c r="AT106" s="4"/>
    </row>
    <row r="107" spans="1:46" s="77" customFormat="1" ht="15" customHeight="1">
      <c r="A107" s="926" t="str">
        <f>Formular!V51</f>
        <v>Coamă dreaptă mică CDMI</v>
      </c>
      <c r="B107" s="922"/>
      <c r="C107" s="922"/>
      <c r="D107" s="922"/>
      <c r="E107" s="922"/>
      <c r="F107" s="184">
        <f t="shared" si="19"/>
        <v>0</v>
      </c>
      <c r="G107" s="926" t="str">
        <f t="shared" si="20"/>
        <v>ZINCAT</v>
      </c>
      <c r="H107" s="922"/>
      <c r="I107" s="922"/>
      <c r="J107" s="922"/>
      <c r="K107" s="922">
        <v>312</v>
      </c>
      <c r="L107" s="922"/>
      <c r="M107" s="922"/>
      <c r="N107" s="922">
        <v>2000</v>
      </c>
      <c r="O107" s="922"/>
      <c r="P107" s="923"/>
      <c r="Q107" s="178">
        <f>Formular!AD51</f>
        <v>0</v>
      </c>
      <c r="R107" s="350">
        <f>Info!C414</f>
        <v>0</v>
      </c>
      <c r="S107" s="917">
        <f t="shared" si="21"/>
        <v>0</v>
      </c>
      <c r="T107" s="918"/>
      <c r="U107" s="353"/>
      <c r="V107" s="186"/>
      <c r="W107" s="5"/>
      <c r="X107" s="5"/>
      <c r="Y107" s="5"/>
      <c r="Z107" s="5"/>
      <c r="AA107" s="404" t="str">
        <f t="shared" si="10"/>
        <v/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144"/>
      <c r="AQ107" s="144"/>
      <c r="AR107" s="144"/>
      <c r="AS107" s="144"/>
      <c r="AT107" s="4"/>
    </row>
    <row r="108" spans="1:46" s="77" customFormat="1" ht="15" customHeight="1">
      <c r="A108" s="926" t="str">
        <f>Formular!V52</f>
        <v>Coamă rotundă mică CR</v>
      </c>
      <c r="B108" s="922"/>
      <c r="C108" s="922"/>
      <c r="D108" s="922"/>
      <c r="E108" s="922"/>
      <c r="F108" s="184">
        <f t="shared" si="19"/>
        <v>0</v>
      </c>
      <c r="G108" s="926" t="str">
        <f t="shared" si="20"/>
        <v>ZINCAT</v>
      </c>
      <c r="H108" s="922"/>
      <c r="I108" s="922"/>
      <c r="J108" s="922"/>
      <c r="K108" s="922">
        <v>312</v>
      </c>
      <c r="L108" s="922"/>
      <c r="M108" s="922"/>
      <c r="N108" s="922">
        <v>2000</v>
      </c>
      <c r="O108" s="922"/>
      <c r="P108" s="923"/>
      <c r="Q108" s="178">
        <f>Formular!AD52</f>
        <v>0</v>
      </c>
      <c r="R108" s="350">
        <f>Info!C415</f>
        <v>0</v>
      </c>
      <c r="S108" s="917">
        <f t="shared" si="21"/>
        <v>0</v>
      </c>
      <c r="T108" s="918"/>
      <c r="U108" s="353"/>
      <c r="V108" s="186"/>
      <c r="W108" s="5"/>
      <c r="X108" s="5"/>
      <c r="Y108" s="5"/>
      <c r="Z108" s="5"/>
      <c r="AA108" s="404" t="str">
        <f t="shared" si="10"/>
        <v/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144"/>
      <c r="AQ108" s="144"/>
      <c r="AR108" s="144"/>
      <c r="AS108" s="144"/>
      <c r="AT108" s="4"/>
    </row>
    <row r="109" spans="1:46" s="77" customFormat="1" ht="15" customHeight="1">
      <c r="A109" s="926" t="str">
        <f>Formular!V53</f>
        <v>Coamă rotundă mare CRMA</v>
      </c>
      <c r="B109" s="922"/>
      <c r="C109" s="922"/>
      <c r="D109" s="922"/>
      <c r="E109" s="922"/>
      <c r="F109" s="184">
        <f t="shared" si="19"/>
        <v>0</v>
      </c>
      <c r="G109" s="926" t="str">
        <f t="shared" si="20"/>
        <v>ZINCAT</v>
      </c>
      <c r="H109" s="922"/>
      <c r="I109" s="922"/>
      <c r="J109" s="922"/>
      <c r="K109" s="922">
        <v>416</v>
      </c>
      <c r="L109" s="922"/>
      <c r="M109" s="922"/>
      <c r="N109" s="922">
        <v>2000</v>
      </c>
      <c r="O109" s="922"/>
      <c r="P109" s="923"/>
      <c r="Q109" s="178">
        <f>Formular!AD53</f>
        <v>0</v>
      </c>
      <c r="R109" s="350">
        <f>Info!C416</f>
        <v>0</v>
      </c>
      <c r="S109" s="917">
        <f t="shared" si="21"/>
        <v>0</v>
      </c>
      <c r="T109" s="918"/>
      <c r="U109" s="353"/>
      <c r="V109" s="186"/>
      <c r="W109" s="5"/>
      <c r="X109" s="5"/>
      <c r="Y109" s="5"/>
      <c r="Z109" s="5"/>
      <c r="AA109" s="404" t="str">
        <f t="shared" si="10"/>
        <v/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144"/>
      <c r="AQ109" s="144"/>
      <c r="AR109" s="144"/>
      <c r="AS109" s="144"/>
      <c r="AT109" s="4"/>
    </row>
    <row r="110" spans="1:46" s="77" customFormat="1" ht="15" customHeight="1">
      <c r="A110" s="926" t="str">
        <f>Formular!V54</f>
        <v>Colector fronton CF</v>
      </c>
      <c r="B110" s="922"/>
      <c r="C110" s="922"/>
      <c r="D110" s="922"/>
      <c r="E110" s="922"/>
      <c r="F110" s="184">
        <f t="shared" si="19"/>
        <v>0</v>
      </c>
      <c r="G110" s="926" t="str">
        <f t="shared" si="20"/>
        <v>ZINCAT</v>
      </c>
      <c r="H110" s="922"/>
      <c r="I110" s="922"/>
      <c r="J110" s="922"/>
      <c r="K110" s="922">
        <v>155</v>
      </c>
      <c r="L110" s="922"/>
      <c r="M110" s="922"/>
      <c r="N110" s="922">
        <v>2000</v>
      </c>
      <c r="O110" s="922"/>
      <c r="P110" s="923"/>
      <c r="Q110" s="178">
        <f>Formular!AD54</f>
        <v>0</v>
      </c>
      <c r="R110" s="350">
        <f>Info!C417</f>
        <v>0</v>
      </c>
      <c r="S110" s="917">
        <f t="shared" si="21"/>
        <v>0</v>
      </c>
      <c r="T110" s="918"/>
      <c r="U110" s="353"/>
      <c r="V110" s="186"/>
      <c r="W110" s="5"/>
      <c r="X110" s="5"/>
      <c r="Y110" s="5"/>
      <c r="Z110" s="5"/>
      <c r="AA110" s="404" t="str">
        <f t="shared" si="10"/>
        <v/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144"/>
      <c r="AQ110" s="144"/>
      <c r="AR110" s="144"/>
      <c r="AS110" s="144"/>
      <c r="AT110" s="4"/>
    </row>
    <row r="111" spans="1:46" s="77" customFormat="1" ht="15" customHeight="1">
      <c r="A111" s="926" t="str">
        <f>Formular!V55</f>
        <v>Racord calcan</v>
      </c>
      <c r="B111" s="922"/>
      <c r="C111" s="922"/>
      <c r="D111" s="922"/>
      <c r="E111" s="922"/>
      <c r="F111" s="184">
        <f t="shared" si="19"/>
        <v>0</v>
      </c>
      <c r="G111" s="926" t="str">
        <f t="shared" si="20"/>
        <v>ZINCAT</v>
      </c>
      <c r="H111" s="922"/>
      <c r="I111" s="922"/>
      <c r="J111" s="922"/>
      <c r="K111" s="922">
        <v>208</v>
      </c>
      <c r="L111" s="922"/>
      <c r="M111" s="922"/>
      <c r="N111" s="922">
        <v>2000</v>
      </c>
      <c r="O111" s="922"/>
      <c r="P111" s="923"/>
      <c r="Q111" s="178">
        <f>Formular!AD55</f>
        <v>0</v>
      </c>
      <c r="R111" s="350">
        <f>Info!C418</f>
        <v>0</v>
      </c>
      <c r="S111" s="917">
        <f t="shared" si="21"/>
        <v>0</v>
      </c>
      <c r="T111" s="918"/>
      <c r="U111" s="353"/>
      <c r="V111" s="186"/>
      <c r="W111" s="5"/>
      <c r="X111" s="5"/>
      <c r="Y111" s="5"/>
      <c r="Z111" s="5"/>
      <c r="AA111" s="404" t="str">
        <f t="shared" si="10"/>
        <v/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144"/>
      <c r="AQ111" s="144"/>
      <c r="AR111" s="144"/>
      <c r="AS111" s="144"/>
      <c r="AT111" s="4"/>
    </row>
    <row r="112" spans="1:46" s="77" customFormat="1" ht="15" customHeight="1">
      <c r="A112" s="926" t="str">
        <f>Formular!V56</f>
        <v>Dolie DO</v>
      </c>
      <c r="B112" s="922"/>
      <c r="C112" s="922"/>
      <c r="D112" s="922"/>
      <c r="E112" s="922"/>
      <c r="F112" s="184">
        <f t="shared" si="19"/>
        <v>0</v>
      </c>
      <c r="G112" s="926" t="str">
        <f t="shared" si="20"/>
        <v>ZINCAT</v>
      </c>
      <c r="H112" s="922"/>
      <c r="I112" s="922"/>
      <c r="J112" s="922"/>
      <c r="K112" s="922">
        <v>416</v>
      </c>
      <c r="L112" s="922"/>
      <c r="M112" s="922"/>
      <c r="N112" s="922">
        <v>2000</v>
      </c>
      <c r="O112" s="922"/>
      <c r="P112" s="923"/>
      <c r="Q112" s="178">
        <f>Formular!AD56</f>
        <v>0</v>
      </c>
      <c r="R112" s="350">
        <f>Info!C419</f>
        <v>0</v>
      </c>
      <c r="S112" s="917">
        <f t="shared" si="21"/>
        <v>0</v>
      </c>
      <c r="T112" s="918"/>
      <c r="U112" s="353"/>
      <c r="V112" s="186"/>
      <c r="W112" s="5"/>
      <c r="X112" s="5"/>
      <c r="Y112" s="5"/>
      <c r="Z112" s="5"/>
      <c r="AA112" s="404" t="str">
        <f t="shared" si="10"/>
        <v/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144"/>
      <c r="AQ112" s="144"/>
      <c r="AR112" s="144"/>
      <c r="AS112" s="144"/>
      <c r="AT112" s="4"/>
    </row>
    <row r="113" spans="1:46" s="77" customFormat="1" ht="15" customHeight="1">
      <c r="A113" s="926" t="str">
        <f>Formular!V57</f>
        <v>Pazie tip 1 PAZ 1</v>
      </c>
      <c r="B113" s="922"/>
      <c r="C113" s="922"/>
      <c r="D113" s="922"/>
      <c r="E113" s="922"/>
      <c r="F113" s="184">
        <f t="shared" si="19"/>
        <v>0</v>
      </c>
      <c r="G113" s="926" t="str">
        <f t="shared" si="20"/>
        <v>ZINCAT</v>
      </c>
      <c r="H113" s="922"/>
      <c r="I113" s="922"/>
      <c r="J113" s="922"/>
      <c r="K113" s="922">
        <v>312</v>
      </c>
      <c r="L113" s="922"/>
      <c r="M113" s="922"/>
      <c r="N113" s="922">
        <v>2000</v>
      </c>
      <c r="O113" s="922"/>
      <c r="P113" s="923"/>
      <c r="Q113" s="178">
        <f>Formular!AD57</f>
        <v>0</v>
      </c>
      <c r="R113" s="350">
        <f>Info!C420</f>
        <v>0</v>
      </c>
      <c r="S113" s="917">
        <f t="shared" si="21"/>
        <v>0</v>
      </c>
      <c r="T113" s="918"/>
      <c r="U113" s="353"/>
      <c r="V113" s="186"/>
      <c r="W113" s="5"/>
      <c r="X113" s="5"/>
      <c r="Y113" s="5"/>
      <c r="Z113" s="5"/>
      <c r="AA113" s="404" t="str">
        <f t="shared" si="10"/>
        <v/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144"/>
      <c r="AQ113" s="144"/>
      <c r="AR113" s="144"/>
      <c r="AS113" s="144"/>
      <c r="AT113" s="4"/>
    </row>
    <row r="114" spans="1:46" s="77" customFormat="1" ht="15" customHeight="1">
      <c r="A114" s="926" t="str">
        <f>Formular!V58</f>
        <v>Pazie streașină PAZS</v>
      </c>
      <c r="B114" s="922"/>
      <c r="C114" s="922"/>
      <c r="D114" s="922"/>
      <c r="E114" s="922"/>
      <c r="F114" s="184">
        <f t="shared" si="19"/>
        <v>0</v>
      </c>
      <c r="G114" s="926" t="str">
        <f t="shared" si="20"/>
        <v>ZINCAT</v>
      </c>
      <c r="H114" s="922"/>
      <c r="I114" s="922"/>
      <c r="J114" s="922"/>
      <c r="K114" s="922">
        <v>156</v>
      </c>
      <c r="L114" s="922"/>
      <c r="M114" s="922"/>
      <c r="N114" s="922">
        <v>2000</v>
      </c>
      <c r="O114" s="922"/>
      <c r="P114" s="923"/>
      <c r="Q114" s="178">
        <f>Formular!AD58</f>
        <v>0</v>
      </c>
      <c r="R114" s="350">
        <f>Info!C421</f>
        <v>0</v>
      </c>
      <c r="S114" s="917">
        <f t="shared" si="21"/>
        <v>0</v>
      </c>
      <c r="T114" s="918"/>
      <c r="U114" s="353"/>
      <c r="V114" s="186"/>
      <c r="W114" s="5"/>
      <c r="X114" s="5"/>
      <c r="Y114" s="5"/>
      <c r="Z114" s="5"/>
      <c r="AA114" s="404" t="str">
        <f t="shared" si="10"/>
        <v/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144"/>
      <c r="AQ114" s="144"/>
      <c r="AR114" s="144"/>
      <c r="AS114" s="144"/>
      <c r="AT114" s="4"/>
    </row>
    <row r="115" spans="1:46" s="77" customFormat="1" ht="15" customHeight="1">
      <c r="A115" s="926" t="str">
        <f>Formular!V59</f>
        <v>Parazăpadă ranforsată PRZS</v>
      </c>
      <c r="B115" s="922"/>
      <c r="C115" s="922"/>
      <c r="D115" s="922"/>
      <c r="E115" s="922"/>
      <c r="F115" s="184">
        <f t="shared" si="19"/>
        <v>0</v>
      </c>
      <c r="G115" s="926" t="str">
        <f t="shared" si="20"/>
        <v>ZINCAT</v>
      </c>
      <c r="H115" s="922"/>
      <c r="I115" s="922"/>
      <c r="J115" s="922"/>
      <c r="K115" s="922">
        <v>250</v>
      </c>
      <c r="L115" s="922"/>
      <c r="M115" s="922"/>
      <c r="N115" s="922">
        <v>2000</v>
      </c>
      <c r="O115" s="922"/>
      <c r="P115" s="923"/>
      <c r="Q115" s="178">
        <f>Formular!AD59</f>
        <v>0</v>
      </c>
      <c r="R115" s="350">
        <f>Info!C422</f>
        <v>0</v>
      </c>
      <c r="S115" s="917">
        <f t="shared" si="21"/>
        <v>0</v>
      </c>
      <c r="T115" s="918"/>
      <c r="U115" s="353"/>
      <c r="V115" s="186"/>
      <c r="W115" s="5"/>
      <c r="X115" s="5"/>
      <c r="Y115" s="5"/>
      <c r="Z115" s="5"/>
      <c r="AA115" s="404" t="str">
        <f t="shared" si="10"/>
        <v/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144"/>
      <c r="AQ115" s="144"/>
      <c r="AR115" s="144"/>
      <c r="AS115" s="144"/>
      <c r="AT115" s="4"/>
    </row>
    <row r="116" spans="1:46" s="77" customFormat="1" ht="15" customHeight="1">
      <c r="A116" s="926" t="str">
        <f>Formular!V60</f>
        <v>Rupere pantă interior</v>
      </c>
      <c r="B116" s="922"/>
      <c r="C116" s="922"/>
      <c r="D116" s="922"/>
      <c r="E116" s="922"/>
      <c r="F116" s="184">
        <f t="shared" si="19"/>
        <v>0</v>
      </c>
      <c r="G116" s="926" t="str">
        <f t="shared" si="20"/>
        <v>ZINCAT</v>
      </c>
      <c r="H116" s="922"/>
      <c r="I116" s="922"/>
      <c r="J116" s="922"/>
      <c r="K116" s="922">
        <v>250</v>
      </c>
      <c r="L116" s="922"/>
      <c r="M116" s="922"/>
      <c r="N116" s="922">
        <v>2000</v>
      </c>
      <c r="O116" s="922"/>
      <c r="P116" s="923"/>
      <c r="Q116" s="178">
        <f>Formular!AD60</f>
        <v>0</v>
      </c>
      <c r="R116" s="350">
        <f>Info!C423</f>
        <v>0</v>
      </c>
      <c r="S116" s="917">
        <f t="shared" si="21"/>
        <v>0</v>
      </c>
      <c r="T116" s="918"/>
      <c r="U116" s="353"/>
      <c r="V116" s="186"/>
      <c r="W116" s="5"/>
      <c r="X116" s="5"/>
      <c r="Y116" s="5"/>
      <c r="Z116" s="5"/>
      <c r="AA116" s="404" t="str">
        <f t="shared" si="10"/>
        <v/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144"/>
      <c r="AQ116" s="144"/>
      <c r="AR116" s="144"/>
      <c r="AS116" s="144"/>
      <c r="AT116" s="4"/>
    </row>
    <row r="117" spans="1:46" s="77" customFormat="1" ht="15" customHeight="1">
      <c r="A117" s="926" t="str">
        <f>Formular!V61</f>
        <v>Șort rupere perete vertical SRV</v>
      </c>
      <c r="B117" s="922"/>
      <c r="C117" s="922"/>
      <c r="D117" s="922"/>
      <c r="E117" s="922"/>
      <c r="F117" s="184">
        <f t="shared" si="19"/>
        <v>0</v>
      </c>
      <c r="G117" s="926" t="str">
        <f t="shared" si="20"/>
        <v>ZINCAT</v>
      </c>
      <c r="H117" s="922"/>
      <c r="I117" s="922"/>
      <c r="J117" s="922"/>
      <c r="K117" s="922">
        <v>250</v>
      </c>
      <c r="L117" s="922"/>
      <c r="M117" s="922"/>
      <c r="N117" s="922">
        <v>2000</v>
      </c>
      <c r="O117" s="922"/>
      <c r="P117" s="923"/>
      <c r="Q117" s="178">
        <f>Formular!AD61</f>
        <v>0</v>
      </c>
      <c r="R117" s="350">
        <f>Info!C424</f>
        <v>0</v>
      </c>
      <c r="S117" s="917">
        <f t="shared" si="21"/>
        <v>0</v>
      </c>
      <c r="T117" s="918"/>
      <c r="U117" s="353"/>
      <c r="V117" s="186"/>
      <c r="W117" s="5"/>
      <c r="X117" s="5"/>
      <c r="Y117" s="5"/>
      <c r="Z117" s="5"/>
      <c r="AA117" s="404" t="str">
        <f t="shared" si="10"/>
        <v/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144"/>
      <c r="AQ117" s="144"/>
      <c r="AR117" s="144"/>
      <c r="AS117" s="144"/>
      <c r="AT117" s="4"/>
    </row>
    <row r="118" spans="1:46" s="77" customFormat="1" ht="15" customHeight="1">
      <c r="A118" s="926" t="str">
        <f>Formular!V62</f>
        <v>Șort streașină SO</v>
      </c>
      <c r="B118" s="922"/>
      <c r="C118" s="922"/>
      <c r="D118" s="922"/>
      <c r="E118" s="922"/>
      <c r="F118" s="184">
        <f t="shared" si="19"/>
        <v>0</v>
      </c>
      <c r="G118" s="926" t="str">
        <f t="shared" si="20"/>
        <v>ZINCAT</v>
      </c>
      <c r="H118" s="922"/>
      <c r="I118" s="922"/>
      <c r="J118" s="922"/>
      <c r="K118" s="922">
        <v>178</v>
      </c>
      <c r="L118" s="922"/>
      <c r="M118" s="922"/>
      <c r="N118" s="922">
        <v>2000</v>
      </c>
      <c r="O118" s="922"/>
      <c r="P118" s="923"/>
      <c r="Q118" s="178">
        <f>Formular!AD62</f>
        <v>0</v>
      </c>
      <c r="R118" s="350">
        <f>Info!C425</f>
        <v>0</v>
      </c>
      <c r="S118" s="917">
        <f t="shared" si="21"/>
        <v>0</v>
      </c>
      <c r="T118" s="918"/>
      <c r="U118" s="353"/>
      <c r="V118" s="186"/>
      <c r="W118" s="5"/>
      <c r="X118" s="5"/>
      <c r="Y118" s="5"/>
      <c r="Z118" s="5"/>
      <c r="AA118" s="404" t="str">
        <f t="shared" si="10"/>
        <v/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144"/>
      <c r="AQ118" s="144"/>
      <c r="AR118" s="144"/>
      <c r="AS118" s="144"/>
      <c r="AT118" s="4"/>
    </row>
    <row r="119" spans="1:46" s="77" customFormat="1" ht="15" customHeight="1">
      <c r="A119" s="929" t="str">
        <f>Lang!A407&amp;SELNEW!A67</f>
        <v xml:space="preserve">SISTEM PLUVIAL   </v>
      </c>
      <c r="B119" s="930"/>
      <c r="C119" s="930"/>
      <c r="D119" s="930"/>
      <c r="E119" s="930"/>
      <c r="F119" s="930"/>
      <c r="G119" s="930"/>
      <c r="H119" s="930"/>
      <c r="I119" s="930"/>
      <c r="J119" s="930"/>
      <c r="K119" s="930"/>
      <c r="L119" s="930"/>
      <c r="M119" s="930"/>
      <c r="N119" s="930"/>
      <c r="O119" s="930"/>
      <c r="P119" s="931"/>
      <c r="Q119" s="270">
        <f>IF(W121&gt;0,1,0)</f>
        <v>0</v>
      </c>
      <c r="R119" s="267"/>
      <c r="S119" s="268"/>
      <c r="T119" s="269"/>
      <c r="U119" s="365"/>
      <c r="V119" s="5"/>
      <c r="W119" s="5"/>
      <c r="X119" s="5"/>
      <c r="Y119" s="5"/>
      <c r="Z119" s="5"/>
      <c r="AA119" s="5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144"/>
      <c r="AQ119" s="144"/>
      <c r="AR119" s="144"/>
      <c r="AS119" s="144"/>
      <c r="AT119" s="4"/>
    </row>
    <row r="120" spans="1:46" s="77" customFormat="1" ht="15" customHeight="1">
      <c r="A120" s="932" t="str">
        <f>Lang!A403&amp;X121&amp;Lang!A404</f>
        <v xml:space="preserve">Valoare 0 euro fara tva </v>
      </c>
      <c r="B120" s="933"/>
      <c r="C120" s="933"/>
      <c r="D120" s="933"/>
      <c r="E120" s="933"/>
      <c r="F120" s="933"/>
      <c r="G120" s="933"/>
      <c r="H120" s="933"/>
      <c r="I120" s="933"/>
      <c r="J120" s="933"/>
      <c r="K120" s="933"/>
      <c r="L120" s="933"/>
      <c r="M120" s="933"/>
      <c r="N120" s="933"/>
      <c r="O120" s="933"/>
      <c r="P120" s="934"/>
      <c r="Q120" s="271">
        <f>Q119</f>
        <v>0</v>
      </c>
      <c r="R120" s="264"/>
      <c r="S120" s="265"/>
      <c r="T120" s="266"/>
      <c r="U120" s="366"/>
      <c r="V120" s="5"/>
      <c r="W120" s="5"/>
      <c r="X120" s="5"/>
      <c r="Y120" s="5"/>
      <c r="Z120" s="5"/>
      <c r="AA120" s="5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144"/>
      <c r="AQ120" s="144"/>
      <c r="AR120" s="144"/>
      <c r="AS120" s="144"/>
      <c r="AT120" s="4"/>
    </row>
    <row r="121" spans="1:46" s="1" customFormat="1" ht="15" customHeight="1">
      <c r="A121" s="919" t="str">
        <f>Formular!V12</f>
        <v xml:space="preserve"> </v>
      </c>
      <c r="B121" s="920"/>
      <c r="C121" s="920"/>
      <c r="D121" s="920"/>
      <c r="E121" s="920"/>
      <c r="F121" s="920"/>
      <c r="G121" s="920"/>
      <c r="H121" s="920"/>
      <c r="I121" s="920"/>
      <c r="J121" s="920"/>
      <c r="K121" s="920"/>
      <c r="L121" s="920"/>
      <c r="M121" s="920"/>
      <c r="N121" s="920"/>
      <c r="O121" s="920"/>
      <c r="P121" s="921"/>
      <c r="Q121" s="10">
        <f>Formular!AD12</f>
        <v>0</v>
      </c>
      <c r="R121" s="11">
        <f>SELNEW!L82</f>
        <v>0</v>
      </c>
      <c r="S121" s="917">
        <f t="shared" ref="S121:S144" si="22">Q121*R121</f>
        <v>0</v>
      </c>
      <c r="T121" s="918"/>
      <c r="U121" s="353"/>
      <c r="V121" s="186"/>
      <c r="W121" s="5">
        <f>SUM(Q121:Q144)</f>
        <v>0</v>
      </c>
      <c r="X121" s="186">
        <f>SUM(S121:T144)</f>
        <v>0</v>
      </c>
      <c r="Y121" s="5"/>
      <c r="Z121" s="5"/>
      <c r="AA121" s="404" t="str">
        <f t="shared" si="10"/>
        <v/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144"/>
      <c r="AQ121" s="144"/>
      <c r="AR121" s="144"/>
      <c r="AS121" s="144"/>
      <c r="AT121" s="4"/>
    </row>
    <row r="122" spans="1:46" s="1" customFormat="1" ht="15" customHeight="1">
      <c r="A122" s="919" t="str">
        <f>Formular!V13</f>
        <v xml:space="preserve"> </v>
      </c>
      <c r="B122" s="920"/>
      <c r="C122" s="920"/>
      <c r="D122" s="920"/>
      <c r="E122" s="920"/>
      <c r="F122" s="920"/>
      <c r="G122" s="920"/>
      <c r="H122" s="920"/>
      <c r="I122" s="920"/>
      <c r="J122" s="920"/>
      <c r="K122" s="920"/>
      <c r="L122" s="920"/>
      <c r="M122" s="920"/>
      <c r="N122" s="920"/>
      <c r="O122" s="920"/>
      <c r="P122" s="921"/>
      <c r="Q122" s="125">
        <f>Formular!AD13</f>
        <v>0</v>
      </c>
      <c r="R122" s="350">
        <f>SELNEW!L83</f>
        <v>0</v>
      </c>
      <c r="S122" s="917">
        <f t="shared" si="22"/>
        <v>0</v>
      </c>
      <c r="T122" s="918"/>
      <c r="U122" s="353"/>
      <c r="V122" s="186"/>
      <c r="W122" s="5"/>
      <c r="X122" s="5"/>
      <c r="Y122" s="5"/>
      <c r="Z122" s="5"/>
      <c r="AA122" s="404" t="str">
        <f t="shared" si="10"/>
        <v/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144"/>
      <c r="AQ122" s="144"/>
      <c r="AR122" s="144"/>
      <c r="AS122" s="144"/>
      <c r="AT122" s="4"/>
    </row>
    <row r="123" spans="1:46" s="1" customFormat="1" ht="15" customHeight="1">
      <c r="A123" s="919" t="str">
        <f>Formular!V14</f>
        <v xml:space="preserve"> </v>
      </c>
      <c r="B123" s="920"/>
      <c r="C123" s="920"/>
      <c r="D123" s="920"/>
      <c r="E123" s="920"/>
      <c r="F123" s="920"/>
      <c r="G123" s="920"/>
      <c r="H123" s="920"/>
      <c r="I123" s="920"/>
      <c r="J123" s="920"/>
      <c r="K123" s="920"/>
      <c r="L123" s="920"/>
      <c r="M123" s="920"/>
      <c r="N123" s="920"/>
      <c r="O123" s="920"/>
      <c r="P123" s="921"/>
      <c r="Q123" s="125">
        <f>Formular!AD14</f>
        <v>0</v>
      </c>
      <c r="R123" s="350">
        <f>SELNEW!L84</f>
        <v>0</v>
      </c>
      <c r="S123" s="917">
        <f t="shared" si="22"/>
        <v>0</v>
      </c>
      <c r="T123" s="918"/>
      <c r="U123" s="353"/>
      <c r="V123" s="186"/>
      <c r="W123" s="5"/>
      <c r="X123" s="5"/>
      <c r="Y123" s="5"/>
      <c r="Z123" s="5"/>
      <c r="AA123" s="404" t="str">
        <f t="shared" si="10"/>
        <v/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144"/>
      <c r="AQ123" s="144"/>
      <c r="AR123" s="144"/>
      <c r="AS123" s="144"/>
      <c r="AT123" s="4"/>
    </row>
    <row r="124" spans="1:46" s="1" customFormat="1" ht="15" customHeight="1">
      <c r="A124" s="919" t="str">
        <f>Formular!V15</f>
        <v xml:space="preserve"> </v>
      </c>
      <c r="B124" s="920"/>
      <c r="C124" s="920"/>
      <c r="D124" s="920"/>
      <c r="E124" s="920"/>
      <c r="F124" s="920"/>
      <c r="G124" s="920"/>
      <c r="H124" s="920"/>
      <c r="I124" s="920"/>
      <c r="J124" s="920"/>
      <c r="K124" s="920"/>
      <c r="L124" s="920"/>
      <c r="M124" s="920"/>
      <c r="N124" s="920"/>
      <c r="O124" s="920"/>
      <c r="P124" s="921"/>
      <c r="Q124" s="125">
        <f>Formular!AD15</f>
        <v>0</v>
      </c>
      <c r="R124" s="350">
        <f>SELNEW!L85</f>
        <v>0</v>
      </c>
      <c r="S124" s="917">
        <f t="shared" si="22"/>
        <v>0</v>
      </c>
      <c r="T124" s="918"/>
      <c r="U124" s="353"/>
      <c r="V124" s="186"/>
      <c r="W124" s="5"/>
      <c r="X124" s="5"/>
      <c r="Y124" s="5"/>
      <c r="Z124" s="5"/>
      <c r="AA124" s="404" t="str">
        <f t="shared" si="10"/>
        <v/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144"/>
      <c r="AQ124" s="144"/>
      <c r="AR124" s="144"/>
      <c r="AS124" s="144"/>
      <c r="AT124" s="4"/>
    </row>
    <row r="125" spans="1:46" s="1" customFormat="1" ht="15" customHeight="1">
      <c r="A125" s="919" t="str">
        <f>Formular!V16</f>
        <v xml:space="preserve"> </v>
      </c>
      <c r="B125" s="920"/>
      <c r="C125" s="920"/>
      <c r="D125" s="920"/>
      <c r="E125" s="920"/>
      <c r="F125" s="920"/>
      <c r="G125" s="920"/>
      <c r="H125" s="920"/>
      <c r="I125" s="920"/>
      <c r="J125" s="920"/>
      <c r="K125" s="920"/>
      <c r="L125" s="920"/>
      <c r="M125" s="920"/>
      <c r="N125" s="920"/>
      <c r="O125" s="920"/>
      <c r="P125" s="921"/>
      <c r="Q125" s="125">
        <f>Formular!AD16</f>
        <v>0</v>
      </c>
      <c r="R125" s="350">
        <f>SELNEW!L86</f>
        <v>0</v>
      </c>
      <c r="S125" s="917">
        <f t="shared" si="22"/>
        <v>0</v>
      </c>
      <c r="T125" s="918"/>
      <c r="U125" s="353"/>
      <c r="V125" s="186"/>
      <c r="W125" s="5"/>
      <c r="X125" s="5"/>
      <c r="Y125" s="5"/>
      <c r="Z125" s="5"/>
      <c r="AA125" s="404" t="str">
        <f t="shared" si="10"/>
        <v/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144"/>
      <c r="AQ125" s="144"/>
      <c r="AR125" s="144"/>
      <c r="AS125" s="144"/>
      <c r="AT125" s="4"/>
    </row>
    <row r="126" spans="1:46" s="1" customFormat="1" ht="15" customHeight="1">
      <c r="A126" s="919" t="str">
        <f>Formular!V17</f>
        <v xml:space="preserve"> </v>
      </c>
      <c r="B126" s="920"/>
      <c r="C126" s="920"/>
      <c r="D126" s="920"/>
      <c r="E126" s="920"/>
      <c r="F126" s="920"/>
      <c r="G126" s="920"/>
      <c r="H126" s="920"/>
      <c r="I126" s="920"/>
      <c r="J126" s="920"/>
      <c r="K126" s="920"/>
      <c r="L126" s="920"/>
      <c r="M126" s="920"/>
      <c r="N126" s="920"/>
      <c r="O126" s="920"/>
      <c r="P126" s="921"/>
      <c r="Q126" s="125">
        <f>Formular!AD17</f>
        <v>0</v>
      </c>
      <c r="R126" s="350">
        <f>SELNEW!L87</f>
        <v>0</v>
      </c>
      <c r="S126" s="917">
        <f t="shared" si="22"/>
        <v>0</v>
      </c>
      <c r="T126" s="918"/>
      <c r="U126" s="353"/>
      <c r="V126" s="186"/>
      <c r="W126" s="5"/>
      <c r="X126" s="5"/>
      <c r="Y126" s="5"/>
      <c r="Z126" s="5"/>
      <c r="AA126" s="404" t="str">
        <f t="shared" si="10"/>
        <v/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144"/>
      <c r="AQ126" s="144"/>
      <c r="AR126" s="144"/>
      <c r="AS126" s="144"/>
      <c r="AT126" s="4"/>
    </row>
    <row r="127" spans="1:46" s="1" customFormat="1" ht="15" customHeight="1">
      <c r="A127" s="919" t="str">
        <f>Formular!V18</f>
        <v xml:space="preserve"> </v>
      </c>
      <c r="B127" s="920"/>
      <c r="C127" s="920"/>
      <c r="D127" s="920"/>
      <c r="E127" s="920"/>
      <c r="F127" s="920"/>
      <c r="G127" s="920"/>
      <c r="H127" s="920"/>
      <c r="I127" s="920"/>
      <c r="J127" s="920"/>
      <c r="K127" s="920"/>
      <c r="L127" s="920"/>
      <c r="M127" s="920"/>
      <c r="N127" s="920"/>
      <c r="O127" s="920"/>
      <c r="P127" s="921"/>
      <c r="Q127" s="125">
        <f>Formular!AD18</f>
        <v>0</v>
      </c>
      <c r="R127" s="350">
        <f>SELNEW!L88</f>
        <v>0</v>
      </c>
      <c r="S127" s="917">
        <f t="shared" si="22"/>
        <v>0</v>
      </c>
      <c r="T127" s="918"/>
      <c r="U127" s="353"/>
      <c r="V127" s="186"/>
      <c r="W127" s="5"/>
      <c r="X127" s="5"/>
      <c r="Y127" s="5"/>
      <c r="Z127" s="5"/>
      <c r="AA127" s="404" t="str">
        <f t="shared" si="10"/>
        <v/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144"/>
      <c r="AQ127" s="144"/>
      <c r="AR127" s="144"/>
      <c r="AS127" s="144"/>
      <c r="AT127" s="4"/>
    </row>
    <row r="128" spans="1:46" s="1" customFormat="1" ht="15" customHeight="1">
      <c r="A128" s="919" t="str">
        <f>Formular!V19</f>
        <v xml:space="preserve"> </v>
      </c>
      <c r="B128" s="920"/>
      <c r="C128" s="920"/>
      <c r="D128" s="920"/>
      <c r="E128" s="920"/>
      <c r="F128" s="920"/>
      <c r="G128" s="920"/>
      <c r="H128" s="920"/>
      <c r="I128" s="920"/>
      <c r="J128" s="920"/>
      <c r="K128" s="920"/>
      <c r="L128" s="920"/>
      <c r="M128" s="920"/>
      <c r="N128" s="920"/>
      <c r="O128" s="920"/>
      <c r="P128" s="921"/>
      <c r="Q128" s="125">
        <f>Formular!AD19</f>
        <v>0</v>
      </c>
      <c r="R128" s="350">
        <f>SELNEW!L89</f>
        <v>0</v>
      </c>
      <c r="S128" s="917">
        <f t="shared" si="22"/>
        <v>0</v>
      </c>
      <c r="T128" s="918"/>
      <c r="U128" s="353"/>
      <c r="V128" s="186"/>
      <c r="W128" s="5"/>
      <c r="X128" s="5"/>
      <c r="Y128" s="5"/>
      <c r="Z128" s="5"/>
      <c r="AA128" s="404" t="str">
        <f t="shared" si="10"/>
        <v/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144"/>
      <c r="AQ128" s="144"/>
      <c r="AR128" s="144"/>
      <c r="AS128" s="144"/>
      <c r="AT128" s="4"/>
    </row>
    <row r="129" spans="1:46" s="1" customFormat="1" ht="15" customHeight="1">
      <c r="A129" s="919" t="str">
        <f>Formular!V20</f>
        <v xml:space="preserve"> </v>
      </c>
      <c r="B129" s="920"/>
      <c r="C129" s="920"/>
      <c r="D129" s="920"/>
      <c r="E129" s="920"/>
      <c r="F129" s="920"/>
      <c r="G129" s="920"/>
      <c r="H129" s="920"/>
      <c r="I129" s="920"/>
      <c r="J129" s="920"/>
      <c r="K129" s="920"/>
      <c r="L129" s="920"/>
      <c r="M129" s="920"/>
      <c r="N129" s="920"/>
      <c r="O129" s="920"/>
      <c r="P129" s="921"/>
      <c r="Q129" s="125">
        <f>Formular!AD20</f>
        <v>0</v>
      </c>
      <c r="R129" s="350">
        <f>SELNEW!L90</f>
        <v>0</v>
      </c>
      <c r="S129" s="917">
        <f t="shared" si="22"/>
        <v>0</v>
      </c>
      <c r="T129" s="918"/>
      <c r="U129" s="353"/>
      <c r="V129" s="186"/>
      <c r="W129" s="5"/>
      <c r="X129" s="5"/>
      <c r="Y129" s="5"/>
      <c r="Z129" s="5"/>
      <c r="AA129" s="404" t="str">
        <f t="shared" si="10"/>
        <v/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144"/>
      <c r="AQ129" s="144"/>
      <c r="AR129" s="144"/>
      <c r="AS129" s="144"/>
      <c r="AT129" s="4"/>
    </row>
    <row r="130" spans="1:46" s="1" customFormat="1" ht="15" customHeight="1">
      <c r="A130" s="919" t="str">
        <f>Formular!V21</f>
        <v xml:space="preserve"> </v>
      </c>
      <c r="B130" s="920"/>
      <c r="C130" s="920"/>
      <c r="D130" s="920"/>
      <c r="E130" s="920"/>
      <c r="F130" s="920"/>
      <c r="G130" s="920"/>
      <c r="H130" s="920"/>
      <c r="I130" s="920"/>
      <c r="J130" s="920"/>
      <c r="K130" s="920"/>
      <c r="L130" s="920"/>
      <c r="M130" s="920"/>
      <c r="N130" s="920"/>
      <c r="O130" s="920"/>
      <c r="P130" s="921"/>
      <c r="Q130" s="125">
        <f>Formular!AD21</f>
        <v>0</v>
      </c>
      <c r="R130" s="350">
        <f>SELNEW!L91</f>
        <v>0</v>
      </c>
      <c r="S130" s="917">
        <f t="shared" si="22"/>
        <v>0</v>
      </c>
      <c r="T130" s="918"/>
      <c r="U130" s="353"/>
      <c r="V130" s="186"/>
      <c r="W130" s="5"/>
      <c r="X130" s="5"/>
      <c r="Y130" s="5"/>
      <c r="Z130" s="5"/>
      <c r="AA130" s="404" t="str">
        <f t="shared" si="10"/>
        <v/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144"/>
      <c r="AQ130" s="144"/>
      <c r="AR130" s="144"/>
      <c r="AS130" s="144"/>
      <c r="AT130" s="4"/>
    </row>
    <row r="131" spans="1:46" s="1" customFormat="1" ht="15" customHeight="1">
      <c r="A131" s="919" t="str">
        <f>Formular!V22</f>
        <v xml:space="preserve"> </v>
      </c>
      <c r="B131" s="920"/>
      <c r="C131" s="920"/>
      <c r="D131" s="920"/>
      <c r="E131" s="920"/>
      <c r="F131" s="920"/>
      <c r="G131" s="920"/>
      <c r="H131" s="920"/>
      <c r="I131" s="920"/>
      <c r="J131" s="920"/>
      <c r="K131" s="920"/>
      <c r="L131" s="920"/>
      <c r="M131" s="920"/>
      <c r="N131" s="920"/>
      <c r="O131" s="920"/>
      <c r="P131" s="921"/>
      <c r="Q131" s="125">
        <f>Formular!AD22</f>
        <v>0</v>
      </c>
      <c r="R131" s="350">
        <f>SELNEW!L92</f>
        <v>0</v>
      </c>
      <c r="S131" s="917">
        <f t="shared" si="22"/>
        <v>0</v>
      </c>
      <c r="T131" s="918"/>
      <c r="U131" s="353"/>
      <c r="V131" s="186"/>
      <c r="W131" s="5"/>
      <c r="X131" s="5"/>
      <c r="Y131" s="5"/>
      <c r="Z131" s="5"/>
      <c r="AA131" s="404" t="str">
        <f t="shared" ref="AA131:AA185" si="23">IF(Q131&gt;0,A131&amp;", ","")</f>
        <v/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144"/>
      <c r="AQ131" s="144"/>
      <c r="AR131" s="144"/>
      <c r="AS131" s="144"/>
      <c r="AT131" s="4"/>
    </row>
    <row r="132" spans="1:46" s="1" customFormat="1" ht="15" customHeight="1">
      <c r="A132" s="919" t="str">
        <f>Formular!V23</f>
        <v xml:space="preserve"> </v>
      </c>
      <c r="B132" s="920"/>
      <c r="C132" s="920"/>
      <c r="D132" s="920"/>
      <c r="E132" s="920"/>
      <c r="F132" s="920"/>
      <c r="G132" s="920"/>
      <c r="H132" s="920"/>
      <c r="I132" s="920"/>
      <c r="J132" s="920"/>
      <c r="K132" s="920"/>
      <c r="L132" s="920"/>
      <c r="M132" s="920"/>
      <c r="N132" s="920"/>
      <c r="O132" s="920"/>
      <c r="P132" s="921"/>
      <c r="Q132" s="125">
        <f>Formular!AD23</f>
        <v>0</v>
      </c>
      <c r="R132" s="350">
        <f>SELNEW!L93</f>
        <v>0</v>
      </c>
      <c r="S132" s="917">
        <f t="shared" si="22"/>
        <v>0</v>
      </c>
      <c r="T132" s="918"/>
      <c r="U132" s="353"/>
      <c r="V132" s="186"/>
      <c r="W132" s="5"/>
      <c r="X132" s="5"/>
      <c r="Y132" s="5"/>
      <c r="Z132" s="5"/>
      <c r="AA132" s="404" t="str">
        <f t="shared" si="23"/>
        <v/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144"/>
      <c r="AQ132" s="144"/>
      <c r="AR132" s="144"/>
      <c r="AS132" s="144"/>
      <c r="AT132" s="4"/>
    </row>
    <row r="133" spans="1:46" s="1" customFormat="1" ht="15" customHeight="1">
      <c r="A133" s="919" t="str">
        <f>Formular!V24</f>
        <v xml:space="preserve"> </v>
      </c>
      <c r="B133" s="920"/>
      <c r="C133" s="920"/>
      <c r="D133" s="920"/>
      <c r="E133" s="920"/>
      <c r="F133" s="920"/>
      <c r="G133" s="920"/>
      <c r="H133" s="920"/>
      <c r="I133" s="920"/>
      <c r="J133" s="920"/>
      <c r="K133" s="920"/>
      <c r="L133" s="920"/>
      <c r="M133" s="920"/>
      <c r="N133" s="920"/>
      <c r="O133" s="920"/>
      <c r="P133" s="921"/>
      <c r="Q133" s="125">
        <f>Formular!AD24</f>
        <v>0</v>
      </c>
      <c r="R133" s="350">
        <f>SELNEW!L94</f>
        <v>0</v>
      </c>
      <c r="S133" s="917">
        <f t="shared" si="22"/>
        <v>0</v>
      </c>
      <c r="T133" s="918"/>
      <c r="U133" s="353"/>
      <c r="V133" s="186"/>
      <c r="W133" s="5"/>
      <c r="X133" s="5"/>
      <c r="Y133" s="5"/>
      <c r="Z133" s="5"/>
      <c r="AA133" s="404" t="str">
        <f t="shared" si="23"/>
        <v/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144"/>
      <c r="AQ133" s="144"/>
      <c r="AR133" s="144"/>
      <c r="AS133" s="144"/>
      <c r="AT133" s="4"/>
    </row>
    <row r="134" spans="1:46" s="1" customFormat="1" ht="15" customHeight="1">
      <c r="A134" s="919" t="str">
        <f>Formular!V25</f>
        <v xml:space="preserve"> </v>
      </c>
      <c r="B134" s="920"/>
      <c r="C134" s="920"/>
      <c r="D134" s="920"/>
      <c r="E134" s="920"/>
      <c r="F134" s="920"/>
      <c r="G134" s="920"/>
      <c r="H134" s="920"/>
      <c r="I134" s="920"/>
      <c r="J134" s="920"/>
      <c r="K134" s="920"/>
      <c r="L134" s="920"/>
      <c r="M134" s="920"/>
      <c r="N134" s="920"/>
      <c r="O134" s="920"/>
      <c r="P134" s="921"/>
      <c r="Q134" s="125">
        <f>Formular!AD25</f>
        <v>0</v>
      </c>
      <c r="R134" s="350">
        <f>SELNEW!L95</f>
        <v>0</v>
      </c>
      <c r="S134" s="917">
        <f t="shared" si="22"/>
        <v>0</v>
      </c>
      <c r="T134" s="918"/>
      <c r="U134" s="353"/>
      <c r="V134" s="186"/>
      <c r="W134" s="5"/>
      <c r="X134" s="5"/>
      <c r="Y134" s="5"/>
      <c r="Z134" s="5"/>
      <c r="AA134" s="404" t="str">
        <f t="shared" si="23"/>
        <v/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144"/>
      <c r="AQ134" s="144"/>
      <c r="AR134" s="144"/>
      <c r="AS134" s="144"/>
      <c r="AT134" s="4"/>
    </row>
    <row r="135" spans="1:46" s="1" customFormat="1" ht="15" customHeight="1">
      <c r="A135" s="919" t="str">
        <f>Formular!V26</f>
        <v xml:space="preserve"> </v>
      </c>
      <c r="B135" s="920"/>
      <c r="C135" s="920"/>
      <c r="D135" s="920"/>
      <c r="E135" s="920"/>
      <c r="F135" s="920"/>
      <c r="G135" s="920"/>
      <c r="H135" s="920"/>
      <c r="I135" s="920"/>
      <c r="J135" s="920"/>
      <c r="K135" s="920"/>
      <c r="L135" s="920"/>
      <c r="M135" s="920"/>
      <c r="N135" s="920"/>
      <c r="O135" s="920"/>
      <c r="P135" s="921"/>
      <c r="Q135" s="125">
        <f>Formular!AD26</f>
        <v>0</v>
      </c>
      <c r="R135" s="350">
        <f>SELNEW!L96</f>
        <v>0</v>
      </c>
      <c r="S135" s="917">
        <f t="shared" si="22"/>
        <v>0</v>
      </c>
      <c r="T135" s="918"/>
      <c r="U135" s="353"/>
      <c r="V135" s="186"/>
      <c r="W135" s="5"/>
      <c r="X135" s="5"/>
      <c r="Y135" s="5"/>
      <c r="Z135" s="5"/>
      <c r="AA135" s="404" t="str">
        <f t="shared" si="23"/>
        <v/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144"/>
      <c r="AQ135" s="144"/>
      <c r="AR135" s="144"/>
      <c r="AS135" s="144"/>
      <c r="AT135" s="4"/>
    </row>
    <row r="136" spans="1:46" s="1" customFormat="1" ht="15" customHeight="1">
      <c r="A136" s="919" t="str">
        <f>Formular!V27</f>
        <v xml:space="preserve"> </v>
      </c>
      <c r="B136" s="920"/>
      <c r="C136" s="920"/>
      <c r="D136" s="920"/>
      <c r="E136" s="920"/>
      <c r="F136" s="920"/>
      <c r="G136" s="920"/>
      <c r="H136" s="920"/>
      <c r="I136" s="920"/>
      <c r="J136" s="920"/>
      <c r="K136" s="920"/>
      <c r="L136" s="920"/>
      <c r="M136" s="920"/>
      <c r="N136" s="920"/>
      <c r="O136" s="920"/>
      <c r="P136" s="921"/>
      <c r="Q136" s="125">
        <f>Formular!AD27</f>
        <v>0</v>
      </c>
      <c r="R136" s="350">
        <f>SELNEW!L97</f>
        <v>0</v>
      </c>
      <c r="S136" s="917">
        <f t="shared" si="22"/>
        <v>0</v>
      </c>
      <c r="T136" s="918"/>
      <c r="U136" s="353"/>
      <c r="V136" s="186"/>
      <c r="W136" s="5"/>
      <c r="X136" s="5"/>
      <c r="Y136" s="5"/>
      <c r="Z136" s="5"/>
      <c r="AA136" s="404" t="str">
        <f t="shared" si="23"/>
        <v/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144"/>
      <c r="AQ136" s="144"/>
      <c r="AR136" s="144"/>
      <c r="AS136" s="144"/>
      <c r="AT136" s="4"/>
    </row>
    <row r="137" spans="1:46" s="1" customFormat="1" ht="15" customHeight="1">
      <c r="A137" s="919" t="str">
        <f>Formular!V28</f>
        <v xml:space="preserve"> </v>
      </c>
      <c r="B137" s="920"/>
      <c r="C137" s="920"/>
      <c r="D137" s="920"/>
      <c r="E137" s="920"/>
      <c r="F137" s="920"/>
      <c r="G137" s="920"/>
      <c r="H137" s="920"/>
      <c r="I137" s="920"/>
      <c r="J137" s="920"/>
      <c r="K137" s="920"/>
      <c r="L137" s="920"/>
      <c r="M137" s="920"/>
      <c r="N137" s="920"/>
      <c r="O137" s="920"/>
      <c r="P137" s="921"/>
      <c r="Q137" s="125">
        <f>Formular!AD28</f>
        <v>0</v>
      </c>
      <c r="R137" s="350">
        <f>SELNEW!L98</f>
        <v>0</v>
      </c>
      <c r="S137" s="917">
        <f t="shared" si="22"/>
        <v>0</v>
      </c>
      <c r="T137" s="918"/>
      <c r="U137" s="353"/>
      <c r="V137" s="186"/>
      <c r="W137" s="5"/>
      <c r="X137" s="5"/>
      <c r="Y137" s="5"/>
      <c r="Z137" s="5"/>
      <c r="AA137" s="404" t="str">
        <f t="shared" si="23"/>
        <v/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144"/>
      <c r="AQ137" s="144"/>
      <c r="AR137" s="144"/>
      <c r="AS137" s="144"/>
      <c r="AT137" s="4"/>
    </row>
    <row r="138" spans="1:46" s="1" customFormat="1" ht="15" customHeight="1">
      <c r="A138" s="919" t="str">
        <f>Formular!V29</f>
        <v xml:space="preserve"> </v>
      </c>
      <c r="B138" s="920"/>
      <c r="C138" s="920"/>
      <c r="D138" s="920"/>
      <c r="E138" s="920"/>
      <c r="F138" s="920"/>
      <c r="G138" s="920"/>
      <c r="H138" s="920"/>
      <c r="I138" s="920"/>
      <c r="J138" s="920"/>
      <c r="K138" s="920"/>
      <c r="L138" s="920"/>
      <c r="M138" s="920"/>
      <c r="N138" s="920"/>
      <c r="O138" s="920"/>
      <c r="P138" s="921"/>
      <c r="Q138" s="125">
        <f>Formular!AD29</f>
        <v>0</v>
      </c>
      <c r="R138" s="350">
        <f>SELNEW!L99</f>
        <v>0</v>
      </c>
      <c r="S138" s="917">
        <f t="shared" si="22"/>
        <v>0</v>
      </c>
      <c r="T138" s="918"/>
      <c r="U138" s="353"/>
      <c r="V138" s="186"/>
      <c r="W138" s="5"/>
      <c r="X138" s="5"/>
      <c r="Y138" s="5"/>
      <c r="Z138" s="5"/>
      <c r="AA138" s="404" t="str">
        <f t="shared" si="23"/>
        <v/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144"/>
      <c r="AQ138" s="144"/>
      <c r="AR138" s="144"/>
      <c r="AS138" s="144"/>
      <c r="AT138" s="4"/>
    </row>
    <row r="139" spans="1:46" s="1" customFormat="1" ht="15" customHeight="1">
      <c r="A139" s="919" t="str">
        <f>Formular!V30</f>
        <v xml:space="preserve"> </v>
      </c>
      <c r="B139" s="920"/>
      <c r="C139" s="920"/>
      <c r="D139" s="920"/>
      <c r="E139" s="920"/>
      <c r="F139" s="920"/>
      <c r="G139" s="920"/>
      <c r="H139" s="920"/>
      <c r="I139" s="920"/>
      <c r="J139" s="920"/>
      <c r="K139" s="920"/>
      <c r="L139" s="920"/>
      <c r="M139" s="920"/>
      <c r="N139" s="920"/>
      <c r="O139" s="920"/>
      <c r="P139" s="921"/>
      <c r="Q139" s="125">
        <f>Formular!AD30</f>
        <v>0</v>
      </c>
      <c r="R139" s="350">
        <f>SELNEW!L100</f>
        <v>0</v>
      </c>
      <c r="S139" s="917">
        <f t="shared" si="22"/>
        <v>0</v>
      </c>
      <c r="T139" s="918"/>
      <c r="U139" s="353"/>
      <c r="V139" s="186"/>
      <c r="W139" s="5"/>
      <c r="X139" s="5"/>
      <c r="Y139" s="5"/>
      <c r="Z139" s="5"/>
      <c r="AA139" s="404" t="str">
        <f t="shared" si="23"/>
        <v/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144"/>
      <c r="AQ139" s="144"/>
      <c r="AR139" s="144"/>
      <c r="AS139" s="144"/>
      <c r="AT139" s="4"/>
    </row>
    <row r="140" spans="1:46" s="1" customFormat="1" ht="15" customHeight="1">
      <c r="A140" s="919" t="str">
        <f>Formular!V31</f>
        <v xml:space="preserve"> </v>
      </c>
      <c r="B140" s="920"/>
      <c r="C140" s="920"/>
      <c r="D140" s="920"/>
      <c r="E140" s="920"/>
      <c r="F140" s="920"/>
      <c r="G140" s="920"/>
      <c r="H140" s="920"/>
      <c r="I140" s="920"/>
      <c r="J140" s="920"/>
      <c r="K140" s="920"/>
      <c r="L140" s="920"/>
      <c r="M140" s="920"/>
      <c r="N140" s="920"/>
      <c r="O140" s="920"/>
      <c r="P140" s="921"/>
      <c r="Q140" s="125">
        <f>Formular!AD31</f>
        <v>0</v>
      </c>
      <c r="R140" s="350">
        <f>SELNEW!L101</f>
        <v>0</v>
      </c>
      <c r="S140" s="917">
        <f t="shared" si="22"/>
        <v>0</v>
      </c>
      <c r="T140" s="918"/>
      <c r="U140" s="353"/>
      <c r="V140" s="186"/>
      <c r="W140" s="5"/>
      <c r="X140" s="5"/>
      <c r="Y140" s="5"/>
      <c r="Z140" s="5"/>
      <c r="AA140" s="404" t="str">
        <f t="shared" si="23"/>
        <v/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144"/>
      <c r="AQ140" s="144"/>
      <c r="AR140" s="144"/>
      <c r="AS140" s="144"/>
      <c r="AT140" s="4"/>
    </row>
    <row r="141" spans="1:46" s="1" customFormat="1" ht="15" customHeight="1">
      <c r="A141" s="919" t="str">
        <f>Formular!V32</f>
        <v xml:space="preserve"> </v>
      </c>
      <c r="B141" s="920"/>
      <c r="C141" s="920"/>
      <c r="D141" s="920"/>
      <c r="E141" s="920"/>
      <c r="F141" s="920"/>
      <c r="G141" s="920"/>
      <c r="H141" s="920"/>
      <c r="I141" s="920"/>
      <c r="J141" s="920"/>
      <c r="K141" s="920"/>
      <c r="L141" s="920"/>
      <c r="M141" s="920"/>
      <c r="N141" s="920"/>
      <c r="O141" s="920"/>
      <c r="P141" s="921"/>
      <c r="Q141" s="125">
        <f>Formular!AD32</f>
        <v>0</v>
      </c>
      <c r="R141" s="350">
        <f>SELNEW!L102</f>
        <v>0</v>
      </c>
      <c r="S141" s="917">
        <f t="shared" si="22"/>
        <v>0</v>
      </c>
      <c r="T141" s="918"/>
      <c r="U141" s="353"/>
      <c r="V141" s="186"/>
      <c r="W141" s="5"/>
      <c r="X141" s="5"/>
      <c r="Y141" s="5"/>
      <c r="Z141" s="5"/>
      <c r="AA141" s="404" t="str">
        <f t="shared" si="23"/>
        <v/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144"/>
      <c r="AQ141" s="144"/>
      <c r="AR141" s="144"/>
      <c r="AS141" s="144"/>
      <c r="AT141" s="4"/>
    </row>
    <row r="142" spans="1:46" s="1" customFormat="1" ht="15" customHeight="1">
      <c r="A142" s="919" t="str">
        <f>Formular!V33</f>
        <v xml:space="preserve"> </v>
      </c>
      <c r="B142" s="920"/>
      <c r="C142" s="920"/>
      <c r="D142" s="920"/>
      <c r="E142" s="920"/>
      <c r="F142" s="920"/>
      <c r="G142" s="920"/>
      <c r="H142" s="920"/>
      <c r="I142" s="920"/>
      <c r="J142" s="920"/>
      <c r="K142" s="920"/>
      <c r="L142" s="920"/>
      <c r="M142" s="920"/>
      <c r="N142" s="920"/>
      <c r="O142" s="920"/>
      <c r="P142" s="921"/>
      <c r="Q142" s="125">
        <f>Formular!AD33</f>
        <v>0</v>
      </c>
      <c r="R142" s="350">
        <f>SELNEW!L103</f>
        <v>0</v>
      </c>
      <c r="S142" s="917">
        <f t="shared" si="22"/>
        <v>0</v>
      </c>
      <c r="T142" s="918"/>
      <c r="U142" s="353"/>
      <c r="V142" s="186"/>
      <c r="W142" s="5"/>
      <c r="X142" s="5"/>
      <c r="Y142" s="5"/>
      <c r="Z142" s="5"/>
      <c r="AA142" s="404" t="str">
        <f t="shared" si="23"/>
        <v/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144"/>
      <c r="AQ142" s="144"/>
      <c r="AR142" s="144"/>
      <c r="AS142" s="144"/>
      <c r="AT142" s="4"/>
    </row>
    <row r="143" spans="1:46" s="1" customFormat="1" ht="15" customHeight="1">
      <c r="A143" s="919" t="str">
        <f>Formular!V34</f>
        <v xml:space="preserve"> </v>
      </c>
      <c r="B143" s="920"/>
      <c r="C143" s="920"/>
      <c r="D143" s="920"/>
      <c r="E143" s="920"/>
      <c r="F143" s="920"/>
      <c r="G143" s="920"/>
      <c r="H143" s="920"/>
      <c r="I143" s="920"/>
      <c r="J143" s="920"/>
      <c r="K143" s="920"/>
      <c r="L143" s="920"/>
      <c r="M143" s="920"/>
      <c r="N143" s="920"/>
      <c r="O143" s="920"/>
      <c r="P143" s="921"/>
      <c r="Q143" s="125">
        <f>Formular!AD34</f>
        <v>0</v>
      </c>
      <c r="R143" s="350">
        <f>SELNEW!L104</f>
        <v>0</v>
      </c>
      <c r="S143" s="917">
        <f t="shared" si="22"/>
        <v>0</v>
      </c>
      <c r="T143" s="918"/>
      <c r="U143" s="353"/>
      <c r="V143" s="186"/>
      <c r="W143" s="5"/>
      <c r="X143" s="5"/>
      <c r="Y143" s="5"/>
      <c r="Z143" s="5"/>
      <c r="AA143" s="404" t="str">
        <f t="shared" si="23"/>
        <v/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144"/>
      <c r="AQ143" s="144"/>
      <c r="AR143" s="144"/>
      <c r="AS143" s="144"/>
      <c r="AT143" s="4"/>
    </row>
    <row r="144" spans="1:46" s="1" customFormat="1" ht="15" customHeight="1">
      <c r="A144" s="919" t="str">
        <f>Formular!V35</f>
        <v xml:space="preserve"> </v>
      </c>
      <c r="B144" s="920"/>
      <c r="C144" s="920"/>
      <c r="D144" s="920"/>
      <c r="E144" s="920"/>
      <c r="F144" s="920"/>
      <c r="G144" s="920"/>
      <c r="H144" s="920"/>
      <c r="I144" s="920"/>
      <c r="J144" s="920"/>
      <c r="K144" s="920"/>
      <c r="L144" s="920"/>
      <c r="M144" s="920"/>
      <c r="N144" s="920"/>
      <c r="O144" s="920"/>
      <c r="P144" s="921"/>
      <c r="Q144" s="125">
        <f>Formular!AD35</f>
        <v>0</v>
      </c>
      <c r="R144" s="350">
        <f>SELNEW!L105</f>
        <v>0</v>
      </c>
      <c r="S144" s="917">
        <f t="shared" si="22"/>
        <v>0</v>
      </c>
      <c r="T144" s="918"/>
      <c r="U144" s="353"/>
      <c r="V144" s="186"/>
      <c r="W144" s="5"/>
      <c r="X144" s="5"/>
      <c r="Y144" s="5"/>
      <c r="Z144" s="5"/>
      <c r="AA144" s="404" t="str">
        <f t="shared" si="23"/>
        <v/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144"/>
      <c r="AQ144" s="144"/>
      <c r="AR144" s="144"/>
      <c r="AS144" s="144"/>
      <c r="AT144" s="4"/>
    </row>
    <row r="145" spans="1:46" s="77" customFormat="1" ht="15" customHeight="1">
      <c r="A145" s="929" t="str">
        <f>Formular!AF6&amp;" / "&amp;Formular!AV6</f>
        <v>MEMBRANE SI ACCESORII / SURUBURI</v>
      </c>
      <c r="B145" s="930"/>
      <c r="C145" s="930"/>
      <c r="D145" s="930"/>
      <c r="E145" s="930"/>
      <c r="F145" s="930"/>
      <c r="G145" s="930"/>
      <c r="H145" s="930"/>
      <c r="I145" s="930"/>
      <c r="J145" s="930"/>
      <c r="K145" s="930"/>
      <c r="L145" s="930"/>
      <c r="M145" s="930"/>
      <c r="N145" s="930"/>
      <c r="O145" s="930"/>
      <c r="P145" s="931"/>
      <c r="Q145" s="270">
        <f>IF(W147&gt;0,1,0)</f>
        <v>0</v>
      </c>
      <c r="R145" s="267"/>
      <c r="S145" s="268"/>
      <c r="T145" s="269"/>
      <c r="U145" s="365"/>
      <c r="V145" s="5"/>
      <c r="W145" s="5"/>
      <c r="X145" s="5"/>
      <c r="Y145" s="5"/>
      <c r="Z145" s="5"/>
      <c r="AA145" s="5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144"/>
      <c r="AQ145" s="144"/>
      <c r="AR145" s="144"/>
      <c r="AS145" s="144"/>
      <c r="AT145" s="4"/>
    </row>
    <row r="146" spans="1:46" s="77" customFormat="1" ht="15" customHeight="1">
      <c r="A146" s="932" t="str">
        <f>Lang!A403&amp;X147&amp;Lang!A404</f>
        <v xml:space="preserve">Valoare 0 euro fara tva </v>
      </c>
      <c r="B146" s="933"/>
      <c r="C146" s="933"/>
      <c r="D146" s="933"/>
      <c r="E146" s="933"/>
      <c r="F146" s="933"/>
      <c r="G146" s="933"/>
      <c r="H146" s="933"/>
      <c r="I146" s="933"/>
      <c r="J146" s="933"/>
      <c r="K146" s="933"/>
      <c r="L146" s="933"/>
      <c r="M146" s="933"/>
      <c r="N146" s="933"/>
      <c r="O146" s="933"/>
      <c r="P146" s="934"/>
      <c r="Q146" s="271">
        <f>Q145</f>
        <v>0</v>
      </c>
      <c r="R146" s="264"/>
      <c r="S146" s="265"/>
      <c r="T146" s="266"/>
      <c r="U146" s="366"/>
      <c r="V146" s="5"/>
      <c r="W146" s="5"/>
      <c r="X146" s="5"/>
      <c r="Y146" s="5"/>
      <c r="Z146" s="5"/>
      <c r="AA146" s="5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144"/>
      <c r="AQ146" s="144"/>
      <c r="AR146" s="144"/>
      <c r="AS146" s="144"/>
      <c r="AT146" s="4"/>
    </row>
    <row r="147" spans="1:46" s="1" customFormat="1" ht="15" customHeight="1">
      <c r="A147" s="919" t="str">
        <f>Formular!AF7</f>
        <v>Membrana anticondens WETTERBEST 115 gr/mp - 75mp</v>
      </c>
      <c r="B147" s="920"/>
      <c r="C147" s="920"/>
      <c r="D147" s="920"/>
      <c r="E147" s="920"/>
      <c r="F147" s="920"/>
      <c r="G147" s="920"/>
      <c r="H147" s="920"/>
      <c r="I147" s="920"/>
      <c r="J147" s="920"/>
      <c r="K147" s="920"/>
      <c r="L147" s="920"/>
      <c r="M147" s="920"/>
      <c r="N147" s="920"/>
      <c r="O147" s="920"/>
      <c r="P147" s="921"/>
      <c r="Q147" s="10">
        <f>Formular!AS7</f>
        <v>0</v>
      </c>
      <c r="R147" s="11">
        <f>Info!D184</f>
        <v>30.07</v>
      </c>
      <c r="S147" s="917">
        <f>Q147*R147</f>
        <v>0</v>
      </c>
      <c r="T147" s="918"/>
      <c r="U147" s="353"/>
      <c r="V147" s="186"/>
      <c r="W147" s="5">
        <f>SUM(Q147:Q215)</f>
        <v>0</v>
      </c>
      <c r="X147" s="186">
        <f>SUM(S147:T215)</f>
        <v>0</v>
      </c>
      <c r="Y147" s="5"/>
      <c r="Z147" s="5"/>
      <c r="AA147" s="404" t="str">
        <f t="shared" si="23"/>
        <v/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144"/>
      <c r="AQ147" s="144"/>
      <c r="AR147" s="144"/>
      <c r="AS147" s="144"/>
      <c r="AT147" s="4"/>
    </row>
    <row r="148" spans="1:46" s="1" customFormat="1" ht="15" customHeight="1">
      <c r="A148" s="919" t="str">
        <f>Formular!AF8</f>
        <v>Membrana anticondens WETTERBEST 135 gr/mp - 75mp</v>
      </c>
      <c r="B148" s="920"/>
      <c r="C148" s="920"/>
      <c r="D148" s="920"/>
      <c r="E148" s="920"/>
      <c r="F148" s="920"/>
      <c r="G148" s="920"/>
      <c r="H148" s="920"/>
      <c r="I148" s="920"/>
      <c r="J148" s="920"/>
      <c r="K148" s="920"/>
      <c r="L148" s="920"/>
      <c r="M148" s="920"/>
      <c r="N148" s="920"/>
      <c r="O148" s="920"/>
      <c r="P148" s="921"/>
      <c r="Q148" s="417">
        <f>Formular!AS8</f>
        <v>0</v>
      </c>
      <c r="R148" s="350">
        <f>Info!D185</f>
        <v>36.4</v>
      </c>
      <c r="S148" s="917">
        <f t="shared" ref="S148:S189" si="24">Q148*R148</f>
        <v>0</v>
      </c>
      <c r="T148" s="918"/>
      <c r="U148" s="353"/>
      <c r="V148" s="186"/>
      <c r="W148" s="5"/>
      <c r="X148" s="5"/>
      <c r="Y148" s="5"/>
      <c r="Z148" s="5"/>
      <c r="AA148" s="404" t="str">
        <f t="shared" si="23"/>
        <v/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144"/>
      <c r="AQ148" s="144"/>
      <c r="AR148" s="144"/>
      <c r="AS148" s="144"/>
      <c r="AT148" s="4"/>
    </row>
    <row r="149" spans="1:46" s="1" customFormat="1" ht="15" customHeight="1">
      <c r="A149" s="919" t="str">
        <f>Formular!AF9</f>
        <v>Membrana anticondens WETTERBEST 150 gr/mp - 75mp</v>
      </c>
      <c r="B149" s="920"/>
      <c r="C149" s="920"/>
      <c r="D149" s="920"/>
      <c r="E149" s="920"/>
      <c r="F149" s="920"/>
      <c r="G149" s="920"/>
      <c r="H149" s="920"/>
      <c r="I149" s="920"/>
      <c r="J149" s="920"/>
      <c r="K149" s="920"/>
      <c r="L149" s="920"/>
      <c r="M149" s="920"/>
      <c r="N149" s="920"/>
      <c r="O149" s="920"/>
      <c r="P149" s="921"/>
      <c r="Q149" s="417">
        <f>Formular!AS9</f>
        <v>0</v>
      </c>
      <c r="R149" s="350">
        <f>Info!D186</f>
        <v>38.89</v>
      </c>
      <c r="S149" s="917">
        <f t="shared" si="24"/>
        <v>0</v>
      </c>
      <c r="T149" s="918"/>
      <c r="U149" s="353"/>
      <c r="V149" s="186"/>
      <c r="W149" s="5"/>
      <c r="X149" s="5"/>
      <c r="Y149" s="5"/>
      <c r="Z149" s="5"/>
      <c r="AA149" s="404" t="str">
        <f t="shared" si="23"/>
        <v/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144"/>
      <c r="AQ149" s="144"/>
      <c r="AR149" s="144"/>
      <c r="AS149" s="144"/>
      <c r="AT149" s="4"/>
    </row>
    <row r="150" spans="1:46" s="1" customFormat="1" ht="15" customHeight="1">
      <c r="A150" s="919" t="str">
        <f>Formular!AF10</f>
        <v>Membrana anticondens WETTERBEST 180 gr/mp - 75mp</v>
      </c>
      <c r="B150" s="920"/>
      <c r="C150" s="920"/>
      <c r="D150" s="920"/>
      <c r="E150" s="920"/>
      <c r="F150" s="920"/>
      <c r="G150" s="920"/>
      <c r="H150" s="920"/>
      <c r="I150" s="920"/>
      <c r="J150" s="920"/>
      <c r="K150" s="920"/>
      <c r="L150" s="920"/>
      <c r="M150" s="920"/>
      <c r="N150" s="920"/>
      <c r="O150" s="920"/>
      <c r="P150" s="921"/>
      <c r="Q150" s="417">
        <f>Formular!AS10</f>
        <v>0</v>
      </c>
      <c r="R150" s="350">
        <f>Info!D187</f>
        <v>45.24</v>
      </c>
      <c r="S150" s="917">
        <f t="shared" si="24"/>
        <v>0</v>
      </c>
      <c r="T150" s="918"/>
      <c r="U150" s="353"/>
      <c r="V150" s="186"/>
      <c r="W150" s="5"/>
      <c r="X150" s="5"/>
      <c r="Y150" s="5"/>
      <c r="Z150" s="5"/>
      <c r="AA150" s="404" t="str">
        <f t="shared" si="23"/>
        <v/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144"/>
      <c r="AQ150" s="144"/>
      <c r="AR150" s="144"/>
      <c r="AS150" s="144"/>
      <c r="AT150" s="4"/>
    </row>
    <row r="151" spans="1:46" s="1" customFormat="1" ht="15" customHeight="1">
      <c r="A151" s="919" t="str">
        <f>Formular!AF11</f>
        <v>Membrana Acofort 100 gr/mp - 75 mp</v>
      </c>
      <c r="B151" s="920"/>
      <c r="C151" s="920"/>
      <c r="D151" s="920"/>
      <c r="E151" s="920"/>
      <c r="F151" s="920"/>
      <c r="G151" s="920"/>
      <c r="H151" s="920"/>
      <c r="I151" s="920"/>
      <c r="J151" s="920"/>
      <c r="K151" s="920"/>
      <c r="L151" s="920"/>
      <c r="M151" s="920"/>
      <c r="N151" s="920"/>
      <c r="O151" s="920"/>
      <c r="P151" s="921"/>
      <c r="Q151" s="417">
        <f>Formular!AS11</f>
        <v>0</v>
      </c>
      <c r="R151" s="350">
        <f>Info!D188</f>
        <v>24.81</v>
      </c>
      <c r="S151" s="917">
        <f t="shared" si="24"/>
        <v>0</v>
      </c>
      <c r="T151" s="918"/>
      <c r="U151" s="353"/>
      <c r="V151" s="186"/>
      <c r="W151" s="5"/>
      <c r="X151" s="5"/>
      <c r="Y151" s="5"/>
      <c r="Z151" s="5"/>
      <c r="AA151" s="404" t="str">
        <f t="shared" si="23"/>
        <v/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144"/>
      <c r="AQ151" s="144"/>
      <c r="AR151" s="144"/>
      <c r="AS151" s="144"/>
      <c r="AT151" s="4"/>
    </row>
    <row r="152" spans="1:46" s="1" customFormat="1" ht="15" customHeight="1">
      <c r="A152" s="919" t="str">
        <f>Formular!AF12</f>
        <v>Membrana Acofort 115 gr/mp - 75 mp</v>
      </c>
      <c r="B152" s="920"/>
      <c r="C152" s="920"/>
      <c r="D152" s="920"/>
      <c r="E152" s="920"/>
      <c r="F152" s="920"/>
      <c r="G152" s="920"/>
      <c r="H152" s="920"/>
      <c r="I152" s="920"/>
      <c r="J152" s="920"/>
      <c r="K152" s="920"/>
      <c r="L152" s="920"/>
      <c r="M152" s="920"/>
      <c r="N152" s="920"/>
      <c r="O152" s="920"/>
      <c r="P152" s="921"/>
      <c r="Q152" s="417">
        <f>Formular!AS12</f>
        <v>0</v>
      </c>
      <c r="R152" s="350">
        <f>Info!D189</f>
        <v>30.07</v>
      </c>
      <c r="S152" s="917">
        <f t="shared" si="24"/>
        <v>0</v>
      </c>
      <c r="T152" s="918"/>
      <c r="U152" s="353"/>
      <c r="V152" s="186"/>
      <c r="W152" s="5"/>
      <c r="X152" s="5"/>
      <c r="Y152" s="5"/>
      <c r="Z152" s="5"/>
      <c r="AA152" s="404" t="str">
        <f t="shared" si="23"/>
        <v/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144"/>
      <c r="AQ152" s="144"/>
      <c r="AR152" s="144"/>
      <c r="AS152" s="144"/>
      <c r="AT152" s="4"/>
    </row>
    <row r="153" spans="1:46" s="1" customFormat="1" ht="15" customHeight="1">
      <c r="A153" s="919" t="str">
        <f>Formular!AF13</f>
        <v>Membrana Acofort 135 gr/mp - 75 mp</v>
      </c>
      <c r="B153" s="920"/>
      <c r="C153" s="920"/>
      <c r="D153" s="920"/>
      <c r="E153" s="920"/>
      <c r="F153" s="920"/>
      <c r="G153" s="920"/>
      <c r="H153" s="920"/>
      <c r="I153" s="920"/>
      <c r="J153" s="920"/>
      <c r="K153" s="920"/>
      <c r="L153" s="920"/>
      <c r="M153" s="920"/>
      <c r="N153" s="920"/>
      <c r="O153" s="920"/>
      <c r="P153" s="921"/>
      <c r="Q153" s="417">
        <f>Formular!AS13</f>
        <v>0</v>
      </c>
      <c r="R153" s="350">
        <f>Info!D190</f>
        <v>36.4</v>
      </c>
      <c r="S153" s="917">
        <f t="shared" si="24"/>
        <v>0</v>
      </c>
      <c r="T153" s="918"/>
      <c r="U153" s="353"/>
      <c r="V153" s="186"/>
      <c r="W153" s="5"/>
      <c r="X153" s="5"/>
      <c r="Y153" s="5"/>
      <c r="Z153" s="5"/>
      <c r="AA153" s="404" t="str">
        <f t="shared" si="23"/>
        <v/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144"/>
      <c r="AQ153" s="144"/>
      <c r="AR153" s="144"/>
      <c r="AS153" s="144"/>
      <c r="AT153" s="4"/>
    </row>
    <row r="154" spans="1:46" s="1" customFormat="1" ht="15" customHeight="1">
      <c r="A154" s="919" t="str">
        <f>Formular!AF14</f>
        <v>Membrana  anticondens ACOVENT 90 gr/mp - 80 mp</v>
      </c>
      <c r="B154" s="920"/>
      <c r="C154" s="920"/>
      <c r="D154" s="920"/>
      <c r="E154" s="920"/>
      <c r="F154" s="920"/>
      <c r="G154" s="920"/>
      <c r="H154" s="920"/>
      <c r="I154" s="920"/>
      <c r="J154" s="920"/>
      <c r="K154" s="920"/>
      <c r="L154" s="920"/>
      <c r="M154" s="920"/>
      <c r="N154" s="920"/>
      <c r="O154" s="920"/>
      <c r="P154" s="921"/>
      <c r="Q154" s="417">
        <f>Formular!AS14</f>
        <v>0</v>
      </c>
      <c r="R154" s="350">
        <f>Info!D191</f>
        <v>33.25</v>
      </c>
      <c r="S154" s="917">
        <f t="shared" si="24"/>
        <v>0</v>
      </c>
      <c r="T154" s="918"/>
      <c r="U154" s="353"/>
      <c r="V154" s="186"/>
      <c r="W154" s="5"/>
      <c r="X154" s="5"/>
      <c r="Y154" s="5"/>
      <c r="Z154" s="5"/>
      <c r="AA154" s="404" t="str">
        <f t="shared" si="23"/>
        <v/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144"/>
      <c r="AQ154" s="144"/>
      <c r="AR154" s="144"/>
      <c r="AS154" s="144"/>
      <c r="AT154" s="4"/>
    </row>
    <row r="155" spans="1:46" s="1" customFormat="1" ht="15" customHeight="1">
      <c r="A155" s="919" t="str">
        <f>Formular!AF15</f>
        <v>Membrana anticondens DACHOVA 115 gr/mp - 80mp</v>
      </c>
      <c r="B155" s="920"/>
      <c r="C155" s="920"/>
      <c r="D155" s="920"/>
      <c r="E155" s="920"/>
      <c r="F155" s="920"/>
      <c r="G155" s="920"/>
      <c r="H155" s="920"/>
      <c r="I155" s="920"/>
      <c r="J155" s="920"/>
      <c r="K155" s="920"/>
      <c r="L155" s="920"/>
      <c r="M155" s="920"/>
      <c r="N155" s="920"/>
      <c r="O155" s="920"/>
      <c r="P155" s="921"/>
      <c r="Q155" s="417">
        <f>Formular!AS15</f>
        <v>0</v>
      </c>
      <c r="R155" s="350">
        <f>Info!D192</f>
        <v>36.82</v>
      </c>
      <c r="S155" s="917">
        <f t="shared" si="24"/>
        <v>0</v>
      </c>
      <c r="T155" s="918"/>
      <c r="U155" s="353"/>
      <c r="V155" s="186"/>
      <c r="W155" s="5"/>
      <c r="X155" s="5"/>
      <c r="Y155" s="5"/>
      <c r="Z155" s="5"/>
      <c r="AA155" s="404" t="str">
        <f t="shared" si="23"/>
        <v/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144"/>
      <c r="AQ155" s="144"/>
      <c r="AR155" s="144"/>
      <c r="AS155" s="144"/>
      <c r="AT155" s="4"/>
    </row>
    <row r="156" spans="1:46" s="1" customFormat="1" ht="15" customHeight="1">
      <c r="A156" s="919" t="str">
        <f>Formular!AF16</f>
        <v>Membrana anticondens ACOVENT 135 gr/mp 80 mp</v>
      </c>
      <c r="B156" s="920"/>
      <c r="C156" s="920"/>
      <c r="D156" s="920"/>
      <c r="E156" s="920"/>
      <c r="F156" s="920"/>
      <c r="G156" s="920"/>
      <c r="H156" s="920"/>
      <c r="I156" s="920"/>
      <c r="J156" s="920"/>
      <c r="K156" s="920"/>
      <c r="L156" s="920"/>
      <c r="M156" s="920"/>
      <c r="N156" s="920"/>
      <c r="O156" s="920"/>
      <c r="P156" s="921"/>
      <c r="Q156" s="417">
        <f>Formular!AS16</f>
        <v>0</v>
      </c>
      <c r="R156" s="350">
        <f>Info!D193</f>
        <v>47.6</v>
      </c>
      <c r="S156" s="917">
        <f t="shared" si="24"/>
        <v>0</v>
      </c>
      <c r="T156" s="918"/>
      <c r="U156" s="353"/>
      <c r="V156" s="186"/>
      <c r="W156" s="5"/>
      <c r="X156" s="5"/>
      <c r="Y156" s="5"/>
      <c r="Z156" s="5"/>
      <c r="AA156" s="404" t="str">
        <f t="shared" si="23"/>
        <v/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144"/>
      <c r="AQ156" s="144"/>
      <c r="AR156" s="144"/>
      <c r="AS156" s="144"/>
      <c r="AT156" s="4"/>
    </row>
    <row r="157" spans="1:46" s="1" customFormat="1" ht="15" customHeight="1">
      <c r="A157" s="919" t="str">
        <f>Formular!AF17</f>
        <v>Membrana anticondens DACHOVA 150 gr/mp 80 mp</v>
      </c>
      <c r="B157" s="920"/>
      <c r="C157" s="920"/>
      <c r="D157" s="920"/>
      <c r="E157" s="920"/>
      <c r="F157" s="920"/>
      <c r="G157" s="920"/>
      <c r="H157" s="920"/>
      <c r="I157" s="920"/>
      <c r="J157" s="920"/>
      <c r="K157" s="920"/>
      <c r="L157" s="920"/>
      <c r="M157" s="920"/>
      <c r="N157" s="920"/>
      <c r="O157" s="920"/>
      <c r="P157" s="921"/>
      <c r="Q157" s="417">
        <f>Formular!AS17</f>
        <v>0</v>
      </c>
      <c r="R157" s="350">
        <f>Info!D194</f>
        <v>51.17</v>
      </c>
      <c r="S157" s="917">
        <f t="shared" si="24"/>
        <v>0</v>
      </c>
      <c r="T157" s="918"/>
      <c r="U157" s="353"/>
      <c r="V157" s="186"/>
      <c r="W157" s="5"/>
      <c r="X157" s="5"/>
      <c r="Y157" s="5"/>
      <c r="Z157" s="5"/>
      <c r="AA157" s="404" t="str">
        <f t="shared" si="23"/>
        <v/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144"/>
      <c r="AQ157" s="144"/>
      <c r="AR157" s="144"/>
      <c r="AS157" s="144"/>
      <c r="AT157" s="4"/>
    </row>
    <row r="158" spans="1:46" s="1" customFormat="1" ht="15" customHeight="1">
      <c r="A158" s="919" t="str">
        <f>Formular!AF18</f>
        <v>Membrana anticondens EKRAN 185 gr/mp 80mp</v>
      </c>
      <c r="B158" s="920"/>
      <c r="C158" s="920"/>
      <c r="D158" s="920"/>
      <c r="E158" s="920"/>
      <c r="F158" s="920"/>
      <c r="G158" s="920"/>
      <c r="H158" s="920"/>
      <c r="I158" s="920"/>
      <c r="J158" s="920"/>
      <c r="K158" s="920"/>
      <c r="L158" s="920"/>
      <c r="M158" s="920"/>
      <c r="N158" s="920"/>
      <c r="O158" s="920"/>
      <c r="P158" s="921"/>
      <c r="Q158" s="417">
        <f>Formular!AS18</f>
        <v>0</v>
      </c>
      <c r="R158" s="350">
        <f>Info!D195</f>
        <v>75.739999999999995</v>
      </c>
      <c r="S158" s="917">
        <f t="shared" si="24"/>
        <v>0</v>
      </c>
      <c r="T158" s="918"/>
      <c r="U158" s="353"/>
      <c r="V158" s="186"/>
      <c r="W158" s="5"/>
      <c r="X158" s="5"/>
      <c r="Y158" s="5"/>
      <c r="Z158" s="5"/>
      <c r="AA158" s="404" t="str">
        <f t="shared" si="23"/>
        <v/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144"/>
      <c r="AQ158" s="144"/>
      <c r="AR158" s="144"/>
      <c r="AS158" s="144"/>
      <c r="AT158" s="4"/>
    </row>
    <row r="159" spans="1:46" s="1" customFormat="1" ht="15" customHeight="1">
      <c r="A159" s="919" t="str">
        <f>Formular!AF19</f>
        <v>Membrana METALLIC pentru tabla faltuita 450 gr/mp 1,5 X 25-37.5mp .</v>
      </c>
      <c r="B159" s="920"/>
      <c r="C159" s="920"/>
      <c r="D159" s="920"/>
      <c r="E159" s="920"/>
      <c r="F159" s="920"/>
      <c r="G159" s="920"/>
      <c r="H159" s="920"/>
      <c r="I159" s="920"/>
      <c r="J159" s="920"/>
      <c r="K159" s="920"/>
      <c r="L159" s="920"/>
      <c r="M159" s="920"/>
      <c r="N159" s="920"/>
      <c r="O159" s="920"/>
      <c r="P159" s="921"/>
      <c r="Q159" s="417">
        <f>Formular!AS19</f>
        <v>0</v>
      </c>
      <c r="R159" s="350">
        <f>Info!D196</f>
        <v>129.5</v>
      </c>
      <c r="S159" s="917">
        <f t="shared" si="24"/>
        <v>0</v>
      </c>
      <c r="T159" s="918"/>
      <c r="U159" s="353"/>
      <c r="V159" s="186"/>
      <c r="W159" s="5"/>
      <c r="X159" s="5"/>
      <c r="Y159" s="5"/>
      <c r="Z159" s="5"/>
      <c r="AA159" s="404" t="str">
        <f t="shared" si="23"/>
        <v/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144"/>
      <c r="AQ159" s="144"/>
      <c r="AR159" s="144"/>
      <c r="AS159" s="144"/>
      <c r="AT159" s="4"/>
    </row>
    <row r="160" spans="1:46" s="1" customFormat="1" ht="15" customHeight="1">
      <c r="A160" s="919" t="str">
        <f>Formular!AF20</f>
        <v>Aluband 100 - 10000 mm</v>
      </c>
      <c r="B160" s="920"/>
      <c r="C160" s="920"/>
      <c r="D160" s="920"/>
      <c r="E160" s="920"/>
      <c r="F160" s="920"/>
      <c r="G160" s="920"/>
      <c r="H160" s="920"/>
      <c r="I160" s="920"/>
      <c r="J160" s="920"/>
      <c r="K160" s="920"/>
      <c r="L160" s="920"/>
      <c r="M160" s="920"/>
      <c r="N160" s="920"/>
      <c r="O160" s="920"/>
      <c r="P160" s="921"/>
      <c r="Q160" s="417">
        <f>Formular!AS20</f>
        <v>0</v>
      </c>
      <c r="R160" s="350">
        <f>Info!D197</f>
        <v>7.62</v>
      </c>
      <c r="S160" s="917">
        <f t="shared" si="24"/>
        <v>0</v>
      </c>
      <c r="T160" s="918"/>
      <c r="U160" s="353"/>
      <c r="V160" s="186"/>
      <c r="W160" s="5"/>
      <c r="X160" s="5"/>
      <c r="Y160" s="5"/>
      <c r="Z160" s="5"/>
      <c r="AA160" s="404" t="str">
        <f t="shared" si="23"/>
        <v/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144"/>
      <c r="AQ160" s="144"/>
      <c r="AR160" s="144"/>
      <c r="AS160" s="144"/>
      <c r="AT160" s="4"/>
    </row>
    <row r="161" spans="1:46" s="1" customFormat="1" ht="15" customHeight="1">
      <c r="A161" s="919" t="str">
        <f>Formular!AF21</f>
        <v>Aluband 150 - 10000 mm</v>
      </c>
      <c r="B161" s="920"/>
      <c r="C161" s="920"/>
      <c r="D161" s="920"/>
      <c r="E161" s="920"/>
      <c r="F161" s="920"/>
      <c r="G161" s="920"/>
      <c r="H161" s="920"/>
      <c r="I161" s="920"/>
      <c r="J161" s="920"/>
      <c r="K161" s="920"/>
      <c r="L161" s="920"/>
      <c r="M161" s="920"/>
      <c r="N161" s="920"/>
      <c r="O161" s="920"/>
      <c r="P161" s="921"/>
      <c r="Q161" s="417">
        <f>Formular!AS21</f>
        <v>0</v>
      </c>
      <c r="R161" s="350">
        <f>Info!D198</f>
        <v>9.75</v>
      </c>
      <c r="S161" s="917">
        <f t="shared" si="24"/>
        <v>0</v>
      </c>
      <c r="T161" s="918"/>
      <c r="U161" s="353"/>
      <c r="V161" s="186"/>
      <c r="W161" s="5"/>
      <c r="X161" s="5"/>
      <c r="Y161" s="5"/>
      <c r="Z161" s="5"/>
      <c r="AA161" s="404" t="str">
        <f t="shared" si="23"/>
        <v/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144"/>
      <c r="AQ161" s="144"/>
      <c r="AR161" s="144"/>
      <c r="AS161" s="144"/>
      <c r="AT161" s="4"/>
    </row>
    <row r="162" spans="1:46" s="1" customFormat="1" ht="15" customHeight="1">
      <c r="A162" s="919" t="str">
        <f>Formular!AF22</f>
        <v>Aluband 300 - 10000 mm</v>
      </c>
      <c r="B162" s="920"/>
      <c r="C162" s="920"/>
      <c r="D162" s="920"/>
      <c r="E162" s="920"/>
      <c r="F162" s="920"/>
      <c r="G162" s="920"/>
      <c r="H162" s="920"/>
      <c r="I162" s="920"/>
      <c r="J162" s="920"/>
      <c r="K162" s="920"/>
      <c r="L162" s="920"/>
      <c r="M162" s="920"/>
      <c r="N162" s="920"/>
      <c r="O162" s="920"/>
      <c r="P162" s="921"/>
      <c r="Q162" s="417">
        <f>Formular!AS22</f>
        <v>0</v>
      </c>
      <c r="R162" s="350">
        <f>Info!D199</f>
        <v>24.51</v>
      </c>
      <c r="S162" s="917">
        <f t="shared" si="24"/>
        <v>0</v>
      </c>
      <c r="T162" s="918"/>
      <c r="U162" s="353"/>
      <c r="V162" s="186"/>
      <c r="W162" s="5"/>
      <c r="X162" s="5"/>
      <c r="Y162" s="5"/>
      <c r="Z162" s="5"/>
      <c r="AA162" s="404" t="str">
        <f t="shared" si="23"/>
        <v/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144"/>
      <c r="AQ162" s="144"/>
      <c r="AR162" s="144"/>
      <c r="AS162" s="144"/>
      <c r="AT162" s="4"/>
    </row>
    <row r="163" spans="1:46" s="1" customFormat="1" ht="15" customHeight="1">
      <c r="A163" s="919" t="str">
        <f>Formular!AF23</f>
        <v>Rola autoadeziva de protectie sub coame IZOVENT - 0,31 x 5m</v>
      </c>
      <c r="B163" s="920"/>
      <c r="C163" s="920"/>
      <c r="D163" s="920"/>
      <c r="E163" s="920"/>
      <c r="F163" s="920"/>
      <c r="G163" s="920"/>
      <c r="H163" s="920"/>
      <c r="I163" s="920"/>
      <c r="J163" s="920"/>
      <c r="K163" s="920"/>
      <c r="L163" s="920"/>
      <c r="M163" s="920"/>
      <c r="N163" s="920"/>
      <c r="O163" s="920"/>
      <c r="P163" s="921"/>
      <c r="Q163" s="417">
        <f>Formular!AS23</f>
        <v>0</v>
      </c>
      <c r="R163" s="350">
        <f>Info!D200</f>
        <v>5.75</v>
      </c>
      <c r="S163" s="917">
        <f t="shared" si="24"/>
        <v>0</v>
      </c>
      <c r="T163" s="918"/>
      <c r="U163" s="353"/>
      <c r="V163" s="186"/>
      <c r="W163" s="5"/>
      <c r="X163" s="5"/>
      <c r="Y163" s="5"/>
      <c r="Z163" s="5"/>
      <c r="AA163" s="404" t="str">
        <f t="shared" si="23"/>
        <v/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144"/>
      <c r="AQ163" s="144"/>
      <c r="AR163" s="144"/>
      <c r="AS163" s="144"/>
      <c r="AT163" s="4"/>
    </row>
    <row r="164" spans="1:46" s="1" customFormat="1" ht="15" customHeight="1">
      <c r="A164" s="919" t="str">
        <f>Formular!AF24</f>
        <v>Rola autoadeziva de protectie sub coame IZOVENT - 0,24 x 5m</v>
      </c>
      <c r="B164" s="920"/>
      <c r="C164" s="920"/>
      <c r="D164" s="920"/>
      <c r="E164" s="920"/>
      <c r="F164" s="920"/>
      <c r="G164" s="920"/>
      <c r="H164" s="920"/>
      <c r="I164" s="920"/>
      <c r="J164" s="920"/>
      <c r="K164" s="920"/>
      <c r="L164" s="920"/>
      <c r="M164" s="920"/>
      <c r="N164" s="920"/>
      <c r="O164" s="920"/>
      <c r="P164" s="921"/>
      <c r="Q164" s="417">
        <f>Formular!AS24</f>
        <v>0</v>
      </c>
      <c r="R164" s="350">
        <f>Info!D201</f>
        <v>4.55</v>
      </c>
      <c r="S164" s="917">
        <f t="shared" si="24"/>
        <v>0</v>
      </c>
      <c r="T164" s="918"/>
      <c r="U164" s="353"/>
      <c r="V164" s="186"/>
      <c r="W164" s="5"/>
      <c r="X164" s="5"/>
      <c r="Y164" s="5"/>
      <c r="Z164" s="5"/>
      <c r="AA164" s="404" t="str">
        <f t="shared" si="23"/>
        <v/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144"/>
      <c r="AQ164" s="144"/>
      <c r="AR164" s="144"/>
      <c r="AS164" s="144"/>
      <c r="AT164" s="4"/>
    </row>
    <row r="165" spans="1:46" s="1" customFormat="1" ht="15" customHeight="1">
      <c r="A165" s="919" t="str">
        <f>Formular!AF25</f>
        <v>Rola adeziva IZOBUTYL (pentru   CLICK )- 15mm x 60m</v>
      </c>
      <c r="B165" s="920"/>
      <c r="C165" s="920"/>
      <c r="D165" s="920"/>
      <c r="E165" s="920"/>
      <c r="F165" s="920"/>
      <c r="G165" s="920"/>
      <c r="H165" s="920"/>
      <c r="I165" s="920"/>
      <c r="J165" s="920"/>
      <c r="K165" s="920"/>
      <c r="L165" s="920"/>
      <c r="M165" s="920"/>
      <c r="N165" s="920"/>
      <c r="O165" s="920"/>
      <c r="P165" s="921"/>
      <c r="Q165" s="417">
        <f>Formular!AS25</f>
        <v>0</v>
      </c>
      <c r="R165" s="350">
        <f>Info!D202</f>
        <v>11.56</v>
      </c>
      <c r="S165" s="917">
        <f t="shared" si="24"/>
        <v>0</v>
      </c>
      <c r="T165" s="918"/>
      <c r="U165" s="353"/>
      <c r="V165" s="186"/>
      <c r="W165" s="5"/>
      <c r="X165" s="5"/>
      <c r="Y165" s="5"/>
      <c r="Z165" s="5"/>
      <c r="AA165" s="404" t="str">
        <f t="shared" si="23"/>
        <v/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144"/>
      <c r="AQ165" s="144"/>
      <c r="AR165" s="144"/>
      <c r="AS165" s="144"/>
      <c r="AT165" s="4"/>
    </row>
    <row r="166" spans="1:46" s="1" customFormat="1" ht="15" customHeight="1">
      <c r="A166" s="919" t="str">
        <f>Formular!AF26</f>
        <v>BANDA EXPANDABILA IZOLANT 30X8/4.3 m</v>
      </c>
      <c r="B166" s="920"/>
      <c r="C166" s="920"/>
      <c r="D166" s="920"/>
      <c r="E166" s="920"/>
      <c r="F166" s="920"/>
      <c r="G166" s="920"/>
      <c r="H166" s="920"/>
      <c r="I166" s="920"/>
      <c r="J166" s="920"/>
      <c r="K166" s="920"/>
      <c r="L166" s="920"/>
      <c r="M166" s="920"/>
      <c r="N166" s="920"/>
      <c r="O166" s="920"/>
      <c r="P166" s="921"/>
      <c r="Q166" s="417">
        <f>Formular!AS26</f>
        <v>0</v>
      </c>
      <c r="R166" s="350">
        <f>Info!D203</f>
        <v>10.82</v>
      </c>
      <c r="S166" s="917">
        <f t="shared" si="24"/>
        <v>0</v>
      </c>
      <c r="T166" s="918"/>
      <c r="U166" s="353"/>
      <c r="V166" s="186"/>
      <c r="W166" s="5"/>
      <c r="X166" s="5"/>
      <c r="Y166" s="5"/>
      <c r="Z166" s="5"/>
      <c r="AA166" s="404" t="str">
        <f t="shared" si="23"/>
        <v/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144"/>
      <c r="AQ166" s="144"/>
      <c r="AR166" s="144"/>
      <c r="AS166" s="144"/>
      <c r="AT166" s="4"/>
    </row>
    <row r="167" spans="1:46" s="1" customFormat="1" ht="15" customHeight="1">
      <c r="A167" s="919" t="str">
        <f>Formular!AF27</f>
        <v>Banda etansare Wtb Imperator ( coama ), lungime 1100 mm</v>
      </c>
      <c r="B167" s="920"/>
      <c r="C167" s="920"/>
      <c r="D167" s="920"/>
      <c r="E167" s="920"/>
      <c r="F167" s="920"/>
      <c r="G167" s="920"/>
      <c r="H167" s="920"/>
      <c r="I167" s="920"/>
      <c r="J167" s="920"/>
      <c r="K167" s="920"/>
      <c r="L167" s="920"/>
      <c r="M167" s="920"/>
      <c r="N167" s="920"/>
      <c r="O167" s="920"/>
      <c r="P167" s="921"/>
      <c r="Q167" s="417">
        <f>Formular!AS27</f>
        <v>0</v>
      </c>
      <c r="R167" s="350">
        <f>Info!D204</f>
        <v>0.88</v>
      </c>
      <c r="S167" s="917">
        <f t="shared" si="24"/>
        <v>0</v>
      </c>
      <c r="T167" s="918"/>
      <c r="U167" s="353"/>
      <c r="V167" s="186"/>
      <c r="W167" s="5"/>
      <c r="X167" s="5"/>
      <c r="Y167" s="5"/>
      <c r="Z167" s="5"/>
      <c r="AA167" s="404" t="str">
        <f t="shared" si="23"/>
        <v/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144"/>
      <c r="AQ167" s="144"/>
      <c r="AR167" s="144"/>
      <c r="AS167" s="144"/>
      <c r="AT167" s="4"/>
    </row>
    <row r="168" spans="1:46" s="1" customFormat="1" ht="15" customHeight="1">
      <c r="A168" s="919" t="str">
        <f>Formular!AF28</f>
        <v>Banda universala autoadeziva (dolie), lungime 1000 mm</v>
      </c>
      <c r="B168" s="920"/>
      <c r="C168" s="920"/>
      <c r="D168" s="920"/>
      <c r="E168" s="920"/>
      <c r="F168" s="920"/>
      <c r="G168" s="920"/>
      <c r="H168" s="920"/>
      <c r="I168" s="920"/>
      <c r="J168" s="920"/>
      <c r="K168" s="920"/>
      <c r="L168" s="920"/>
      <c r="M168" s="920"/>
      <c r="N168" s="920"/>
      <c r="O168" s="920"/>
      <c r="P168" s="921"/>
      <c r="Q168" s="417">
        <f>Formular!AS28</f>
        <v>0</v>
      </c>
      <c r="R168" s="350">
        <f>Info!D205</f>
        <v>0.31</v>
      </c>
      <c r="S168" s="917">
        <f t="shared" si="24"/>
        <v>0</v>
      </c>
      <c r="T168" s="918"/>
      <c r="U168" s="353"/>
      <c r="V168" s="186"/>
      <c r="W168" s="5"/>
      <c r="X168" s="5"/>
      <c r="Y168" s="5"/>
      <c r="Z168" s="5"/>
      <c r="AA168" s="404" t="str">
        <f t="shared" si="23"/>
        <v/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144"/>
      <c r="AQ168" s="144"/>
      <c r="AR168" s="144"/>
      <c r="AS168" s="144"/>
      <c r="AT168" s="4"/>
    </row>
    <row r="169" spans="1:46" s="1" customFormat="1" ht="15" customHeight="1">
      <c r="A169" s="919" t="str">
        <f>Formular!AF29</f>
        <v>Banda etansare Wtb Clasic ETM (coama),  lungime 1100 mm</v>
      </c>
      <c r="B169" s="920"/>
      <c r="C169" s="920"/>
      <c r="D169" s="920"/>
      <c r="E169" s="920"/>
      <c r="F169" s="920"/>
      <c r="G169" s="920"/>
      <c r="H169" s="920"/>
      <c r="I169" s="920"/>
      <c r="J169" s="920"/>
      <c r="K169" s="920"/>
      <c r="L169" s="920"/>
      <c r="M169" s="920"/>
      <c r="N169" s="920"/>
      <c r="O169" s="920"/>
      <c r="P169" s="921"/>
      <c r="Q169" s="417">
        <f>Formular!AS29</f>
        <v>0</v>
      </c>
      <c r="R169" s="350">
        <f>Info!D206</f>
        <v>0.74</v>
      </c>
      <c r="S169" s="917">
        <f t="shared" si="24"/>
        <v>0</v>
      </c>
      <c r="T169" s="918"/>
      <c r="U169" s="353"/>
      <c r="V169" s="186"/>
      <c r="W169" s="5"/>
      <c r="X169" s="5"/>
      <c r="Y169" s="5"/>
      <c r="Z169" s="5"/>
      <c r="AA169" s="404" t="str">
        <f t="shared" si="23"/>
        <v/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144"/>
      <c r="AQ169" s="144"/>
      <c r="AR169" s="144"/>
      <c r="AS169" s="144"/>
      <c r="AT169" s="4"/>
    </row>
    <row r="170" spans="1:46" s="1" customFormat="1" ht="15" customHeight="1">
      <c r="A170" s="919" t="str">
        <f>Formular!AF30</f>
        <v>Banda etansare Wtb Gladiator /Plus ETM (coama),  lungime 1100 mm</v>
      </c>
      <c r="B170" s="920"/>
      <c r="C170" s="920"/>
      <c r="D170" s="920"/>
      <c r="E170" s="920"/>
      <c r="F170" s="920"/>
      <c r="G170" s="920"/>
      <c r="H170" s="920"/>
      <c r="I170" s="920"/>
      <c r="J170" s="920"/>
      <c r="K170" s="920"/>
      <c r="L170" s="920"/>
      <c r="M170" s="920"/>
      <c r="N170" s="920"/>
      <c r="O170" s="920"/>
      <c r="P170" s="921"/>
      <c r="Q170" s="417">
        <f>Formular!AS30</f>
        <v>0</v>
      </c>
      <c r="R170" s="350">
        <f>Info!D207</f>
        <v>0.74</v>
      </c>
      <c r="S170" s="917">
        <f t="shared" si="24"/>
        <v>0</v>
      </c>
      <c r="T170" s="918"/>
      <c r="U170" s="353"/>
      <c r="V170" s="186"/>
      <c r="W170" s="5"/>
      <c r="X170" s="5"/>
      <c r="Y170" s="5"/>
      <c r="Z170" s="5"/>
      <c r="AA170" s="404" t="str">
        <f t="shared" si="23"/>
        <v/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144"/>
      <c r="AQ170" s="144"/>
      <c r="AR170" s="144"/>
      <c r="AS170" s="144"/>
      <c r="AT170" s="4"/>
    </row>
    <row r="171" spans="1:46" s="1" customFormat="1" ht="15" customHeight="1">
      <c r="A171" s="919" t="str">
        <f>Formular!AF31</f>
        <v>Banda etansare Wtb Cardinal (coama),  lungime 1100 mm</v>
      </c>
      <c r="B171" s="920"/>
      <c r="C171" s="920"/>
      <c r="D171" s="920"/>
      <c r="E171" s="920"/>
      <c r="F171" s="920"/>
      <c r="G171" s="920"/>
      <c r="H171" s="920"/>
      <c r="I171" s="920"/>
      <c r="J171" s="920"/>
      <c r="K171" s="920"/>
      <c r="L171" s="920"/>
      <c r="M171" s="920"/>
      <c r="N171" s="920"/>
      <c r="O171" s="920"/>
      <c r="P171" s="921"/>
      <c r="Q171" s="417">
        <f>Formular!AS31</f>
        <v>0</v>
      </c>
      <c r="R171" s="350">
        <f>Info!D208</f>
        <v>0.74</v>
      </c>
      <c r="S171" s="917">
        <f t="shared" si="24"/>
        <v>0</v>
      </c>
      <c r="T171" s="918"/>
      <c r="U171" s="353"/>
      <c r="V171" s="186"/>
      <c r="W171" s="5"/>
      <c r="X171" s="5"/>
      <c r="Y171" s="5"/>
      <c r="Z171" s="5"/>
      <c r="AA171" s="404" t="str">
        <f t="shared" si="23"/>
        <v/>
      </c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144"/>
      <c r="AQ171" s="144"/>
      <c r="AR171" s="144"/>
      <c r="AS171" s="144"/>
      <c r="AT171" s="4"/>
    </row>
    <row r="172" spans="1:46" s="1" customFormat="1" ht="15" customHeight="1">
      <c r="A172" s="919" t="str">
        <f>Formular!AF32</f>
        <v>Banda etansare Wtb Colosseum ETM (coama),  lungime 1100 mm</v>
      </c>
      <c r="B172" s="920"/>
      <c r="C172" s="920"/>
      <c r="D172" s="920"/>
      <c r="E172" s="920"/>
      <c r="F172" s="920"/>
      <c r="G172" s="920"/>
      <c r="H172" s="920"/>
      <c r="I172" s="920"/>
      <c r="J172" s="920"/>
      <c r="K172" s="920"/>
      <c r="L172" s="920"/>
      <c r="M172" s="920"/>
      <c r="N172" s="920"/>
      <c r="O172" s="920"/>
      <c r="P172" s="921"/>
      <c r="Q172" s="417">
        <f>Formular!AS32</f>
        <v>0</v>
      </c>
      <c r="R172" s="350">
        <f>Info!D209</f>
        <v>0.88</v>
      </c>
      <c r="S172" s="917">
        <f t="shared" si="24"/>
        <v>0</v>
      </c>
      <c r="T172" s="918"/>
      <c r="U172" s="353"/>
      <c r="V172" s="186"/>
      <c r="W172" s="5"/>
      <c r="X172" s="5"/>
      <c r="Y172" s="5"/>
      <c r="Z172" s="5"/>
      <c r="AA172" s="404" t="str">
        <f t="shared" si="23"/>
        <v/>
      </c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144"/>
      <c r="AQ172" s="144"/>
      <c r="AR172" s="144"/>
      <c r="AS172" s="144"/>
      <c r="AT172" s="4"/>
    </row>
    <row r="173" spans="1:46" s="1" customFormat="1" ht="15" customHeight="1">
      <c r="A173" s="919" t="str">
        <f>Formular!AF33</f>
        <v>Banda etansare W18</v>
      </c>
      <c r="B173" s="920"/>
      <c r="C173" s="920"/>
      <c r="D173" s="920"/>
      <c r="E173" s="920"/>
      <c r="F173" s="920"/>
      <c r="G173" s="920"/>
      <c r="H173" s="920"/>
      <c r="I173" s="920"/>
      <c r="J173" s="920"/>
      <c r="K173" s="920"/>
      <c r="L173" s="920"/>
      <c r="M173" s="920"/>
      <c r="N173" s="920"/>
      <c r="O173" s="920"/>
      <c r="P173" s="921"/>
      <c r="Q173" s="417">
        <f>Formular!AS33</f>
        <v>0</v>
      </c>
      <c r="R173" s="350">
        <f>Info!D210</f>
        <v>0.7</v>
      </c>
      <c r="S173" s="917">
        <f t="shared" si="24"/>
        <v>0</v>
      </c>
      <c r="T173" s="918"/>
      <c r="U173" s="353"/>
      <c r="V173" s="186"/>
      <c r="W173" s="5"/>
      <c r="X173" s="5"/>
      <c r="Y173" s="5"/>
      <c r="Z173" s="5"/>
      <c r="AA173" s="404" t="str">
        <f t="shared" si="23"/>
        <v/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144"/>
      <c r="AQ173" s="144"/>
      <c r="AR173" s="144"/>
      <c r="AS173" s="144"/>
      <c r="AT173" s="4"/>
    </row>
    <row r="174" spans="1:46" s="1" customFormat="1" ht="15" customHeight="1">
      <c r="A174" s="919" t="str">
        <f>Formular!AF34</f>
        <v>Banda etansare W35</v>
      </c>
      <c r="B174" s="920"/>
      <c r="C174" s="920"/>
      <c r="D174" s="920"/>
      <c r="E174" s="920"/>
      <c r="F174" s="920"/>
      <c r="G174" s="920"/>
      <c r="H174" s="920"/>
      <c r="I174" s="920"/>
      <c r="J174" s="920"/>
      <c r="K174" s="920"/>
      <c r="L174" s="920"/>
      <c r="M174" s="920"/>
      <c r="N174" s="920"/>
      <c r="O174" s="920"/>
      <c r="P174" s="921"/>
      <c r="Q174" s="417">
        <f>Formular!AS34</f>
        <v>0</v>
      </c>
      <c r="R174" s="350">
        <f>Info!D211</f>
        <v>1.06</v>
      </c>
      <c r="S174" s="917">
        <f t="shared" si="24"/>
        <v>0</v>
      </c>
      <c r="T174" s="918"/>
      <c r="U174" s="353"/>
      <c r="V174" s="186"/>
      <c r="W174" s="5"/>
      <c r="X174" s="5"/>
      <c r="Y174" s="5"/>
      <c r="Z174" s="5"/>
      <c r="AA174" s="404" t="str">
        <f t="shared" si="23"/>
        <v/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144"/>
      <c r="AQ174" s="144"/>
      <c r="AR174" s="144"/>
      <c r="AS174" s="144"/>
      <c r="AT174" s="4"/>
    </row>
    <row r="175" spans="1:46" s="1" customFormat="1" ht="15" customHeight="1">
      <c r="A175" s="919" t="str">
        <f>Formular!AF35</f>
        <v>Banda etansare W60 Coama</v>
      </c>
      <c r="B175" s="920"/>
      <c r="C175" s="920"/>
      <c r="D175" s="920"/>
      <c r="E175" s="920"/>
      <c r="F175" s="920"/>
      <c r="G175" s="920"/>
      <c r="H175" s="920"/>
      <c r="I175" s="920"/>
      <c r="J175" s="920"/>
      <c r="K175" s="920"/>
      <c r="L175" s="920"/>
      <c r="M175" s="920"/>
      <c r="N175" s="920"/>
      <c r="O175" s="920"/>
      <c r="P175" s="921"/>
      <c r="Q175" s="417">
        <f>Formular!AS35</f>
        <v>0</v>
      </c>
      <c r="R175" s="350">
        <f>Info!D212</f>
        <v>1.76</v>
      </c>
      <c r="S175" s="917">
        <f t="shared" si="24"/>
        <v>0</v>
      </c>
      <c r="T175" s="918"/>
      <c r="U175" s="353"/>
      <c r="V175" s="186"/>
      <c r="W175" s="5"/>
      <c r="X175" s="5"/>
      <c r="Y175" s="5"/>
      <c r="Z175" s="5"/>
      <c r="AA175" s="404" t="str">
        <f t="shared" si="23"/>
        <v/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144"/>
      <c r="AQ175" s="144"/>
      <c r="AR175" s="144"/>
      <c r="AS175" s="144"/>
      <c r="AT175" s="4"/>
    </row>
    <row r="176" spans="1:46" s="1" customFormat="1" ht="15" customHeight="1">
      <c r="A176" s="919" t="str">
        <f>Formular!AF36</f>
        <v>Piepten plastic anti-pasari 1000x60 mm</v>
      </c>
      <c r="B176" s="920"/>
      <c r="C176" s="920"/>
      <c r="D176" s="920"/>
      <c r="E176" s="920"/>
      <c r="F176" s="920"/>
      <c r="G176" s="920"/>
      <c r="H176" s="920"/>
      <c r="I176" s="920"/>
      <c r="J176" s="920"/>
      <c r="K176" s="920"/>
      <c r="L176" s="920"/>
      <c r="M176" s="920"/>
      <c r="N176" s="920"/>
      <c r="O176" s="920"/>
      <c r="P176" s="921"/>
      <c r="Q176" s="417">
        <f>Formular!AS36</f>
        <v>0</v>
      </c>
      <c r="R176" s="350">
        <f>Info!D213</f>
        <v>0.72</v>
      </c>
      <c r="S176" s="917">
        <f t="shared" si="24"/>
        <v>0</v>
      </c>
      <c r="T176" s="918"/>
      <c r="U176" s="353"/>
      <c r="V176" s="186"/>
      <c r="W176" s="5"/>
      <c r="X176" s="5"/>
      <c r="Y176" s="5"/>
      <c r="Z176" s="5"/>
      <c r="AA176" s="404" t="str">
        <f t="shared" si="23"/>
        <v/>
      </c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144"/>
      <c r="AQ176" s="144"/>
      <c r="AR176" s="144"/>
      <c r="AS176" s="144"/>
      <c r="AT176" s="4"/>
    </row>
    <row r="177" spans="1:46" s="1" customFormat="1" ht="15" customHeight="1">
      <c r="A177" s="919" t="str">
        <f>Formular!AF37</f>
        <v>Silicon etansare Wetterbest</v>
      </c>
      <c r="B177" s="920"/>
      <c r="C177" s="920"/>
      <c r="D177" s="920"/>
      <c r="E177" s="920"/>
      <c r="F177" s="920"/>
      <c r="G177" s="920"/>
      <c r="H177" s="920"/>
      <c r="I177" s="920"/>
      <c r="J177" s="920"/>
      <c r="K177" s="920"/>
      <c r="L177" s="920"/>
      <c r="M177" s="920"/>
      <c r="N177" s="920"/>
      <c r="O177" s="920"/>
      <c r="P177" s="921"/>
      <c r="Q177" s="417">
        <f>Formular!AS37</f>
        <v>0</v>
      </c>
      <c r="R177" s="350">
        <f>Info!D214</f>
        <v>5.0599999999999996</v>
      </c>
      <c r="S177" s="917">
        <f t="shared" si="24"/>
        <v>0</v>
      </c>
      <c r="T177" s="918"/>
      <c r="U177" s="353"/>
      <c r="V177" s="186"/>
      <c r="W177" s="5"/>
      <c r="X177" s="5"/>
      <c r="Y177" s="5"/>
      <c r="Z177" s="5"/>
      <c r="AA177" s="404" t="str">
        <f t="shared" si="23"/>
        <v/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144"/>
      <c r="AQ177" s="144"/>
      <c r="AR177" s="144"/>
      <c r="AS177" s="144"/>
      <c r="AT177" s="4"/>
    </row>
    <row r="178" spans="1:46" s="1" customFormat="1" ht="15" customHeight="1">
      <c r="A178" s="919" t="str">
        <f>Formular!AF38</f>
        <v>Mastic etansare Wetterbest</v>
      </c>
      <c r="B178" s="920"/>
      <c r="C178" s="920"/>
      <c r="D178" s="920"/>
      <c r="E178" s="920"/>
      <c r="F178" s="920"/>
      <c r="G178" s="920"/>
      <c r="H178" s="920"/>
      <c r="I178" s="920"/>
      <c r="J178" s="920"/>
      <c r="K178" s="920"/>
      <c r="L178" s="920"/>
      <c r="M178" s="920"/>
      <c r="N178" s="920"/>
      <c r="O178" s="920"/>
      <c r="P178" s="921"/>
      <c r="Q178" s="417">
        <f>Formular!AS38</f>
        <v>0</v>
      </c>
      <c r="R178" s="350">
        <f>Info!D215</f>
        <v>5.46</v>
      </c>
      <c r="S178" s="917">
        <f t="shared" si="24"/>
        <v>0</v>
      </c>
      <c r="T178" s="918"/>
      <c r="U178" s="353"/>
      <c r="V178" s="186"/>
      <c r="W178" s="5"/>
      <c r="X178" s="5"/>
      <c r="Y178" s="5"/>
      <c r="Z178" s="5"/>
      <c r="AA178" s="404" t="str">
        <f t="shared" si="23"/>
        <v/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144"/>
      <c r="AQ178" s="144"/>
      <c r="AR178" s="144"/>
      <c r="AS178" s="144"/>
      <c r="AT178" s="4"/>
    </row>
    <row r="179" spans="1:46" s="1" customFormat="1" ht="15" customHeight="1">
      <c r="A179" s="919" t="str">
        <f>Formular!AF39</f>
        <v>Pistol pentru silicon Albastru</v>
      </c>
      <c r="B179" s="920"/>
      <c r="C179" s="920"/>
      <c r="D179" s="920"/>
      <c r="E179" s="920"/>
      <c r="F179" s="920"/>
      <c r="G179" s="920"/>
      <c r="H179" s="920"/>
      <c r="I179" s="920"/>
      <c r="J179" s="920"/>
      <c r="K179" s="920"/>
      <c r="L179" s="920"/>
      <c r="M179" s="920"/>
      <c r="N179" s="920"/>
      <c r="O179" s="920"/>
      <c r="P179" s="921"/>
      <c r="Q179" s="417">
        <f>Formular!AS39</f>
        <v>0</v>
      </c>
      <c r="R179" s="350">
        <f>Info!D216</f>
        <v>2.81</v>
      </c>
      <c r="S179" s="917">
        <f t="shared" si="24"/>
        <v>0</v>
      </c>
      <c r="T179" s="918"/>
      <c r="U179" s="353"/>
      <c r="V179" s="186"/>
      <c r="W179" s="5"/>
      <c r="X179" s="5"/>
      <c r="Y179" s="5"/>
      <c r="Z179" s="5"/>
      <c r="AA179" s="404" t="str">
        <f t="shared" si="23"/>
        <v/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144"/>
      <c r="AQ179" s="144"/>
      <c r="AR179" s="144"/>
      <c r="AS179" s="144"/>
      <c r="AT179" s="4"/>
    </row>
    <row r="180" spans="1:46" s="1" customFormat="1" ht="15" customHeight="1">
      <c r="A180" s="919" t="str">
        <f>Formular!AF40</f>
        <v>Pistol pentru silicon Galben</v>
      </c>
      <c r="B180" s="920"/>
      <c r="C180" s="920"/>
      <c r="D180" s="920"/>
      <c r="E180" s="920"/>
      <c r="F180" s="920"/>
      <c r="G180" s="920"/>
      <c r="H180" s="920"/>
      <c r="I180" s="920"/>
      <c r="J180" s="920"/>
      <c r="K180" s="920"/>
      <c r="L180" s="920"/>
      <c r="M180" s="920"/>
      <c r="N180" s="920"/>
      <c r="O180" s="920"/>
      <c r="P180" s="921"/>
      <c r="Q180" s="417">
        <f>Formular!AS40</f>
        <v>0</v>
      </c>
      <c r="R180" s="350">
        <f>Info!D217</f>
        <v>5.19</v>
      </c>
      <c r="S180" s="917">
        <f t="shared" si="24"/>
        <v>0</v>
      </c>
      <c r="T180" s="918"/>
      <c r="U180" s="353"/>
      <c r="V180" s="186"/>
      <c r="W180" s="5"/>
      <c r="X180" s="5"/>
      <c r="Y180" s="5"/>
      <c r="Z180" s="5"/>
      <c r="AA180" s="404" t="str">
        <f t="shared" si="23"/>
        <v/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144"/>
      <c r="AQ180" s="144"/>
      <c r="AR180" s="144"/>
      <c r="AS180" s="144"/>
      <c r="AT180" s="4"/>
    </row>
    <row r="181" spans="1:46" s="1" customFormat="1" ht="15" customHeight="1">
      <c r="A181" s="919" t="str">
        <f>Formular!AF41</f>
        <v>Pistol pentru silicon Negru</v>
      </c>
      <c r="B181" s="920"/>
      <c r="C181" s="920"/>
      <c r="D181" s="920"/>
      <c r="E181" s="920"/>
      <c r="F181" s="920"/>
      <c r="G181" s="920"/>
      <c r="H181" s="920"/>
      <c r="I181" s="920"/>
      <c r="J181" s="920"/>
      <c r="K181" s="920"/>
      <c r="L181" s="920"/>
      <c r="M181" s="920"/>
      <c r="N181" s="920"/>
      <c r="O181" s="920"/>
      <c r="P181" s="921"/>
      <c r="Q181" s="417">
        <f>Formular!AS41</f>
        <v>0</v>
      </c>
      <c r="R181" s="350">
        <f>Info!D218</f>
        <v>18.02</v>
      </c>
      <c r="S181" s="917">
        <f t="shared" si="24"/>
        <v>0</v>
      </c>
      <c r="T181" s="918"/>
      <c r="U181" s="353"/>
      <c r="V181" s="186"/>
      <c r="W181" s="5"/>
      <c r="X181" s="5"/>
      <c r="Y181" s="5"/>
      <c r="Z181" s="5"/>
      <c r="AA181" s="404" t="str">
        <f t="shared" si="23"/>
        <v/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144"/>
      <c r="AQ181" s="144"/>
      <c r="AR181" s="144"/>
      <c r="AS181" s="144"/>
      <c r="AT181" s="4"/>
    </row>
    <row r="182" spans="1:46" s="1" customFormat="1" ht="15" customHeight="1">
      <c r="A182" s="919" t="str">
        <f>Formular!AF42</f>
        <v>Vopsea retus+pensula 20 ml</v>
      </c>
      <c r="B182" s="920"/>
      <c r="C182" s="920"/>
      <c r="D182" s="920"/>
      <c r="E182" s="920"/>
      <c r="F182" s="922">
        <f>INDEX(Select!B512:B514,Select!B511)</f>
        <v>0</v>
      </c>
      <c r="G182" s="922"/>
      <c r="H182" s="922"/>
      <c r="I182" s="922">
        <f>INDEX(Select!B516:B533,Select!B515)</f>
        <v>0</v>
      </c>
      <c r="J182" s="922"/>
      <c r="K182" s="922"/>
      <c r="L182" s="922"/>
      <c r="M182" s="922"/>
      <c r="N182" s="922"/>
      <c r="O182" s="922"/>
      <c r="P182" s="923"/>
      <c r="Q182" s="417">
        <f>Formular!AS42</f>
        <v>0</v>
      </c>
      <c r="R182" s="350">
        <f>Info!D219</f>
        <v>2.35</v>
      </c>
      <c r="S182" s="917">
        <f t="shared" si="24"/>
        <v>0</v>
      </c>
      <c r="T182" s="918"/>
      <c r="U182" s="353"/>
      <c r="V182" s="186"/>
      <c r="W182" s="5"/>
      <c r="X182" s="5"/>
      <c r="Y182" s="5"/>
      <c r="Z182" s="5"/>
      <c r="AA182" s="404" t="str">
        <f t="shared" si="23"/>
        <v/>
      </c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144"/>
      <c r="AQ182" s="144"/>
      <c r="AR182" s="144"/>
      <c r="AS182" s="144"/>
      <c r="AT182" s="4"/>
    </row>
    <row r="183" spans="1:46" s="1" customFormat="1" ht="15" customHeight="1">
      <c r="A183" s="919" t="str">
        <f>Formular!AF43</f>
        <v>**Ventilatie Acoperis CLASIC RAL 7024, 8017 si 9005 ( alte RAL-uri comanda )</v>
      </c>
      <c r="B183" s="920"/>
      <c r="C183" s="920"/>
      <c r="D183" s="920"/>
      <c r="E183" s="920"/>
      <c r="F183" s="920"/>
      <c r="G183" s="920"/>
      <c r="H183" s="920"/>
      <c r="I183" s="920"/>
      <c r="J183" s="920"/>
      <c r="K183" s="920"/>
      <c r="L183" s="920"/>
      <c r="M183" s="920"/>
      <c r="N183" s="920"/>
      <c r="O183" s="920"/>
      <c r="P183" s="921"/>
      <c r="Q183" s="417">
        <f>Formular!AS43</f>
        <v>0</v>
      </c>
      <c r="R183" s="350">
        <f>Info!D220</f>
        <v>42</v>
      </c>
      <c r="S183" s="917">
        <f t="shared" si="24"/>
        <v>0</v>
      </c>
      <c r="T183" s="918"/>
      <c r="U183" s="353"/>
      <c r="V183" s="186"/>
      <c r="W183" s="5"/>
      <c r="X183" s="5"/>
      <c r="Y183" s="5"/>
      <c r="Z183" s="5"/>
      <c r="AA183" s="404" t="str">
        <f t="shared" si="23"/>
        <v/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144"/>
      <c r="AQ183" s="144"/>
      <c r="AR183" s="144"/>
      <c r="AS183" s="144"/>
      <c r="AT183" s="4"/>
    </row>
    <row r="184" spans="1:46" s="1" customFormat="1" ht="15" customHeight="1">
      <c r="A184" s="919" t="str">
        <f>Formular!AF44</f>
        <v>**Ventilatie Invelitori plate RAL 7024 si 9005 ( alte RAL-uri comanda )</v>
      </c>
      <c r="B184" s="920"/>
      <c r="C184" s="920"/>
      <c r="D184" s="920"/>
      <c r="E184" s="920"/>
      <c r="F184" s="920"/>
      <c r="G184" s="920"/>
      <c r="H184" s="920"/>
      <c r="I184" s="920"/>
      <c r="J184" s="920"/>
      <c r="K184" s="920"/>
      <c r="L184" s="920"/>
      <c r="M184" s="920"/>
      <c r="N184" s="920"/>
      <c r="O184" s="920"/>
      <c r="P184" s="921"/>
      <c r="Q184" s="417">
        <f>Formular!AS44</f>
        <v>0</v>
      </c>
      <c r="R184" s="350">
        <f>Info!D221</f>
        <v>42</v>
      </c>
      <c r="S184" s="917">
        <f t="shared" si="24"/>
        <v>0</v>
      </c>
      <c r="T184" s="918"/>
      <c r="U184" s="353"/>
      <c r="V184" s="186"/>
      <c r="W184" s="5"/>
      <c r="X184" s="5"/>
      <c r="Y184" s="5"/>
      <c r="Z184" s="5"/>
      <c r="AA184" s="404" t="str">
        <f t="shared" si="23"/>
        <v/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144"/>
      <c r="AQ184" s="144"/>
      <c r="AR184" s="144"/>
      <c r="AS184" s="144"/>
      <c r="AT184" s="4"/>
    </row>
    <row r="185" spans="1:46" s="1" customFormat="1" ht="15" customHeight="1">
      <c r="A185" s="919" t="str">
        <f>Formular!AF45</f>
        <v>Ventilatie Acoperis COLOSSEUM</v>
      </c>
      <c r="B185" s="920"/>
      <c r="C185" s="920"/>
      <c r="D185" s="920"/>
      <c r="E185" s="920"/>
      <c r="F185" s="920"/>
      <c r="G185" s="920"/>
      <c r="H185" s="920"/>
      <c r="I185" s="920"/>
      <c r="J185" s="920"/>
      <c r="K185" s="920"/>
      <c r="L185" s="920"/>
      <c r="M185" s="920"/>
      <c r="N185" s="920"/>
      <c r="O185" s="920"/>
      <c r="P185" s="921"/>
      <c r="Q185" s="417">
        <f>Formular!AS45</f>
        <v>0</v>
      </c>
      <c r="R185" s="350">
        <f>Info!D222</f>
        <v>44.08</v>
      </c>
      <c r="S185" s="917">
        <f t="shared" si="24"/>
        <v>0</v>
      </c>
      <c r="T185" s="918"/>
      <c r="U185" s="353"/>
      <c r="V185" s="186"/>
      <c r="W185" s="5"/>
      <c r="X185" s="5"/>
      <c r="Y185" s="5"/>
      <c r="Z185" s="5"/>
      <c r="AA185" s="404" t="str">
        <f t="shared" si="23"/>
        <v/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144"/>
      <c r="AQ185" s="144"/>
      <c r="AR185" s="144"/>
      <c r="AS185" s="144"/>
      <c r="AT185" s="4"/>
    </row>
    <row r="186" spans="1:46" s="77" customFormat="1" ht="15" customHeight="1">
      <c r="A186" s="919" t="str">
        <f>Formular!AF46</f>
        <v>Ventilatie Acoperis GLADIATOR</v>
      </c>
      <c r="B186" s="920"/>
      <c r="C186" s="920"/>
      <c r="D186" s="920"/>
      <c r="E186" s="920"/>
      <c r="F186" s="920"/>
      <c r="G186" s="920"/>
      <c r="H186" s="920"/>
      <c r="I186" s="920"/>
      <c r="J186" s="920"/>
      <c r="K186" s="920"/>
      <c r="L186" s="920"/>
      <c r="M186" s="920"/>
      <c r="N186" s="920"/>
      <c r="O186" s="920"/>
      <c r="P186" s="921"/>
      <c r="Q186" s="417">
        <f>Formular!AS46</f>
        <v>0</v>
      </c>
      <c r="R186" s="350">
        <f>Info!D223</f>
        <v>44.08</v>
      </c>
      <c r="S186" s="917">
        <f t="shared" si="24"/>
        <v>0</v>
      </c>
      <c r="T186" s="918"/>
      <c r="U186" s="417"/>
      <c r="V186" s="186"/>
      <c r="W186" s="5"/>
      <c r="X186" s="5"/>
      <c r="Y186" s="5"/>
      <c r="Z186" s="5"/>
      <c r="AA186" s="40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144"/>
      <c r="AQ186" s="144"/>
      <c r="AR186" s="144"/>
      <c r="AS186" s="144"/>
      <c r="AT186" s="4"/>
    </row>
    <row r="187" spans="1:46" s="77" customFormat="1" ht="15" customHeight="1">
      <c r="A187" s="919" t="str">
        <f>Formular!AF47</f>
        <v>Ventilatie Acoperis PLUS</v>
      </c>
      <c r="B187" s="920"/>
      <c r="C187" s="920"/>
      <c r="D187" s="920"/>
      <c r="E187" s="920"/>
      <c r="F187" s="920"/>
      <c r="G187" s="920"/>
      <c r="H187" s="920"/>
      <c r="I187" s="920"/>
      <c r="J187" s="920"/>
      <c r="K187" s="920"/>
      <c r="L187" s="920"/>
      <c r="M187" s="920"/>
      <c r="N187" s="920"/>
      <c r="O187" s="920"/>
      <c r="P187" s="921"/>
      <c r="Q187" s="417">
        <f>Formular!AS47</f>
        <v>0</v>
      </c>
      <c r="R187" s="350">
        <f>Info!D224</f>
        <v>44.08</v>
      </c>
      <c r="S187" s="917">
        <f t="shared" si="24"/>
        <v>0</v>
      </c>
      <c r="T187" s="918"/>
      <c r="U187" s="417"/>
      <c r="V187" s="186"/>
      <c r="W187" s="5"/>
      <c r="X187" s="5"/>
      <c r="Y187" s="5"/>
      <c r="Z187" s="5"/>
      <c r="AA187" s="40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144"/>
      <c r="AQ187" s="144"/>
      <c r="AR187" s="144"/>
      <c r="AS187" s="144"/>
      <c r="AT187" s="4"/>
    </row>
    <row r="188" spans="1:46" s="77" customFormat="1" ht="15" customHeight="1">
      <c r="A188" s="919" t="str">
        <f>Formular!AF48</f>
        <v>Ventilatie Acoperis CARDINAL</v>
      </c>
      <c r="B188" s="920"/>
      <c r="C188" s="920"/>
      <c r="D188" s="920"/>
      <c r="E188" s="920"/>
      <c r="F188" s="920"/>
      <c r="G188" s="920"/>
      <c r="H188" s="920"/>
      <c r="I188" s="920"/>
      <c r="J188" s="920"/>
      <c r="K188" s="920"/>
      <c r="L188" s="920"/>
      <c r="M188" s="920"/>
      <c r="N188" s="920"/>
      <c r="O188" s="920"/>
      <c r="P188" s="921"/>
      <c r="Q188" s="417">
        <f>Formular!AS48</f>
        <v>0</v>
      </c>
      <c r="R188" s="350">
        <f>Info!D225</f>
        <v>44.08</v>
      </c>
      <c r="S188" s="917">
        <f t="shared" si="24"/>
        <v>0</v>
      </c>
      <c r="T188" s="918"/>
      <c r="U188" s="417"/>
      <c r="V188" s="186"/>
      <c r="W188" s="5"/>
      <c r="X188" s="5"/>
      <c r="Y188" s="5"/>
      <c r="Z188" s="5"/>
      <c r="AA188" s="40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144"/>
      <c r="AQ188" s="144"/>
      <c r="AR188" s="144"/>
      <c r="AS188" s="144"/>
      <c r="AT188" s="4"/>
    </row>
    <row r="189" spans="1:46" s="77" customFormat="1" ht="15" customHeight="1">
      <c r="A189" s="919" t="str">
        <f>Formular!AF49</f>
        <v>Racord flexibil aerisire</v>
      </c>
      <c r="B189" s="920"/>
      <c r="C189" s="920"/>
      <c r="D189" s="920"/>
      <c r="E189" s="920"/>
      <c r="F189" s="920"/>
      <c r="G189" s="920"/>
      <c r="H189" s="920"/>
      <c r="I189" s="920"/>
      <c r="J189" s="920"/>
      <c r="K189" s="920"/>
      <c r="L189" s="920"/>
      <c r="M189" s="920"/>
      <c r="N189" s="920"/>
      <c r="O189" s="920"/>
      <c r="P189" s="921"/>
      <c r="Q189" s="417">
        <f>Formular!AS49</f>
        <v>0</v>
      </c>
      <c r="R189" s="350">
        <f>Info!D226</f>
        <v>10.1</v>
      </c>
      <c r="S189" s="917">
        <f t="shared" si="24"/>
        <v>0</v>
      </c>
      <c r="T189" s="918"/>
      <c r="U189" s="417"/>
      <c r="V189" s="186"/>
      <c r="W189" s="5"/>
      <c r="X189" s="5"/>
      <c r="Y189" s="5"/>
      <c r="Z189" s="5"/>
      <c r="AA189" s="40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144"/>
      <c r="AQ189" s="144"/>
      <c r="AR189" s="144"/>
      <c r="AS189" s="144"/>
      <c r="AT189" s="4"/>
    </row>
    <row r="190" spans="1:46" s="77" customFormat="1" ht="15" customHeight="1">
      <c r="A190" s="919" t="str">
        <f>Formular!AF50</f>
        <v>Manson etansare MF 1 ( 6-60mm )</v>
      </c>
      <c r="B190" s="920"/>
      <c r="C190" s="920"/>
      <c r="D190" s="920"/>
      <c r="E190" s="920"/>
      <c r="F190" s="920"/>
      <c r="G190" s="920"/>
      <c r="H190" s="920"/>
      <c r="I190" s="920"/>
      <c r="J190" s="920"/>
      <c r="K190" s="920"/>
      <c r="L190" s="920"/>
      <c r="M190" s="920"/>
      <c r="N190" s="920"/>
      <c r="O190" s="920"/>
      <c r="P190" s="921"/>
      <c r="Q190" s="417">
        <f>Formular!AS50</f>
        <v>0</v>
      </c>
      <c r="R190" s="350">
        <f>Info!D227</f>
        <v>6.5</v>
      </c>
      <c r="S190" s="917">
        <f t="shared" ref="S190:S201" si="25">Q190*R190</f>
        <v>0</v>
      </c>
      <c r="T190" s="918"/>
      <c r="U190" s="417"/>
      <c r="V190" s="186"/>
      <c r="W190" s="5"/>
      <c r="X190" s="5"/>
      <c r="Y190" s="5"/>
      <c r="Z190" s="5"/>
      <c r="AA190" s="40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144"/>
      <c r="AQ190" s="144"/>
      <c r="AR190" s="144"/>
      <c r="AS190" s="144"/>
      <c r="AT190" s="4"/>
    </row>
    <row r="191" spans="1:46" s="77" customFormat="1" ht="15" customHeight="1">
      <c r="A191" s="919" t="str">
        <f>Formular!AF51</f>
        <v>Manson etansare MF 2 ( 32-82 mm )</v>
      </c>
      <c r="B191" s="920"/>
      <c r="C191" s="920"/>
      <c r="D191" s="920"/>
      <c r="E191" s="920"/>
      <c r="F191" s="920"/>
      <c r="G191" s="920"/>
      <c r="H191" s="920"/>
      <c r="I191" s="920"/>
      <c r="J191" s="920"/>
      <c r="K191" s="920"/>
      <c r="L191" s="920"/>
      <c r="M191" s="920"/>
      <c r="N191" s="920"/>
      <c r="O191" s="920"/>
      <c r="P191" s="921"/>
      <c r="Q191" s="417">
        <f>Formular!AS51</f>
        <v>0</v>
      </c>
      <c r="R191" s="350">
        <f>Info!D228</f>
        <v>9.8800000000000008</v>
      </c>
      <c r="S191" s="917">
        <f t="shared" si="25"/>
        <v>0</v>
      </c>
      <c r="T191" s="918"/>
      <c r="U191" s="417"/>
      <c r="V191" s="186"/>
      <c r="W191" s="5"/>
      <c r="X191" s="5"/>
      <c r="Y191" s="5"/>
      <c r="Z191" s="5"/>
      <c r="AA191" s="40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144"/>
      <c r="AQ191" s="144"/>
      <c r="AR191" s="144"/>
      <c r="AS191" s="144"/>
      <c r="AT191" s="4"/>
    </row>
    <row r="192" spans="1:46" s="77" customFormat="1" ht="15" customHeight="1">
      <c r="A192" s="919" t="str">
        <f>Formular!AF52</f>
        <v>Manson etansare MF 3 ( 6-110 mm)</v>
      </c>
      <c r="B192" s="920"/>
      <c r="C192" s="920"/>
      <c r="D192" s="920"/>
      <c r="E192" s="920"/>
      <c r="F192" s="920"/>
      <c r="G192" s="920"/>
      <c r="H192" s="920"/>
      <c r="I192" s="920"/>
      <c r="J192" s="920"/>
      <c r="K192" s="920"/>
      <c r="L192" s="920"/>
      <c r="M192" s="920"/>
      <c r="N192" s="920"/>
      <c r="O192" s="920"/>
      <c r="P192" s="921"/>
      <c r="Q192" s="417">
        <f>Formular!AS52</f>
        <v>0</v>
      </c>
      <c r="R192" s="350">
        <f>Info!D229</f>
        <v>9.8800000000000008</v>
      </c>
      <c r="S192" s="917">
        <f t="shared" si="25"/>
        <v>0</v>
      </c>
      <c r="T192" s="918"/>
      <c r="U192" s="417"/>
      <c r="V192" s="186"/>
      <c r="W192" s="5"/>
      <c r="X192" s="5"/>
      <c r="Y192" s="5"/>
      <c r="Z192" s="5"/>
      <c r="AA192" s="40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144"/>
      <c r="AQ192" s="144"/>
      <c r="AR192" s="144"/>
      <c r="AS192" s="144"/>
      <c r="AT192" s="4"/>
    </row>
    <row r="193" spans="1:46" s="77" customFormat="1" ht="15" customHeight="1">
      <c r="A193" s="919" t="str">
        <f>Formular!AF53</f>
        <v>Manson etansare MF 4 ( 75-150mm )</v>
      </c>
      <c r="B193" s="920"/>
      <c r="C193" s="920"/>
      <c r="D193" s="920"/>
      <c r="E193" s="920"/>
      <c r="F193" s="920"/>
      <c r="G193" s="920"/>
      <c r="H193" s="920"/>
      <c r="I193" s="920"/>
      <c r="J193" s="920"/>
      <c r="K193" s="920"/>
      <c r="L193" s="920"/>
      <c r="M193" s="920"/>
      <c r="N193" s="920"/>
      <c r="O193" s="920"/>
      <c r="P193" s="921"/>
      <c r="Q193" s="417">
        <f>Formular!AS53</f>
        <v>0</v>
      </c>
      <c r="R193" s="350">
        <f>Info!D230</f>
        <v>14.42</v>
      </c>
      <c r="S193" s="917">
        <f t="shared" si="25"/>
        <v>0</v>
      </c>
      <c r="T193" s="918"/>
      <c r="U193" s="417"/>
      <c r="V193" s="186"/>
      <c r="W193" s="5"/>
      <c r="X193" s="5"/>
      <c r="Y193" s="5"/>
      <c r="Z193" s="5"/>
      <c r="AA193" s="40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144"/>
      <c r="AQ193" s="144"/>
      <c r="AR193" s="144"/>
      <c r="AS193" s="144"/>
      <c r="AT193" s="4"/>
    </row>
    <row r="194" spans="1:46" s="77" customFormat="1" ht="15" customHeight="1">
      <c r="A194" s="919" t="str">
        <f>Formular!AF54</f>
        <v>Manson etansare MF 5 ( 102-175mm )</v>
      </c>
      <c r="B194" s="920"/>
      <c r="C194" s="920"/>
      <c r="D194" s="920"/>
      <c r="E194" s="920"/>
      <c r="F194" s="920"/>
      <c r="G194" s="920"/>
      <c r="H194" s="920"/>
      <c r="I194" s="920"/>
      <c r="J194" s="920"/>
      <c r="K194" s="920"/>
      <c r="L194" s="920"/>
      <c r="M194" s="920"/>
      <c r="N194" s="920"/>
      <c r="O194" s="920"/>
      <c r="P194" s="921"/>
      <c r="Q194" s="417">
        <f>Formular!AS54</f>
        <v>0</v>
      </c>
      <c r="R194" s="350">
        <f>Info!D231</f>
        <v>16.579999999999998</v>
      </c>
      <c r="S194" s="917">
        <f t="shared" si="25"/>
        <v>0</v>
      </c>
      <c r="T194" s="918"/>
      <c r="U194" s="417"/>
      <c r="V194" s="186"/>
      <c r="W194" s="5"/>
      <c r="X194" s="5"/>
      <c r="Y194" s="5"/>
      <c r="Z194" s="5"/>
      <c r="AA194" s="40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144"/>
      <c r="AQ194" s="144"/>
      <c r="AR194" s="144"/>
      <c r="AS194" s="144"/>
      <c r="AT194" s="4"/>
    </row>
    <row r="195" spans="1:46" s="77" customFormat="1" ht="15" customHeight="1">
      <c r="A195" s="919" t="str">
        <f>Formular!AF55</f>
        <v>Manson etansare MF 6 ( 125-230mm )</v>
      </c>
      <c r="B195" s="920"/>
      <c r="C195" s="920"/>
      <c r="D195" s="920"/>
      <c r="E195" s="920"/>
      <c r="F195" s="920"/>
      <c r="G195" s="920"/>
      <c r="H195" s="920"/>
      <c r="I195" s="920"/>
      <c r="J195" s="920"/>
      <c r="K195" s="920"/>
      <c r="L195" s="920"/>
      <c r="M195" s="920"/>
      <c r="N195" s="920"/>
      <c r="O195" s="920"/>
      <c r="P195" s="921"/>
      <c r="Q195" s="417">
        <f>Formular!AS55</f>
        <v>0</v>
      </c>
      <c r="R195" s="350">
        <f>Info!D232</f>
        <v>28.84</v>
      </c>
      <c r="S195" s="917">
        <f t="shared" si="25"/>
        <v>0</v>
      </c>
      <c r="T195" s="918"/>
      <c r="U195" s="417"/>
      <c r="V195" s="186"/>
      <c r="W195" s="5"/>
      <c r="X195" s="5"/>
      <c r="Y195" s="5"/>
      <c r="Z195" s="5"/>
      <c r="AA195" s="40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144"/>
      <c r="AQ195" s="144"/>
      <c r="AR195" s="144"/>
      <c r="AS195" s="144"/>
      <c r="AT195" s="4"/>
    </row>
    <row r="196" spans="1:46" s="77" customFormat="1" ht="15" customHeight="1">
      <c r="A196" s="919" t="str">
        <f>Formular!AF56</f>
        <v>Manson etansare MF 8(175-330)</v>
      </c>
      <c r="B196" s="920"/>
      <c r="C196" s="920"/>
      <c r="D196" s="920"/>
      <c r="E196" s="920"/>
      <c r="F196" s="920"/>
      <c r="G196" s="920"/>
      <c r="H196" s="920"/>
      <c r="I196" s="920"/>
      <c r="J196" s="920"/>
      <c r="K196" s="920"/>
      <c r="L196" s="920"/>
      <c r="M196" s="920"/>
      <c r="N196" s="920"/>
      <c r="O196" s="920"/>
      <c r="P196" s="921"/>
      <c r="Q196" s="417">
        <f>Formular!AS56</f>
        <v>0</v>
      </c>
      <c r="R196" s="350">
        <f>Info!D233</f>
        <v>45.42</v>
      </c>
      <c r="S196" s="917">
        <f t="shared" si="25"/>
        <v>0</v>
      </c>
      <c r="T196" s="918"/>
      <c r="U196" s="417"/>
      <c r="V196" s="186"/>
      <c r="W196" s="5"/>
      <c r="X196" s="5"/>
      <c r="Y196" s="5"/>
      <c r="Z196" s="5"/>
      <c r="AA196" s="40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144"/>
      <c r="AQ196" s="144"/>
      <c r="AR196" s="144"/>
      <c r="AS196" s="144"/>
      <c r="AT196" s="4"/>
    </row>
    <row r="197" spans="1:46" s="77" customFormat="1" ht="15" customHeight="1">
      <c r="A197" s="919" t="str">
        <f>Formular!AF57</f>
        <v>Manson etansare MF 9(240-475)</v>
      </c>
      <c r="B197" s="920"/>
      <c r="C197" s="920"/>
      <c r="D197" s="920"/>
      <c r="E197" s="920"/>
      <c r="F197" s="920"/>
      <c r="G197" s="920"/>
      <c r="H197" s="920"/>
      <c r="I197" s="920"/>
      <c r="J197" s="920"/>
      <c r="K197" s="920"/>
      <c r="L197" s="920"/>
      <c r="M197" s="920"/>
      <c r="N197" s="920"/>
      <c r="O197" s="920"/>
      <c r="P197" s="921"/>
      <c r="Q197" s="417">
        <f>Formular!AS57</f>
        <v>0</v>
      </c>
      <c r="R197" s="350">
        <f>Info!D234</f>
        <v>52.63</v>
      </c>
      <c r="S197" s="917">
        <f t="shared" si="25"/>
        <v>0</v>
      </c>
      <c r="T197" s="918"/>
      <c r="U197" s="417"/>
      <c r="V197" s="186"/>
      <c r="W197" s="5"/>
      <c r="X197" s="5"/>
      <c r="Y197" s="5"/>
      <c r="Z197" s="5"/>
      <c r="AA197" s="40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144"/>
      <c r="AQ197" s="144"/>
      <c r="AR197" s="144"/>
      <c r="AS197" s="144"/>
      <c r="AT197" s="4"/>
    </row>
    <row r="198" spans="1:46" s="77" customFormat="1" ht="15" customHeight="1">
      <c r="A198" s="919" t="str">
        <f>Formular!AF58</f>
        <v>Banda etansare JIS 35 NEGATIV</v>
      </c>
      <c r="B198" s="920"/>
      <c r="C198" s="920"/>
      <c r="D198" s="920"/>
      <c r="E198" s="920"/>
      <c r="F198" s="920"/>
      <c r="G198" s="920"/>
      <c r="H198" s="920"/>
      <c r="I198" s="920"/>
      <c r="J198" s="920"/>
      <c r="K198" s="920"/>
      <c r="L198" s="920"/>
      <c r="M198" s="920"/>
      <c r="N198" s="920"/>
      <c r="O198" s="920"/>
      <c r="P198" s="921"/>
      <c r="Q198" s="509">
        <f>Formular!AS58</f>
        <v>0</v>
      </c>
      <c r="R198" s="350">
        <f>Info!D235</f>
        <v>1.06</v>
      </c>
      <c r="S198" s="917">
        <f t="shared" ref="S198:S199" si="26">Q198*R198</f>
        <v>0</v>
      </c>
      <c r="T198" s="918"/>
      <c r="U198" s="509"/>
      <c r="V198" s="186"/>
      <c r="W198" s="5"/>
      <c r="X198" s="5"/>
      <c r="Y198" s="5"/>
      <c r="Z198" s="5"/>
      <c r="AA198" s="40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144"/>
      <c r="AQ198" s="144"/>
      <c r="AR198" s="144"/>
      <c r="AS198" s="144"/>
      <c r="AT198" s="4"/>
    </row>
    <row r="199" spans="1:46" s="77" customFormat="1" ht="15" customHeight="1">
      <c r="A199" s="919" t="str">
        <f>Formular!AF59</f>
        <v>Banda etansare JIS 45 NEGATIV</v>
      </c>
      <c r="B199" s="920"/>
      <c r="C199" s="920"/>
      <c r="D199" s="920"/>
      <c r="E199" s="920"/>
      <c r="F199" s="920"/>
      <c r="G199" s="920"/>
      <c r="H199" s="920"/>
      <c r="I199" s="920"/>
      <c r="J199" s="920"/>
      <c r="K199" s="920"/>
      <c r="L199" s="920"/>
      <c r="M199" s="920"/>
      <c r="N199" s="920"/>
      <c r="O199" s="920"/>
      <c r="P199" s="921"/>
      <c r="Q199" s="509">
        <f>Formular!AS59</f>
        <v>0</v>
      </c>
      <c r="R199" s="350">
        <f>Info!D236</f>
        <v>1.06</v>
      </c>
      <c r="S199" s="917">
        <f t="shared" si="26"/>
        <v>0</v>
      </c>
      <c r="T199" s="918"/>
      <c r="U199" s="509"/>
      <c r="V199" s="186"/>
      <c r="W199" s="5"/>
      <c r="X199" s="5"/>
      <c r="Y199" s="5"/>
      <c r="Z199" s="5"/>
      <c r="AA199" s="40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144"/>
      <c r="AQ199" s="144"/>
      <c r="AR199" s="144"/>
      <c r="AS199" s="144"/>
      <c r="AT199" s="4"/>
    </row>
    <row r="200" spans="1:46" s="77" customFormat="1" ht="15" customHeight="1">
      <c r="A200" s="919" t="str">
        <f>Formular!AV8</f>
        <v>Șurub cap torx 4,8x20 RAL 250 buc/cutie RAL:</v>
      </c>
      <c r="B200" s="920"/>
      <c r="C200" s="920"/>
      <c r="D200" s="920"/>
      <c r="E200" s="920"/>
      <c r="F200" s="920"/>
      <c r="G200" s="920"/>
      <c r="H200" s="920"/>
      <c r="I200" s="920"/>
      <c r="J200" s="920"/>
      <c r="K200" s="922">
        <f>Formular!BE8</f>
        <v>0</v>
      </c>
      <c r="L200" s="922"/>
      <c r="M200" s="922"/>
      <c r="N200" s="922"/>
      <c r="O200" s="922"/>
      <c r="P200" s="923"/>
      <c r="Q200" s="445">
        <f>Formular!BG8</f>
        <v>0</v>
      </c>
      <c r="R200" s="350">
        <f>R479</f>
        <v>14.46</v>
      </c>
      <c r="S200" s="917">
        <f t="shared" si="25"/>
        <v>0</v>
      </c>
      <c r="T200" s="918"/>
      <c r="U200" s="445"/>
      <c r="V200" s="186"/>
      <c r="W200" s="5"/>
      <c r="X200" s="5"/>
      <c r="Y200" s="5"/>
      <c r="Z200" s="5"/>
      <c r="AA200" s="40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144"/>
      <c r="AQ200" s="144"/>
      <c r="AR200" s="144"/>
      <c r="AS200" s="144"/>
      <c r="AT200" s="4"/>
    </row>
    <row r="201" spans="1:46" s="77" customFormat="1" ht="15" customHeight="1">
      <c r="A201" s="919" t="str">
        <f>Formular!AV9</f>
        <v>Șurub cap torx 4,8x35 RAL 250 buc/cutie RAL:</v>
      </c>
      <c r="B201" s="920"/>
      <c r="C201" s="920"/>
      <c r="D201" s="920"/>
      <c r="E201" s="920"/>
      <c r="F201" s="920"/>
      <c r="G201" s="920"/>
      <c r="H201" s="920"/>
      <c r="I201" s="920"/>
      <c r="J201" s="920"/>
      <c r="K201" s="922">
        <f>Formular!BE9</f>
        <v>0</v>
      </c>
      <c r="L201" s="922"/>
      <c r="M201" s="922"/>
      <c r="N201" s="922"/>
      <c r="O201" s="922"/>
      <c r="P201" s="923"/>
      <c r="Q201" s="445">
        <f>Formular!BG9</f>
        <v>0</v>
      </c>
      <c r="R201" s="350">
        <f>R480</f>
        <v>15.47</v>
      </c>
      <c r="S201" s="917">
        <f t="shared" si="25"/>
        <v>0</v>
      </c>
      <c r="T201" s="918"/>
      <c r="U201" s="445"/>
      <c r="V201" s="186"/>
      <c r="W201" s="5"/>
      <c r="X201" s="5"/>
      <c r="Y201" s="5"/>
      <c r="Z201" s="5"/>
      <c r="AA201" s="40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144"/>
      <c r="AQ201" s="144"/>
      <c r="AR201" s="144"/>
      <c r="AS201" s="144"/>
      <c r="AT201" s="4"/>
    </row>
    <row r="202" spans="1:46" s="1" customFormat="1" ht="15" customHeight="1">
      <c r="A202" s="919" t="str">
        <f>Formular!AU10</f>
        <v>Surub 4,8*20 Zn</v>
      </c>
      <c r="B202" s="920"/>
      <c r="C202" s="920"/>
      <c r="D202" s="920"/>
      <c r="E202" s="920"/>
      <c r="F202" s="920"/>
      <c r="G202" s="920"/>
      <c r="H202" s="920"/>
      <c r="I202" s="920"/>
      <c r="J202" s="920"/>
      <c r="K202" s="920"/>
      <c r="L202" s="920"/>
      <c r="M202" s="920"/>
      <c r="N202" s="920"/>
      <c r="O202" s="920"/>
      <c r="P202" s="921"/>
      <c r="Q202" s="10">
        <f>Formular!BG10</f>
        <v>0</v>
      </c>
      <c r="R202" s="11">
        <f>Info!D249</f>
        <v>5.79</v>
      </c>
      <c r="S202" s="917">
        <f>Q202*R202</f>
        <v>0</v>
      </c>
      <c r="T202" s="918"/>
      <c r="U202" s="353"/>
      <c r="V202" s="186"/>
      <c r="W202" s="5"/>
      <c r="X202" s="186">
        <f>SUM(S202:T215)</f>
        <v>0</v>
      </c>
      <c r="Y202" s="5"/>
      <c r="Z202" s="5"/>
      <c r="AA202" s="404" t="str">
        <f t="shared" ref="AA202:AA215" si="27">IF(Q202&gt;0,A202&amp;", ","")</f>
        <v/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144"/>
      <c r="AQ202" s="144"/>
      <c r="AR202" s="144"/>
      <c r="AS202" s="144"/>
      <c r="AT202" s="4"/>
    </row>
    <row r="203" spans="1:46" s="1" customFormat="1" ht="15" customHeight="1">
      <c r="A203" s="919" t="str">
        <f>Formular!AU11</f>
        <v>Surub 4,8*35 Zn</v>
      </c>
      <c r="B203" s="920"/>
      <c r="C203" s="920"/>
      <c r="D203" s="920"/>
      <c r="E203" s="920"/>
      <c r="F203" s="920"/>
      <c r="G203" s="920"/>
      <c r="H203" s="920"/>
      <c r="I203" s="920"/>
      <c r="J203" s="920"/>
      <c r="K203" s="920"/>
      <c r="L203" s="920"/>
      <c r="M203" s="920"/>
      <c r="N203" s="920"/>
      <c r="O203" s="920"/>
      <c r="P203" s="921"/>
      <c r="Q203" s="50">
        <f>Formular!BG11</f>
        <v>0</v>
      </c>
      <c r="R203" s="49">
        <f>Info!D250</f>
        <v>5.79</v>
      </c>
      <c r="S203" s="917">
        <f t="shared" ref="S203:S215" si="28">Q203*R203</f>
        <v>0</v>
      </c>
      <c r="T203" s="918"/>
      <c r="U203" s="353"/>
      <c r="V203" s="186"/>
      <c r="W203" s="5"/>
      <c r="X203" s="5"/>
      <c r="Y203" s="5"/>
      <c r="Z203" s="5"/>
      <c r="AA203" s="404" t="str">
        <f t="shared" si="27"/>
        <v/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144"/>
      <c r="AQ203" s="144"/>
      <c r="AR203" s="144"/>
      <c r="AS203" s="144"/>
      <c r="AT203" s="4"/>
    </row>
    <row r="204" spans="1:46" s="1" customFormat="1" ht="15" customHeight="1">
      <c r="A204" s="919" t="str">
        <f>Formular!AU12</f>
        <v>Surub 4,8*20 RAL</v>
      </c>
      <c r="B204" s="920"/>
      <c r="C204" s="920"/>
      <c r="D204" s="920"/>
      <c r="E204" s="920"/>
      <c r="F204" s="920"/>
      <c r="G204" s="922">
        <f>INDEX(Select!D75:D92,Select!D74)</f>
        <v>0</v>
      </c>
      <c r="H204" s="922"/>
      <c r="I204" s="922"/>
      <c r="J204" s="922"/>
      <c r="K204" s="922"/>
      <c r="L204" s="922"/>
      <c r="M204" s="922"/>
      <c r="N204" s="922"/>
      <c r="O204" s="922"/>
      <c r="P204" s="923"/>
      <c r="Q204" s="50">
        <f>Formular!BG12</f>
        <v>0</v>
      </c>
      <c r="R204" s="49">
        <f>Info!D251</f>
        <v>5.86</v>
      </c>
      <c r="S204" s="917">
        <f t="shared" si="28"/>
        <v>0</v>
      </c>
      <c r="T204" s="918"/>
      <c r="U204" s="353"/>
      <c r="V204" s="186"/>
      <c r="W204" s="5"/>
      <c r="X204" s="5"/>
      <c r="Y204" s="5"/>
      <c r="Z204" s="5"/>
      <c r="AA204" s="404" t="str">
        <f t="shared" si="27"/>
        <v/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144"/>
      <c r="AQ204" s="144"/>
      <c r="AR204" s="144"/>
      <c r="AS204" s="144"/>
      <c r="AT204" s="4"/>
    </row>
    <row r="205" spans="1:46" s="1" customFormat="1" ht="15" customHeight="1">
      <c r="A205" s="919" t="str">
        <f>Formular!AU13</f>
        <v>Surub 4,8*35 RAL</v>
      </c>
      <c r="B205" s="920"/>
      <c r="C205" s="920"/>
      <c r="D205" s="920"/>
      <c r="E205" s="920"/>
      <c r="F205" s="920"/>
      <c r="G205" s="922" t="str">
        <f>INDEX(Select!B75:B92,Select!B74)</f>
        <v xml:space="preserve"> </v>
      </c>
      <c r="H205" s="922"/>
      <c r="I205" s="922"/>
      <c r="J205" s="922"/>
      <c r="K205" s="922"/>
      <c r="L205" s="922"/>
      <c r="M205" s="922"/>
      <c r="N205" s="922"/>
      <c r="O205" s="922"/>
      <c r="P205" s="923"/>
      <c r="Q205" s="50">
        <f>Formular!BG13</f>
        <v>0</v>
      </c>
      <c r="R205" s="49">
        <f>Info!D252</f>
        <v>5.86</v>
      </c>
      <c r="S205" s="917">
        <f t="shared" si="28"/>
        <v>0</v>
      </c>
      <c r="T205" s="918"/>
      <c r="U205" s="353"/>
      <c r="V205" s="186"/>
      <c r="W205" s="5"/>
      <c r="X205" s="5"/>
      <c r="Y205" s="5"/>
      <c r="Z205" s="5"/>
      <c r="AA205" s="404" t="str">
        <f t="shared" si="27"/>
        <v/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144"/>
      <c r="AQ205" s="144"/>
      <c r="AR205" s="144"/>
      <c r="AS205" s="144"/>
      <c r="AT205" s="4"/>
    </row>
    <row r="206" spans="1:46" s="1" customFormat="1" ht="15" customHeight="1">
      <c r="A206" s="919">
        <f>Formular!AU14</f>
        <v>0</v>
      </c>
      <c r="B206" s="920"/>
      <c r="C206" s="920"/>
      <c r="D206" s="920"/>
      <c r="E206" s="920"/>
      <c r="F206" s="920"/>
      <c r="G206" s="920"/>
      <c r="H206" s="920"/>
      <c r="I206" s="920"/>
      <c r="J206" s="920"/>
      <c r="K206" s="920"/>
      <c r="L206" s="920"/>
      <c r="M206" s="920"/>
      <c r="N206" s="920"/>
      <c r="O206" s="920"/>
      <c r="P206" s="921"/>
      <c r="Q206" s="50">
        <f>Formular!BG14</f>
        <v>0</v>
      </c>
      <c r="R206" s="49">
        <f>Info!D253</f>
        <v>4.6900000000000004</v>
      </c>
      <c r="S206" s="917">
        <f t="shared" si="28"/>
        <v>0</v>
      </c>
      <c r="T206" s="918"/>
      <c r="U206" s="353"/>
      <c r="V206" s="186"/>
      <c r="W206" s="5"/>
      <c r="X206" s="5"/>
      <c r="Y206" s="5"/>
      <c r="Z206" s="5"/>
      <c r="AA206" s="404" t="str">
        <f t="shared" si="27"/>
        <v/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144"/>
      <c r="AQ206" s="144"/>
      <c r="AR206" s="144"/>
      <c r="AS206" s="144"/>
      <c r="AT206" s="4"/>
    </row>
    <row r="207" spans="1:46" s="1" customFormat="1" ht="15" customHeight="1">
      <c r="A207" s="919">
        <f>Formular!AU15</f>
        <v>0</v>
      </c>
      <c r="B207" s="920"/>
      <c r="C207" s="920"/>
      <c r="D207" s="920"/>
      <c r="E207" s="920"/>
      <c r="F207" s="920"/>
      <c r="G207" s="922" t="str">
        <f>INDEX(Select!H75:H79,Select!H74)</f>
        <v xml:space="preserve"> </v>
      </c>
      <c r="H207" s="922"/>
      <c r="I207" s="922"/>
      <c r="J207" s="922"/>
      <c r="K207" s="922"/>
      <c r="L207" s="922"/>
      <c r="M207" s="922"/>
      <c r="N207" s="922"/>
      <c r="O207" s="922"/>
      <c r="P207" s="923"/>
      <c r="Q207" s="50">
        <f>Formular!BG15</f>
        <v>0</v>
      </c>
      <c r="R207" s="49">
        <f>Info!D254</f>
        <v>4.9800000000000004</v>
      </c>
      <c r="S207" s="917">
        <f t="shared" si="28"/>
        <v>0</v>
      </c>
      <c r="T207" s="918"/>
      <c r="U207" s="353"/>
      <c r="V207" s="186"/>
      <c r="W207" s="5"/>
      <c r="X207" s="5"/>
      <c r="Y207" s="5"/>
      <c r="Z207" s="5"/>
      <c r="AA207" s="404" t="str">
        <f t="shared" si="27"/>
        <v/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144"/>
      <c r="AQ207" s="144"/>
      <c r="AR207" s="144"/>
      <c r="AS207" s="144"/>
      <c r="AT207" s="4"/>
    </row>
    <row r="208" spans="1:46" s="1" customFormat="1" ht="15" customHeight="1">
      <c r="A208" s="919" t="str">
        <f>Formular!AU16</f>
        <v>Surub 4,8*70 Zn</v>
      </c>
      <c r="B208" s="920"/>
      <c r="C208" s="920"/>
      <c r="D208" s="920"/>
      <c r="E208" s="920"/>
      <c r="F208" s="920"/>
      <c r="G208" s="920"/>
      <c r="H208" s="920"/>
      <c r="I208" s="920"/>
      <c r="J208" s="920"/>
      <c r="K208" s="920"/>
      <c r="L208" s="920"/>
      <c r="M208" s="920"/>
      <c r="N208" s="920"/>
      <c r="O208" s="920"/>
      <c r="P208" s="921"/>
      <c r="Q208" s="50">
        <f>Formular!BG16</f>
        <v>0</v>
      </c>
      <c r="R208" s="49">
        <f>Info!D255</f>
        <v>6.09</v>
      </c>
      <c r="S208" s="917">
        <f t="shared" si="28"/>
        <v>0</v>
      </c>
      <c r="T208" s="918"/>
      <c r="U208" s="353"/>
      <c r="V208" s="186"/>
      <c r="W208" s="5"/>
      <c r="X208" s="5"/>
      <c r="Y208" s="5"/>
      <c r="Z208" s="5"/>
      <c r="AA208" s="404" t="str">
        <f t="shared" si="27"/>
        <v/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144"/>
      <c r="AQ208" s="144"/>
      <c r="AR208" s="144"/>
      <c r="AS208" s="144"/>
      <c r="AT208" s="4"/>
    </row>
    <row r="209" spans="1:46" s="1" customFormat="1" ht="15" customHeight="1">
      <c r="A209" s="919" t="str">
        <f>Formular!AU17</f>
        <v>Surub 4,8*70 RAL - 100 Buc/cutie</v>
      </c>
      <c r="B209" s="920"/>
      <c r="C209" s="920"/>
      <c r="D209" s="920"/>
      <c r="E209" s="920"/>
      <c r="F209" s="920"/>
      <c r="G209" s="922" t="str">
        <f>INDEX(Select!I75:I83,Select!I74)</f>
        <v xml:space="preserve"> </v>
      </c>
      <c r="H209" s="922"/>
      <c r="I209" s="922"/>
      <c r="J209" s="922"/>
      <c r="K209" s="922"/>
      <c r="L209" s="922"/>
      <c r="M209" s="922"/>
      <c r="N209" s="922"/>
      <c r="O209" s="922"/>
      <c r="P209" s="923"/>
      <c r="Q209" s="50">
        <f>Formular!BG17</f>
        <v>0</v>
      </c>
      <c r="R209" s="49">
        <f>Info!D256</f>
        <v>6.33</v>
      </c>
      <c r="S209" s="917">
        <f t="shared" si="28"/>
        <v>0</v>
      </c>
      <c r="T209" s="918"/>
      <c r="U209" s="353"/>
      <c r="V209" s="186"/>
      <c r="W209" s="5"/>
      <c r="X209" s="5"/>
      <c r="Y209" s="5"/>
      <c r="Z209" s="5"/>
      <c r="AA209" s="404" t="str">
        <f t="shared" si="27"/>
        <v/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144"/>
      <c r="AQ209" s="144"/>
      <c r="AR209" s="144"/>
      <c r="AS209" s="144"/>
      <c r="AT209" s="4"/>
    </row>
    <row r="210" spans="1:46" s="1" customFormat="1" ht="15" customHeight="1">
      <c r="A210" s="919" t="str">
        <f>Formular!AU18</f>
        <v xml:space="preserve">Surub Click 4.2 x 32 pt fixare in astereala </v>
      </c>
      <c r="B210" s="920"/>
      <c r="C210" s="920"/>
      <c r="D210" s="920"/>
      <c r="E210" s="920"/>
      <c r="F210" s="920"/>
      <c r="G210" s="920"/>
      <c r="H210" s="920"/>
      <c r="I210" s="920"/>
      <c r="J210" s="920"/>
      <c r="K210" s="920"/>
      <c r="L210" s="920"/>
      <c r="M210" s="920"/>
      <c r="N210" s="920"/>
      <c r="O210" s="920"/>
      <c r="P210" s="921"/>
      <c r="Q210" s="50">
        <f>Formular!BG18</f>
        <v>0</v>
      </c>
      <c r="R210" s="350">
        <f>Info!D257</f>
        <v>9.9</v>
      </c>
      <c r="S210" s="917">
        <f t="shared" si="28"/>
        <v>0</v>
      </c>
      <c r="T210" s="918"/>
      <c r="U210" s="353"/>
      <c r="V210" s="186"/>
      <c r="W210" s="5"/>
      <c r="X210" s="5"/>
      <c r="Y210" s="5"/>
      <c r="Z210" s="5"/>
      <c r="AA210" s="404" t="str">
        <f t="shared" si="27"/>
        <v/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144"/>
      <c r="AQ210" s="144"/>
      <c r="AR210" s="144"/>
      <c r="AS210" s="144"/>
      <c r="AT210" s="4"/>
    </row>
    <row r="211" spans="1:46" s="77" customFormat="1" ht="15" customHeight="1">
      <c r="A211" s="919" t="str">
        <f>Formular!AU19</f>
        <v>Surub 4,8*50 ZN 100buc</v>
      </c>
      <c r="B211" s="920"/>
      <c r="C211" s="920"/>
      <c r="D211" s="920"/>
      <c r="E211" s="920"/>
      <c r="F211" s="920"/>
      <c r="G211" s="920"/>
      <c r="H211" s="920"/>
      <c r="I211" s="920"/>
      <c r="J211" s="920"/>
      <c r="K211" s="920"/>
      <c r="L211" s="920"/>
      <c r="M211" s="920"/>
      <c r="N211" s="920"/>
      <c r="O211" s="920"/>
      <c r="P211" s="921"/>
      <c r="Q211" s="474">
        <f>Formular!BG19</f>
        <v>0</v>
      </c>
      <c r="R211" s="350">
        <f>Info!D258</f>
        <v>5</v>
      </c>
      <c r="S211" s="917">
        <f t="shared" ref="S211" si="29">Q211*R211</f>
        <v>0</v>
      </c>
      <c r="T211" s="918"/>
      <c r="U211" s="353"/>
      <c r="V211" s="186"/>
      <c r="W211" s="5"/>
      <c r="X211" s="5"/>
      <c r="Y211" s="5"/>
      <c r="Z211" s="5"/>
      <c r="AA211" s="404" t="str">
        <f t="shared" si="27"/>
        <v/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144"/>
      <c r="AQ211" s="144"/>
      <c r="AR211" s="144"/>
      <c r="AS211" s="144"/>
      <c r="AT211" s="4"/>
    </row>
    <row r="212" spans="1:46" s="77" customFormat="1" ht="15" customHeight="1">
      <c r="A212" s="919" t="str">
        <f>Formular!AU20</f>
        <v>Surub 4,8*50 RAL 8017 100buc</v>
      </c>
      <c r="B212" s="920"/>
      <c r="C212" s="920"/>
      <c r="D212" s="920"/>
      <c r="E212" s="920"/>
      <c r="F212" s="920"/>
      <c r="G212" s="920"/>
      <c r="H212" s="920"/>
      <c r="I212" s="920"/>
      <c r="J212" s="920"/>
      <c r="K212" s="920"/>
      <c r="L212" s="920"/>
      <c r="M212" s="920"/>
      <c r="N212" s="920"/>
      <c r="O212" s="920"/>
      <c r="P212" s="921"/>
      <c r="Q212" s="474">
        <f>Formular!BG20</f>
        <v>0</v>
      </c>
      <c r="R212" s="350">
        <f>Info!D259</f>
        <v>5.36</v>
      </c>
      <c r="S212" s="917">
        <f t="shared" ref="S212" si="30">Q212*R212</f>
        <v>0</v>
      </c>
      <c r="T212" s="918"/>
      <c r="U212" s="474"/>
      <c r="V212" s="186"/>
      <c r="W212" s="5"/>
      <c r="X212" s="5"/>
      <c r="Y212" s="5"/>
      <c r="Z212" s="5"/>
      <c r="AA212" s="404" t="str">
        <f t="shared" si="27"/>
        <v/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144"/>
      <c r="AQ212" s="144"/>
      <c r="AR212" s="144"/>
      <c r="AS212" s="144"/>
      <c r="AT212" s="4"/>
    </row>
    <row r="213" spans="1:46" s="1" customFormat="1" ht="15" customHeight="1">
      <c r="A213" s="919" t="str">
        <f>Formular!AU22</f>
        <v>Surub 4.8*19 CF 3mm Zn</v>
      </c>
      <c r="B213" s="920"/>
      <c r="C213" s="920"/>
      <c r="D213" s="920"/>
      <c r="E213" s="920"/>
      <c r="F213" s="920"/>
      <c r="G213" s="920"/>
      <c r="H213" s="920"/>
      <c r="I213" s="920"/>
      <c r="J213" s="920"/>
      <c r="K213" s="920"/>
      <c r="L213" s="920"/>
      <c r="M213" s="920"/>
      <c r="N213" s="920"/>
      <c r="O213" s="920"/>
      <c r="P213" s="921"/>
      <c r="Q213" s="19">
        <f>Formular!BG22</f>
        <v>0</v>
      </c>
      <c r="R213" s="20">
        <f>Info!D260</f>
        <v>6.76</v>
      </c>
      <c r="S213" s="917">
        <f t="shared" si="28"/>
        <v>0</v>
      </c>
      <c r="T213" s="918"/>
      <c r="U213" s="353"/>
      <c r="V213" s="186"/>
      <c r="W213" s="5"/>
      <c r="X213" s="5"/>
      <c r="Y213" s="5"/>
      <c r="Z213" s="5"/>
      <c r="AA213" s="404" t="str">
        <f t="shared" si="27"/>
        <v/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144"/>
      <c r="AQ213" s="144"/>
      <c r="AR213" s="144"/>
      <c r="AS213" s="144"/>
      <c r="AT213" s="4"/>
    </row>
    <row r="214" spans="1:46" s="1" customFormat="1" ht="15" customHeight="1">
      <c r="A214" s="919" t="str">
        <f>Formular!AU23</f>
        <v>Surub 4.8*19 CF3 RAL</v>
      </c>
      <c r="B214" s="920"/>
      <c r="C214" s="920"/>
      <c r="D214" s="920"/>
      <c r="E214" s="920"/>
      <c r="F214" s="920"/>
      <c r="G214" s="922" t="str">
        <f>INDEX(Select!B128:B141,Select!B127)</f>
        <v xml:space="preserve"> </v>
      </c>
      <c r="H214" s="922"/>
      <c r="I214" s="922"/>
      <c r="J214" s="922"/>
      <c r="K214" s="922"/>
      <c r="L214" s="922"/>
      <c r="M214" s="922"/>
      <c r="N214" s="922"/>
      <c r="O214" s="922"/>
      <c r="P214" s="923"/>
      <c r="Q214" s="19">
        <f>Formular!BG23</f>
        <v>0</v>
      </c>
      <c r="R214" s="20">
        <f>Info!D261</f>
        <v>6.79</v>
      </c>
      <c r="S214" s="917">
        <f t="shared" si="28"/>
        <v>0</v>
      </c>
      <c r="T214" s="918"/>
      <c r="U214" s="353"/>
      <c r="V214" s="186"/>
      <c r="W214" s="5"/>
      <c r="X214" s="5"/>
      <c r="Y214" s="5"/>
      <c r="Z214" s="5"/>
      <c r="AA214" s="404" t="str">
        <f t="shared" si="27"/>
        <v/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144"/>
      <c r="AQ214" s="144"/>
      <c r="AR214" s="144"/>
      <c r="AS214" s="144"/>
      <c r="AT214" s="4"/>
    </row>
    <row r="215" spans="1:46" s="1" customFormat="1" ht="15" customHeight="1">
      <c r="A215" s="919" t="str">
        <f>Formular!AU24</f>
        <v>Cheie tubulara 8mm</v>
      </c>
      <c r="B215" s="920"/>
      <c r="C215" s="920"/>
      <c r="D215" s="920"/>
      <c r="E215" s="920"/>
      <c r="F215" s="920"/>
      <c r="G215" s="920"/>
      <c r="H215" s="920"/>
      <c r="I215" s="920"/>
      <c r="J215" s="920"/>
      <c r="K215" s="920"/>
      <c r="L215" s="920"/>
      <c r="M215" s="920"/>
      <c r="N215" s="920"/>
      <c r="O215" s="920"/>
      <c r="P215" s="921"/>
      <c r="Q215" s="19">
        <f>Formular!BG24</f>
        <v>0</v>
      </c>
      <c r="R215" s="20">
        <f>Info!D262</f>
        <v>2.2400000000000002</v>
      </c>
      <c r="S215" s="917">
        <f t="shared" si="28"/>
        <v>0</v>
      </c>
      <c r="T215" s="918"/>
      <c r="U215" s="353"/>
      <c r="V215" s="186"/>
      <c r="W215" s="5"/>
      <c r="X215" s="5"/>
      <c r="Y215" s="5"/>
      <c r="Z215" s="5"/>
      <c r="AA215" s="404" t="str">
        <f t="shared" si="27"/>
        <v/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144"/>
      <c r="AQ215" s="144"/>
      <c r="AR215" s="144"/>
      <c r="AS215" s="144"/>
      <c r="AT215" s="4"/>
    </row>
    <row r="216" spans="1:46" s="77" customFormat="1" ht="15" customHeight="1">
      <c r="A216" s="929" t="str">
        <f>Formular!BH6</f>
        <v>FERESTRE SI ACCESORII</v>
      </c>
      <c r="B216" s="930"/>
      <c r="C216" s="930"/>
      <c r="D216" s="930"/>
      <c r="E216" s="930"/>
      <c r="F216" s="930"/>
      <c r="G216" s="930"/>
      <c r="H216" s="930"/>
      <c r="I216" s="930"/>
      <c r="J216" s="930"/>
      <c r="K216" s="930"/>
      <c r="L216" s="930"/>
      <c r="M216" s="930"/>
      <c r="N216" s="930"/>
      <c r="O216" s="930"/>
      <c r="P216" s="931"/>
      <c r="Q216" s="270">
        <f>IF(Z218&gt;0,1,0)</f>
        <v>0</v>
      </c>
      <c r="R216" s="267"/>
      <c r="S216" s="268"/>
      <c r="T216" s="269"/>
      <c r="U216" s="365"/>
      <c r="V216" s="5"/>
      <c r="W216" s="5"/>
      <c r="X216" s="5"/>
      <c r="Y216" s="5"/>
      <c r="Z216" s="5"/>
      <c r="AA216" s="5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144"/>
      <c r="AQ216" s="144"/>
      <c r="AR216" s="144"/>
      <c r="AS216" s="144"/>
      <c r="AT216" s="4"/>
    </row>
    <row r="217" spans="1:46" s="77" customFormat="1" ht="15" customHeight="1">
      <c r="A217" s="932" t="str">
        <f>Lang!A403&amp;Z218&amp;Lang!A404</f>
        <v xml:space="preserve">Valoare 0 euro fara tva </v>
      </c>
      <c r="B217" s="933"/>
      <c r="C217" s="933"/>
      <c r="D217" s="933"/>
      <c r="E217" s="933"/>
      <c r="F217" s="933"/>
      <c r="G217" s="933"/>
      <c r="H217" s="933"/>
      <c r="I217" s="933"/>
      <c r="J217" s="933"/>
      <c r="K217" s="933"/>
      <c r="L217" s="933"/>
      <c r="M217" s="933"/>
      <c r="N217" s="933"/>
      <c r="O217" s="933"/>
      <c r="P217" s="934"/>
      <c r="Q217" s="271">
        <f>Q216</f>
        <v>0</v>
      </c>
      <c r="R217" s="264"/>
      <c r="S217" s="265"/>
      <c r="T217" s="266"/>
      <c r="U217" s="366"/>
      <c r="V217" s="5"/>
      <c r="W217" s="5"/>
      <c r="X217" s="5"/>
      <c r="Y217" s="5"/>
      <c r="Z217" s="5"/>
      <c r="AA217" s="5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144"/>
      <c r="AQ217" s="144"/>
      <c r="AR217" s="144"/>
      <c r="AS217" s="144"/>
      <c r="AT217" s="4"/>
    </row>
    <row r="218" spans="1:46" s="1" customFormat="1" ht="15" customHeight="1">
      <c r="A218" s="919" t="s">
        <v>129</v>
      </c>
      <c r="B218" s="920"/>
      <c r="C218" s="920"/>
      <c r="D218" s="920"/>
      <c r="E218" s="920" t="s">
        <v>128</v>
      </c>
      <c r="F218" s="920"/>
      <c r="G218" s="920"/>
      <c r="H218" s="920"/>
      <c r="I218" s="920" t="s">
        <v>127</v>
      </c>
      <c r="J218" s="920"/>
      <c r="K218" s="920"/>
      <c r="L218" s="920"/>
      <c r="M218" s="947">
        <f>INDEX(Select!B312:B325,Select!B311)</f>
        <v>0</v>
      </c>
      <c r="N218" s="947"/>
      <c r="O218" s="947"/>
      <c r="P218" s="948"/>
      <c r="Q218" s="10">
        <f>Formular!BM7</f>
        <v>0</v>
      </c>
      <c r="R218" s="11" t="str">
        <f>IF(Select!$B$311=2,Info!B328,IF(Select!$B$311=3,Info!C328,IF(Select!$B$311=4,Info!D328,IF(Select!$B$311=5,Info!E328,IF(Select!$B$311=6,Info!F328,IF(Select!$B$311=7,Info!G328,IF(Select!$B$311=8,Info!H328,IF(Select!$B$311=9,Info!I328,IF(Select!$B$311=10,Info!J328,IF(Select!$B$311=11,Info!K328,IF(Select!$B$311=12,Info!L328,IF(Select!$B$311=13,Info!M328,IF(Select!$B$311=14,Info!N328,"0")))))))))))))</f>
        <v>0</v>
      </c>
      <c r="S218" s="917">
        <f t="shared" ref="S218" si="31">Q218*R218</f>
        <v>0</v>
      </c>
      <c r="T218" s="918"/>
      <c r="U218" s="353"/>
      <c r="V218" s="188"/>
      <c r="W218" s="189"/>
      <c r="X218" s="189"/>
      <c r="Y218" s="189"/>
      <c r="Z218" s="186">
        <f>SUM(S218:S251)</f>
        <v>0</v>
      </c>
      <c r="AA218" s="404" t="str">
        <f>IF(Q218&gt;0,I218&amp;" "&amp;M218&amp;", ","")</f>
        <v/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144"/>
      <c r="AQ218" s="144"/>
      <c r="AR218" s="144"/>
      <c r="AS218" s="144"/>
      <c r="AT218" s="4"/>
    </row>
    <row r="219" spans="1:46" s="65" customFormat="1" ht="15" customHeight="1">
      <c r="A219" s="919" t="s">
        <v>129</v>
      </c>
      <c r="B219" s="920"/>
      <c r="C219" s="920"/>
      <c r="D219" s="920"/>
      <c r="E219" s="920" t="s">
        <v>128</v>
      </c>
      <c r="F219" s="920"/>
      <c r="G219" s="920"/>
      <c r="H219" s="920"/>
      <c r="I219" s="920" t="s">
        <v>127</v>
      </c>
      <c r="J219" s="920"/>
      <c r="K219" s="920"/>
      <c r="L219" s="920"/>
      <c r="M219" s="947">
        <f>INDEX(Select!C312:C325,Select!C311)</f>
        <v>0</v>
      </c>
      <c r="N219" s="947"/>
      <c r="O219" s="947"/>
      <c r="P219" s="948"/>
      <c r="Q219" s="66">
        <f>Formular!BM8</f>
        <v>0</v>
      </c>
      <c r="R219" s="350" t="str">
        <f>IF(Select!$C$311=2,Info!B328,IF(Select!$C$311=3,Info!C328,IF(Select!$C$311=4,Info!D328,IF(Select!$C$311=5,Info!E328,IF(Select!$C$311=6,Info!F328,IF(Select!$C$311=7,Info!G328,IF(Select!$C$311=8,Info!H328,IF(Select!$C$311=9,Info!I328,IF(Select!$C$311=10,Info!J328,IF(Select!$C$311=11,Info!K328,IF(Select!$C$311=12,Info!L328,IF(Select!$C$311=13,Info!M328,IF(Select!$C$311=14,Info!N328,"0")))))))))))))</f>
        <v>0</v>
      </c>
      <c r="S219" s="917">
        <f t="shared" ref="S219:S251" si="32">Q219*R219</f>
        <v>0</v>
      </c>
      <c r="T219" s="918"/>
      <c r="U219" s="353"/>
      <c r="V219" s="188"/>
      <c r="W219" s="189"/>
      <c r="X219" s="189"/>
      <c r="Y219" s="189"/>
      <c r="Z219" s="186"/>
      <c r="AA219" s="404" t="str">
        <f t="shared" ref="AA219:AA251" si="33">IF(Q219&gt;0,I219&amp;" "&amp;M219&amp;", ","")</f>
        <v/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144"/>
      <c r="AQ219" s="144"/>
      <c r="AR219" s="144"/>
      <c r="AS219" s="144"/>
      <c r="AT219" s="4"/>
    </row>
    <row r="220" spans="1:46" s="65" customFormat="1" ht="15" customHeight="1">
      <c r="A220" s="919" t="s">
        <v>129</v>
      </c>
      <c r="B220" s="920"/>
      <c r="C220" s="920"/>
      <c r="D220" s="920"/>
      <c r="E220" s="920" t="s">
        <v>128</v>
      </c>
      <c r="F220" s="920"/>
      <c r="G220" s="920"/>
      <c r="H220" s="920"/>
      <c r="I220" s="920" t="s">
        <v>468</v>
      </c>
      <c r="J220" s="920"/>
      <c r="K220" s="920"/>
      <c r="L220" s="920"/>
      <c r="M220" s="947">
        <f>INDEX(Select!D312:D325,Select!D311)</f>
        <v>0</v>
      </c>
      <c r="N220" s="947"/>
      <c r="O220" s="947"/>
      <c r="P220" s="948"/>
      <c r="Q220" s="66">
        <f>Formular!BM9</f>
        <v>0</v>
      </c>
      <c r="R220" s="350" t="str">
        <f>IF(Select!$D$311=2,Info!B329,IF(Select!$D$311=3,Info!C329,IF(Select!$D$311=4,Info!D329,IF(Select!$D$311=5,Info!E329,IF(Select!$D$311=6,Info!F329,IF(Select!$D$311=7,Info!G329,IF(Select!$D$311=8,Info!H329,IF(Select!$D$311=9,Info!I329,IF(Select!$D$311=10,Info!J329,IF(Select!$D$311=11,Info!K329,IF(Select!$D$311=12,Info!L329,IF(Select!$D$311=13,Info!M329,IF(Select!$D$311=14,Info!N329,"0")))))))))))))</f>
        <v>0</v>
      </c>
      <c r="S220" s="917">
        <f t="shared" si="32"/>
        <v>0</v>
      </c>
      <c r="T220" s="918"/>
      <c r="U220" s="353"/>
      <c r="V220" s="188"/>
      <c r="W220" s="189"/>
      <c r="X220" s="189"/>
      <c r="Y220" s="189"/>
      <c r="Z220" s="186"/>
      <c r="AA220" s="404" t="str">
        <f t="shared" si="33"/>
        <v/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144"/>
      <c r="AQ220" s="144"/>
      <c r="AR220" s="144"/>
      <c r="AS220" s="144"/>
      <c r="AT220" s="4"/>
    </row>
    <row r="221" spans="1:46" s="65" customFormat="1" ht="15" customHeight="1">
      <c r="A221" s="919" t="s">
        <v>129</v>
      </c>
      <c r="B221" s="920"/>
      <c r="C221" s="920"/>
      <c r="D221" s="920"/>
      <c r="E221" s="920" t="s">
        <v>128</v>
      </c>
      <c r="F221" s="920"/>
      <c r="G221" s="920"/>
      <c r="H221" s="920"/>
      <c r="I221" s="920" t="s">
        <v>468</v>
      </c>
      <c r="J221" s="920"/>
      <c r="K221" s="920"/>
      <c r="L221" s="920"/>
      <c r="M221" s="947">
        <f>INDEX(Select!E312:E325,Select!E311)</f>
        <v>0</v>
      </c>
      <c r="N221" s="947"/>
      <c r="O221" s="947"/>
      <c r="P221" s="948"/>
      <c r="Q221" s="66">
        <f>Formular!BM10</f>
        <v>0</v>
      </c>
      <c r="R221" s="350" t="str">
        <f>IF(Select!$E$311=2,Info!B329,IF(Select!$E$311=3,Info!C329,IF(Select!$E$311=4,Info!D329,IF(Select!$E$311=5,Info!E329,IF(Select!$E$311=6,Info!F329,IF(Select!$E$311=7,Info!G329,IF(Select!$E$311=8,Info!H329,IF(Select!$E$311=9,Info!I329,IF(Select!$E$311=10,Info!J329,IF(Select!$E$311=11,Info!K329,IF(Select!$E$311=12,Info!L329,IF(Select!$E$311=13,Info!M329,IF(Select!$E$311=14,Info!N329,"0")))))))))))))</f>
        <v>0</v>
      </c>
      <c r="S221" s="917">
        <f t="shared" si="32"/>
        <v>0</v>
      </c>
      <c r="T221" s="918"/>
      <c r="U221" s="353"/>
      <c r="V221" s="188"/>
      <c r="W221" s="189"/>
      <c r="X221" s="189"/>
      <c r="Y221" s="189"/>
      <c r="Z221" s="186"/>
      <c r="AA221" s="404" t="str">
        <f t="shared" si="33"/>
        <v/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144"/>
      <c r="AQ221" s="144"/>
      <c r="AR221" s="144"/>
      <c r="AS221" s="144"/>
      <c r="AT221" s="4"/>
    </row>
    <row r="222" spans="1:46" s="65" customFormat="1" ht="15" customHeight="1">
      <c r="A222" s="919" t="s">
        <v>129</v>
      </c>
      <c r="B222" s="920"/>
      <c r="C222" s="920"/>
      <c r="D222" s="920"/>
      <c r="E222" s="920" t="s">
        <v>128</v>
      </c>
      <c r="F222" s="920"/>
      <c r="G222" s="920"/>
      <c r="H222" s="920"/>
      <c r="I222" s="920" t="s">
        <v>469</v>
      </c>
      <c r="J222" s="920"/>
      <c r="K222" s="920"/>
      <c r="L222" s="920"/>
      <c r="M222" s="947">
        <f>INDEX(Select!F312:F325,Select!F311)</f>
        <v>0</v>
      </c>
      <c r="N222" s="947"/>
      <c r="O222" s="947"/>
      <c r="P222" s="948"/>
      <c r="Q222" s="66">
        <f>Formular!BM11</f>
        <v>0</v>
      </c>
      <c r="R222" s="350" t="str">
        <f>IF(Select!$F$311=2,Info!B330,IF(Select!$F$311=3,Info!C330,IF(Select!$F$311=4,Info!D330,IF(Select!$F$311=5,Info!E330,IF(Select!$F$311=6,Info!F330,IF(Select!$F$311=7,Info!G330,IF(Select!$F$311=8,Info!H330,IF(Select!$F$311=9,Info!I330,IF(Select!$F$311=10,Info!J330,IF(Select!$F$311=11,Info!K330,IF(Select!$F$311=12,Info!L330,IF(Select!$F$311=13,Info!M330,IF(Select!$F$311=14,Info!N330,"0")))))))))))))</f>
        <v>0</v>
      </c>
      <c r="S222" s="917">
        <f t="shared" si="32"/>
        <v>0</v>
      </c>
      <c r="T222" s="918"/>
      <c r="U222" s="353"/>
      <c r="V222" s="188"/>
      <c r="W222" s="189"/>
      <c r="X222" s="189"/>
      <c r="Y222" s="189"/>
      <c r="Z222" s="186"/>
      <c r="AA222" s="404" t="str">
        <f t="shared" si="33"/>
        <v/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144"/>
      <c r="AQ222" s="144"/>
      <c r="AR222" s="144"/>
      <c r="AS222" s="144"/>
      <c r="AT222" s="4"/>
    </row>
    <row r="223" spans="1:46" s="65" customFormat="1" ht="15" customHeight="1">
      <c r="A223" s="919" t="s">
        <v>129</v>
      </c>
      <c r="B223" s="920"/>
      <c r="C223" s="920"/>
      <c r="D223" s="920"/>
      <c r="E223" s="920" t="s">
        <v>128</v>
      </c>
      <c r="F223" s="920"/>
      <c r="G223" s="920"/>
      <c r="H223" s="920"/>
      <c r="I223" s="920" t="s">
        <v>469</v>
      </c>
      <c r="J223" s="920"/>
      <c r="K223" s="920"/>
      <c r="L223" s="920"/>
      <c r="M223" s="947">
        <f>INDEX(Select!G312:G325,Select!G311)</f>
        <v>0</v>
      </c>
      <c r="N223" s="947"/>
      <c r="O223" s="947"/>
      <c r="P223" s="948"/>
      <c r="Q223" s="66">
        <f>Formular!BM12</f>
        <v>0</v>
      </c>
      <c r="R223" s="350" t="str">
        <f>IF(Select!$G$311=2,Info!B330,IF(Select!$G$311=3,Info!C330,IF(Select!$G$311=4,Info!D330,IF(Select!$G$311=5,Info!E330,IF(Select!$G$311=6,Info!F330,IF(Select!$G$311=7,Info!G330,IF(Select!$G$311=8,Info!H330,IF(Select!$G$311=9,Info!I330,IF(Select!$G$311=10,Info!J330,IF(Select!$G$311=11,Info!K330,IF(Select!$G$311=12,Info!L330,IF(Select!$G$311=13,Info!M330,IF(Select!$G$311=14,Info!N330,"0")))))))))))))</f>
        <v>0</v>
      </c>
      <c r="S223" s="917">
        <f t="shared" si="32"/>
        <v>0</v>
      </c>
      <c r="T223" s="918"/>
      <c r="U223" s="353"/>
      <c r="V223" s="188"/>
      <c r="W223" s="189"/>
      <c r="X223" s="189"/>
      <c r="Y223" s="189"/>
      <c r="Z223" s="186"/>
      <c r="AA223" s="404" t="str">
        <f t="shared" si="33"/>
        <v/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144"/>
      <c r="AQ223" s="144"/>
      <c r="AR223" s="144"/>
      <c r="AS223" s="144"/>
      <c r="AT223" s="4"/>
    </row>
    <row r="224" spans="1:46" s="65" customFormat="1" ht="15" customHeight="1">
      <c r="A224" s="919" t="s">
        <v>129</v>
      </c>
      <c r="B224" s="920"/>
      <c r="C224" s="920"/>
      <c r="D224" s="920"/>
      <c r="E224" s="920" t="s">
        <v>128</v>
      </c>
      <c r="F224" s="920"/>
      <c r="G224" s="920"/>
      <c r="H224" s="920"/>
      <c r="I224" s="920" t="s">
        <v>470</v>
      </c>
      <c r="J224" s="920"/>
      <c r="K224" s="920"/>
      <c r="L224" s="920"/>
      <c r="M224" s="947">
        <f>INDEX(Select!H312:H325,Select!H311)</f>
        <v>0</v>
      </c>
      <c r="N224" s="947"/>
      <c r="O224" s="947"/>
      <c r="P224" s="948"/>
      <c r="Q224" s="66">
        <f>Formular!BM13</f>
        <v>0</v>
      </c>
      <c r="R224" s="350" t="str">
        <f>IF(Select!$H$311=2,Info!B331,IF(Select!$H$311=3,Info!C331,IF(Select!$H$311=4,Info!D331,IF(Select!$H$311=5,Info!E331,IF(Select!$H$311=6,Info!F331,IF(Select!$H$311=7,Info!G331,IF(Select!$H$311=8,Info!H331,IF(Select!$H$311=9,Info!I331,IF(Select!$H$311=10,Info!J331,IF(Select!$H$311=11,Info!K331,IF(Select!$H$311=12,Info!L331,IF(Select!$H$311=13,Info!M331,IF(Select!$H$311=14,Info!N331,"0")))))))))))))</f>
        <v>0</v>
      </c>
      <c r="S224" s="917">
        <f t="shared" si="32"/>
        <v>0</v>
      </c>
      <c r="T224" s="918"/>
      <c r="U224" s="353"/>
      <c r="V224" s="188"/>
      <c r="W224" s="189"/>
      <c r="X224" s="189"/>
      <c r="Y224" s="189"/>
      <c r="Z224" s="186"/>
      <c r="AA224" s="404" t="str">
        <f t="shared" si="33"/>
        <v/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144"/>
      <c r="AQ224" s="144"/>
      <c r="AR224" s="144"/>
      <c r="AS224" s="144"/>
      <c r="AT224" s="4"/>
    </row>
    <row r="225" spans="1:46" s="65" customFormat="1" ht="15" customHeight="1">
      <c r="A225" s="919" t="s">
        <v>129</v>
      </c>
      <c r="B225" s="920"/>
      <c r="C225" s="920"/>
      <c r="D225" s="920"/>
      <c r="E225" s="920" t="s">
        <v>128</v>
      </c>
      <c r="F225" s="920"/>
      <c r="G225" s="920"/>
      <c r="H225" s="920"/>
      <c r="I225" s="920" t="s">
        <v>470</v>
      </c>
      <c r="J225" s="920"/>
      <c r="K225" s="920"/>
      <c r="L225" s="920"/>
      <c r="M225" s="947">
        <f>INDEX(Select!I312:I325,Select!I311)</f>
        <v>0</v>
      </c>
      <c r="N225" s="947"/>
      <c r="O225" s="947"/>
      <c r="P225" s="948"/>
      <c r="Q225" s="66">
        <f>Formular!BM14</f>
        <v>0</v>
      </c>
      <c r="R225" s="350" t="str">
        <f>IF(Select!$I$311=2,Info!B331,IF(Select!$I$311=3,Info!C331,IF(Select!$I$311=4,Info!D331,IF(Select!$I$311=5,Info!E331,IF(Select!$I$311=6,Info!F331,IF(Select!$I$311=7,Info!G331,IF(Select!$I$311=8,Info!H331,IF(Select!$I$311=9,Info!I331,IF(Select!$I$311=10,Info!J331,IF(Select!$I$311=11,Info!K331,IF(Select!$I$311=12,Info!L331,IF(Select!$I$311=13,Info!M331,IF(Select!$I$311=14,Info!N331,"0")))))))))))))</f>
        <v>0</v>
      </c>
      <c r="S225" s="917">
        <f t="shared" si="32"/>
        <v>0</v>
      </c>
      <c r="T225" s="918"/>
      <c r="U225" s="353"/>
      <c r="V225" s="188"/>
      <c r="W225" s="189"/>
      <c r="X225" s="189"/>
      <c r="Y225" s="189"/>
      <c r="Z225" s="186"/>
      <c r="AA225" s="404" t="str">
        <f t="shared" si="33"/>
        <v/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144"/>
      <c r="AQ225" s="144"/>
      <c r="AR225" s="144"/>
      <c r="AS225" s="144"/>
      <c r="AT225" s="4"/>
    </row>
    <row r="226" spans="1:46" s="65" customFormat="1" ht="15" customHeight="1">
      <c r="A226" s="919" t="s">
        <v>129</v>
      </c>
      <c r="B226" s="920"/>
      <c r="C226" s="920"/>
      <c r="D226" s="920"/>
      <c r="E226" s="920" t="s">
        <v>128</v>
      </c>
      <c r="F226" s="920"/>
      <c r="G226" s="920"/>
      <c r="H226" s="920"/>
      <c r="I226" s="920" t="s">
        <v>471</v>
      </c>
      <c r="J226" s="920"/>
      <c r="K226" s="920"/>
      <c r="L226" s="920"/>
      <c r="M226" s="947">
        <f>INDEX(Select!J312:J325,Select!J311)</f>
        <v>0</v>
      </c>
      <c r="N226" s="947"/>
      <c r="O226" s="947"/>
      <c r="P226" s="948"/>
      <c r="Q226" s="66">
        <f>Formular!BM15</f>
        <v>0</v>
      </c>
      <c r="R226" s="350" t="str">
        <f>IF(Select!$J$311=2,Info!B332,IF(Select!$J$311=3,Info!C332,IF(Select!$J$311=4,Info!D332,IF(Select!$J$311=5,Info!E332,IF(Select!$J$311=6,Info!F332,IF(Select!$J$311=7,Info!G332,IF(Select!$J$311=8,Info!H332,IF(Select!$J$311=9,Info!I332,IF(Select!$J$311=10,Info!J332,IF(Select!$J$311=11,Info!K332,IF(Select!$J$311=12,Info!L332,IF(Select!$J$311=13,Info!M332,IF(Select!$J$311=14,Info!N332,"0")))))))))))))</f>
        <v>0</v>
      </c>
      <c r="S226" s="917">
        <f t="shared" si="32"/>
        <v>0</v>
      </c>
      <c r="T226" s="918"/>
      <c r="U226" s="353"/>
      <c r="V226" s="188"/>
      <c r="W226" s="189"/>
      <c r="X226" s="189"/>
      <c r="Y226" s="189"/>
      <c r="Z226" s="186"/>
      <c r="AA226" s="404" t="str">
        <f t="shared" si="33"/>
        <v/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144"/>
      <c r="AQ226" s="144"/>
      <c r="AR226" s="144"/>
      <c r="AS226" s="144"/>
      <c r="AT226" s="4"/>
    </row>
    <row r="227" spans="1:46" s="65" customFormat="1" ht="15" customHeight="1">
      <c r="A227" s="919" t="s">
        <v>129</v>
      </c>
      <c r="B227" s="920"/>
      <c r="C227" s="920"/>
      <c r="D227" s="920"/>
      <c r="E227" s="920" t="s">
        <v>128</v>
      </c>
      <c r="F227" s="920"/>
      <c r="G227" s="920"/>
      <c r="H227" s="920"/>
      <c r="I227" s="920" t="s">
        <v>471</v>
      </c>
      <c r="J227" s="920"/>
      <c r="K227" s="920"/>
      <c r="L227" s="920"/>
      <c r="M227" s="947">
        <f>INDEX(Select!K312:K325,Select!K311)</f>
        <v>0</v>
      </c>
      <c r="N227" s="947"/>
      <c r="O227" s="947"/>
      <c r="P227" s="948"/>
      <c r="Q227" s="66">
        <f>Formular!BM16</f>
        <v>0</v>
      </c>
      <c r="R227" s="350" t="str">
        <f>IF(Select!$K$311=2,Info!B332,IF(Select!$K$311=3,Info!C332,IF(Select!$K$311=4,Info!D332,IF(Select!$K$311=5,Info!E332,IF(Select!$K$311=6,Info!F332,IF(Select!$K$311=7,Info!G332,IF(Select!$K$311=8,Info!H332,IF(Select!$K$311=9,Info!I332,IF(Select!$K$311=10,Info!J332,IF(Select!$K$311=11,Info!K332,IF(Select!$K$311=12,Info!L332,IF(Select!$K$311=13,Info!M332,IF(Select!$K$311=14,Info!N332,"0")))))))))))))</f>
        <v>0</v>
      </c>
      <c r="S227" s="917">
        <f t="shared" si="32"/>
        <v>0</v>
      </c>
      <c r="T227" s="918"/>
      <c r="U227" s="353"/>
      <c r="V227" s="188"/>
      <c r="W227" s="189"/>
      <c r="X227" s="189"/>
      <c r="Y227" s="189"/>
      <c r="Z227" s="186"/>
      <c r="AA227" s="404" t="str">
        <f t="shared" si="33"/>
        <v/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144"/>
      <c r="AQ227" s="144"/>
      <c r="AR227" s="144"/>
      <c r="AS227" s="144"/>
      <c r="AT227" s="4"/>
    </row>
    <row r="228" spans="1:46" s="65" customFormat="1" ht="15" customHeight="1">
      <c r="A228" s="919" t="s">
        <v>129</v>
      </c>
      <c r="B228" s="920"/>
      <c r="C228" s="920"/>
      <c r="D228" s="920"/>
      <c r="E228" s="920" t="s">
        <v>128</v>
      </c>
      <c r="F228" s="920"/>
      <c r="G228" s="920"/>
      <c r="H228" s="920"/>
      <c r="I228" s="920" t="s">
        <v>472</v>
      </c>
      <c r="J228" s="920"/>
      <c r="K228" s="920"/>
      <c r="L228" s="920"/>
      <c r="M228" s="947">
        <f>INDEX(Select!L312:L325,Select!L311)</f>
        <v>0</v>
      </c>
      <c r="N228" s="947"/>
      <c r="O228" s="947"/>
      <c r="P228" s="948"/>
      <c r="Q228" s="66">
        <f>Formular!BM17</f>
        <v>0</v>
      </c>
      <c r="R228" s="350" t="str">
        <f>IF(Select!$L$311=2,Info!B333,IF(Select!$L$311=3,Info!C333,IF(Select!$L$311=4,Info!D333,IF(Select!$L$311=5,Info!E333,IF(Select!$L$311=6,Info!F333,IF(Select!$L$311=7,Info!G333,IF(Select!$L$311=8,Info!H333,IF(Select!$L$311=9,Info!I333,IF(Select!$L$311=10,Info!J333,IF(Select!$L$311=11,Info!K333,IF(Select!$L$311=12,Info!L333,IF(Select!$L$311=13,Info!M333,IF(Select!$L$311=14,Info!N333,"0")))))))))))))</f>
        <v>0</v>
      </c>
      <c r="S228" s="917">
        <f t="shared" si="32"/>
        <v>0</v>
      </c>
      <c r="T228" s="918"/>
      <c r="U228" s="353"/>
      <c r="V228" s="188"/>
      <c r="W228" s="189"/>
      <c r="X228" s="189"/>
      <c r="Y228" s="189"/>
      <c r="Z228" s="186"/>
      <c r="AA228" s="404" t="str">
        <f t="shared" si="33"/>
        <v/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144"/>
      <c r="AQ228" s="144"/>
      <c r="AR228" s="144"/>
      <c r="AS228" s="144"/>
      <c r="AT228" s="4"/>
    </row>
    <row r="229" spans="1:46" s="65" customFormat="1" ht="15" customHeight="1">
      <c r="A229" s="919" t="s">
        <v>129</v>
      </c>
      <c r="B229" s="920"/>
      <c r="C229" s="920"/>
      <c r="D229" s="920"/>
      <c r="E229" s="920" t="s">
        <v>128</v>
      </c>
      <c r="F229" s="920"/>
      <c r="G229" s="920"/>
      <c r="H229" s="920"/>
      <c r="I229" s="920" t="s">
        <v>472</v>
      </c>
      <c r="J229" s="920"/>
      <c r="K229" s="920"/>
      <c r="L229" s="920"/>
      <c r="M229" s="947">
        <f>INDEX(Select!M312:M325,Select!M311)</f>
        <v>0</v>
      </c>
      <c r="N229" s="947"/>
      <c r="O229" s="947"/>
      <c r="P229" s="948"/>
      <c r="Q229" s="66">
        <f>Formular!BM18</f>
        <v>0</v>
      </c>
      <c r="R229" s="350" t="str">
        <f>IF(Select!$M$311=2,Info!B333,IF(Select!$M$311=3,Info!C333,IF(Select!$M$311=4,Info!D333,IF(Select!$M$311=5,Info!E333,IF(Select!$M$311=6,Info!F333,IF(Select!$M$311=7,Info!G333,IF(Select!$M$311=8,Info!H333,IF(Select!$M$311=9,Info!I333,IF(Select!$M$311=10,Info!J333,IF(Select!$M$311=11,Info!K333,IF(Select!$M$311=12,Info!L333,IF(Select!$M$311=13,Info!M333,IF(Select!$M$311=14,Info!N333,"0")))))))))))))</f>
        <v>0</v>
      </c>
      <c r="S229" s="917">
        <f t="shared" si="32"/>
        <v>0</v>
      </c>
      <c r="T229" s="918"/>
      <c r="U229" s="353"/>
      <c r="V229" s="188"/>
      <c r="W229" s="189"/>
      <c r="X229" s="189"/>
      <c r="Y229" s="189"/>
      <c r="Z229" s="186"/>
      <c r="AA229" s="404" t="str">
        <f t="shared" si="33"/>
        <v/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144"/>
      <c r="AQ229" s="144"/>
      <c r="AR229" s="144"/>
      <c r="AS229" s="144"/>
      <c r="AT229" s="4"/>
    </row>
    <row r="230" spans="1:46" s="65" customFormat="1" ht="15" customHeight="1">
      <c r="A230" s="919" t="s">
        <v>129</v>
      </c>
      <c r="B230" s="920"/>
      <c r="C230" s="920"/>
      <c r="D230" s="920"/>
      <c r="E230" s="920" t="s">
        <v>128</v>
      </c>
      <c r="F230" s="920"/>
      <c r="G230" s="920"/>
      <c r="H230" s="920"/>
      <c r="I230" s="920" t="s">
        <v>473</v>
      </c>
      <c r="J230" s="920"/>
      <c r="K230" s="920"/>
      <c r="L230" s="920"/>
      <c r="M230" s="947">
        <f>INDEX(Select!N312:N325,Select!N311)</f>
        <v>0</v>
      </c>
      <c r="N230" s="947"/>
      <c r="O230" s="947"/>
      <c r="P230" s="948"/>
      <c r="Q230" s="66">
        <f>Formular!BM19</f>
        <v>0</v>
      </c>
      <c r="R230" s="350" t="str">
        <f>IF(Select!$N$311=2,Info!B334,IF(Select!$N$311=3,Info!C334,IF(Select!$N$311=4,Info!D334,IF(Select!$N$311=5,Info!E334,IF(Select!$N$311=6,Info!F334,IF(Select!$N$311=7,Info!G334,IF(Select!$N$311=8,Info!H334,IF(Select!$N$311=9,Info!I334,IF(Select!$N$311=10,Info!J334,IF(Select!$N$311=11,Info!K334,IF(Select!$N$311=12,Info!L334,IF(Select!$N$311=13,Info!M334,IF(Select!$N$311=14,Info!N334,"0")))))))))))))</f>
        <v>0</v>
      </c>
      <c r="S230" s="917">
        <f t="shared" si="32"/>
        <v>0</v>
      </c>
      <c r="T230" s="918"/>
      <c r="U230" s="353"/>
      <c r="V230" s="188"/>
      <c r="W230" s="189"/>
      <c r="X230" s="189"/>
      <c r="Y230" s="189"/>
      <c r="Z230" s="186"/>
      <c r="AA230" s="404" t="str">
        <f t="shared" si="33"/>
        <v/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144"/>
      <c r="AQ230" s="144"/>
      <c r="AR230" s="144"/>
      <c r="AS230" s="144"/>
      <c r="AT230" s="4"/>
    </row>
    <row r="231" spans="1:46" s="65" customFormat="1" ht="15" customHeight="1">
      <c r="A231" s="919" t="s">
        <v>129</v>
      </c>
      <c r="B231" s="920"/>
      <c r="C231" s="920"/>
      <c r="D231" s="920"/>
      <c r="E231" s="920" t="s">
        <v>128</v>
      </c>
      <c r="F231" s="920"/>
      <c r="G231" s="920"/>
      <c r="H231" s="920"/>
      <c r="I231" s="920" t="s">
        <v>473</v>
      </c>
      <c r="J231" s="920"/>
      <c r="K231" s="920"/>
      <c r="L231" s="920"/>
      <c r="M231" s="947">
        <f>INDEX(Select!O312:O325,Select!O311)</f>
        <v>0</v>
      </c>
      <c r="N231" s="947"/>
      <c r="O231" s="947"/>
      <c r="P231" s="948"/>
      <c r="Q231" s="66">
        <f>Formular!BM20</f>
        <v>0</v>
      </c>
      <c r="R231" s="350" t="str">
        <f>IF(Select!$O$311=2,Info!B334,IF(Select!$O$311=3,Info!C334,IF(Select!$O$311=4,Info!D334,IF(Select!$O$311=5,Info!E334,IF(Select!$O$311=6,Info!F334,IF(Select!$O$311=7,Info!G334,IF(Select!$O$311=8,Info!H334,IF(Select!$O$311=9,Info!I334,IF(Select!$O$311=10,Info!J334,IF(Select!$O$311=11,Info!K334,IF(Select!$O$311=12,Info!L334,IF(Select!$O$311=13,Info!M334,IF(Select!$O$311=14,Info!N334,"0")))))))))))))</f>
        <v>0</v>
      </c>
      <c r="S231" s="917">
        <f t="shared" si="32"/>
        <v>0</v>
      </c>
      <c r="T231" s="918"/>
      <c r="U231" s="353"/>
      <c r="V231" s="188"/>
      <c r="W231" s="189"/>
      <c r="X231" s="189"/>
      <c r="Y231" s="189"/>
      <c r="Z231" s="186"/>
      <c r="AA231" s="404" t="str">
        <f t="shared" si="33"/>
        <v/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144"/>
      <c r="AQ231" s="144"/>
      <c r="AR231" s="144"/>
      <c r="AS231" s="144"/>
      <c r="AT231" s="4"/>
    </row>
    <row r="232" spans="1:46" s="65" customFormat="1" ht="15" customHeight="1">
      <c r="A232" s="919" t="s">
        <v>129</v>
      </c>
      <c r="B232" s="920"/>
      <c r="C232" s="920"/>
      <c r="D232" s="920"/>
      <c r="E232" s="920" t="s">
        <v>128</v>
      </c>
      <c r="F232" s="920"/>
      <c r="G232" s="920"/>
      <c r="H232" s="920"/>
      <c r="I232" s="920" t="s">
        <v>474</v>
      </c>
      <c r="J232" s="920"/>
      <c r="K232" s="920"/>
      <c r="L232" s="920"/>
      <c r="M232" s="947">
        <f>INDEX(Select!P312:P325,Select!P311)</f>
        <v>0</v>
      </c>
      <c r="N232" s="947"/>
      <c r="O232" s="947"/>
      <c r="P232" s="948"/>
      <c r="Q232" s="66">
        <f>Formular!BM21</f>
        <v>0</v>
      </c>
      <c r="R232" s="350" t="str">
        <f>IF(Select!$P$311=2,Info!B335,IF(Select!$P$311=3,Info!C335,IF(Select!$P$311=4,Info!D335,IF(Select!$P$311=5,Info!E335,IF(Select!$P$311=6,Info!F335,IF(Select!$P$311=7,Info!G335,IF(Select!$P$311=8,Info!H335,IF(Select!$P$311=9,Info!I335,IF(Select!$P$311=10,Info!J335,IF(Select!$P$311=11,Info!K335,IF(Select!$P$311=12,Info!L335,IF(Select!$P$311=13,Info!M335,IF(Select!$P$311=14,Info!N335,"0")))))))))))))</f>
        <v>0</v>
      </c>
      <c r="S232" s="917">
        <f t="shared" si="32"/>
        <v>0</v>
      </c>
      <c r="T232" s="918"/>
      <c r="U232" s="353"/>
      <c r="V232" s="188"/>
      <c r="W232" s="189"/>
      <c r="X232" s="189"/>
      <c r="Y232" s="189"/>
      <c r="Z232" s="186"/>
      <c r="AA232" s="404" t="str">
        <f t="shared" si="33"/>
        <v/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144"/>
      <c r="AQ232" s="144"/>
      <c r="AR232" s="144"/>
      <c r="AS232" s="144"/>
      <c r="AT232" s="4"/>
    </row>
    <row r="233" spans="1:46" s="65" customFormat="1" ht="15" customHeight="1">
      <c r="A233" s="919" t="s">
        <v>129</v>
      </c>
      <c r="B233" s="920"/>
      <c r="C233" s="920"/>
      <c r="D233" s="920"/>
      <c r="E233" s="920" t="s">
        <v>128</v>
      </c>
      <c r="F233" s="920"/>
      <c r="G233" s="920"/>
      <c r="H233" s="920"/>
      <c r="I233" s="920" t="s">
        <v>474</v>
      </c>
      <c r="J233" s="920"/>
      <c r="K233" s="920"/>
      <c r="L233" s="920"/>
      <c r="M233" s="947">
        <f>INDEX(Select!Q312:Q325,Select!Q311)</f>
        <v>0</v>
      </c>
      <c r="N233" s="947"/>
      <c r="O233" s="947"/>
      <c r="P233" s="948"/>
      <c r="Q233" s="66">
        <f>Formular!BM22</f>
        <v>0</v>
      </c>
      <c r="R233" s="350" t="str">
        <f>IF(Select!$Q$311=2,Info!B335,IF(Select!$Q$311=3,Info!C335,IF(Select!$Q$311=4,Info!D335,IF(Select!$Q$311=5,Info!E335,IF(Select!$Q$311=6,Info!F335,IF(Select!$Q$311=7,Info!G335,IF(Select!$Q$311=8,Info!H335,IF(Select!$Q$311=9,Info!I335,IF(Select!$Q$311=10,Info!J335,IF(Select!$Q$311=11,Info!K335,IF(Select!$Q$311=12,Info!L335,IF(Select!$Q$311=13,Info!M335,IF(Select!$Q$311=14,Info!N335,"0")))))))))))))</f>
        <v>0</v>
      </c>
      <c r="S233" s="917">
        <f t="shared" si="32"/>
        <v>0</v>
      </c>
      <c r="T233" s="918"/>
      <c r="U233" s="353"/>
      <c r="V233" s="188"/>
      <c r="W233" s="189"/>
      <c r="X233" s="189"/>
      <c r="Y233" s="189"/>
      <c r="Z233" s="186"/>
      <c r="AA233" s="404" t="str">
        <f t="shared" si="33"/>
        <v/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144"/>
      <c r="AQ233" s="144"/>
      <c r="AR233" s="144"/>
      <c r="AS233" s="144"/>
      <c r="AT233" s="4"/>
    </row>
    <row r="234" spans="1:46" s="65" customFormat="1" ht="15" customHeight="1">
      <c r="A234" s="919" t="s">
        <v>129</v>
      </c>
      <c r="B234" s="920"/>
      <c r="C234" s="920"/>
      <c r="D234" s="920"/>
      <c r="E234" s="920" t="s">
        <v>128</v>
      </c>
      <c r="F234" s="920"/>
      <c r="G234" s="920"/>
      <c r="H234" s="920"/>
      <c r="I234" s="920" t="s">
        <v>282</v>
      </c>
      <c r="J234" s="920"/>
      <c r="K234" s="920"/>
      <c r="L234" s="920"/>
      <c r="M234" s="947">
        <f>INDEX(Select!R312:R325,Select!R311)</f>
        <v>0</v>
      </c>
      <c r="N234" s="947"/>
      <c r="O234" s="947"/>
      <c r="P234" s="948"/>
      <c r="Q234" s="66">
        <f>Formular!BM23</f>
        <v>0</v>
      </c>
      <c r="R234" s="350" t="str">
        <f>IF(Select!$R$311=2,Info!B336,IF(Select!$R$311=3,Info!C336,IF(Select!$R$311=4,Info!D336,IF(Select!$R$311=5,Info!E336,IF(Select!$R$311=6,Info!F336,IF(Select!$R$311=7,Info!G336,IF(Select!$R$311=8,Info!H336,IF(Select!$R$311=9,Info!I336,IF(Select!$R$311=10,Info!J336,IF(Select!$R$311=11,Info!K336,IF(Select!$R$311=12,Info!L336,IF(Select!$R$311=13,Info!M336,IF(Select!$R$311=14,Info!N336,"0")))))))))))))</f>
        <v>0</v>
      </c>
      <c r="S234" s="917">
        <f t="shared" si="32"/>
        <v>0</v>
      </c>
      <c r="T234" s="918"/>
      <c r="U234" s="353"/>
      <c r="V234" s="188"/>
      <c r="W234" s="189"/>
      <c r="X234" s="189"/>
      <c r="Y234" s="189"/>
      <c r="Z234" s="186"/>
      <c r="AA234" s="404" t="str">
        <f t="shared" si="33"/>
        <v/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144"/>
      <c r="AQ234" s="144"/>
      <c r="AR234" s="144"/>
      <c r="AS234" s="144"/>
      <c r="AT234" s="4"/>
    </row>
    <row r="235" spans="1:46" s="65" customFormat="1" ht="15" customHeight="1">
      <c r="A235" s="919" t="s">
        <v>129</v>
      </c>
      <c r="B235" s="920"/>
      <c r="C235" s="920"/>
      <c r="D235" s="920"/>
      <c r="E235" s="920" t="s">
        <v>128</v>
      </c>
      <c r="F235" s="920"/>
      <c r="G235" s="920"/>
      <c r="H235" s="920"/>
      <c r="I235" s="920" t="s">
        <v>282</v>
      </c>
      <c r="J235" s="920"/>
      <c r="K235" s="920"/>
      <c r="L235" s="920"/>
      <c r="M235" s="947">
        <f>INDEX(Select!S312:S325,Select!S311)</f>
        <v>0</v>
      </c>
      <c r="N235" s="947"/>
      <c r="O235" s="947"/>
      <c r="P235" s="948"/>
      <c r="Q235" s="66">
        <f>Formular!BM24</f>
        <v>0</v>
      </c>
      <c r="R235" s="350" t="str">
        <f>IF(Select!$S$311=2,Info!B336,IF(Select!$S$311=3,Info!C336,IF(Select!$S$311=4,Info!D336,IF(Select!$S$311=5,Info!E336,IF(Select!$S$311=6,Info!F336,IF(Select!$S$311=7,Info!G336,IF(Select!$S$311=8,Info!H336,IF(Select!$S$311=9,Info!I336,IF(Select!$S$311=10,Info!J336,IF(Select!$S$311=11,Info!K336,IF(Select!$S$311=12,Info!L336,IF(Select!$S$311=13,Info!M336,IF(Select!$S$311=14,Info!N336,"0")))))))))))))</f>
        <v>0</v>
      </c>
      <c r="S235" s="917">
        <f t="shared" si="32"/>
        <v>0</v>
      </c>
      <c r="T235" s="918"/>
      <c r="U235" s="353"/>
      <c r="V235" s="188"/>
      <c r="W235" s="189"/>
      <c r="X235" s="189"/>
      <c r="Y235" s="189"/>
      <c r="Z235" s="186"/>
      <c r="AA235" s="404" t="str">
        <f t="shared" si="33"/>
        <v/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144"/>
      <c r="AQ235" s="144"/>
      <c r="AR235" s="144"/>
      <c r="AS235" s="144"/>
      <c r="AT235" s="4"/>
    </row>
    <row r="236" spans="1:46" s="65" customFormat="1" ht="15" customHeight="1">
      <c r="A236" s="919" t="s">
        <v>129</v>
      </c>
      <c r="B236" s="920"/>
      <c r="C236" s="920"/>
      <c r="D236" s="920"/>
      <c r="E236" s="920" t="s">
        <v>128</v>
      </c>
      <c r="F236" s="920"/>
      <c r="G236" s="920"/>
      <c r="H236" s="920"/>
      <c r="I236" s="920" t="s">
        <v>476</v>
      </c>
      <c r="J236" s="920"/>
      <c r="K236" s="920"/>
      <c r="L236" s="920"/>
      <c r="M236" s="947">
        <f>INDEX(Select!T312:T325,Select!T311)</f>
        <v>0</v>
      </c>
      <c r="N236" s="947"/>
      <c r="O236" s="947"/>
      <c r="P236" s="948"/>
      <c r="Q236" s="66">
        <f>Formular!BM25</f>
        <v>0</v>
      </c>
      <c r="R236" s="350" t="str">
        <f>IF(Select!$T$311=2,Info!B337,IF(Select!$T$311=3,Info!C337,IF(Select!$T$311=4,Info!D337,IF(Select!$T$311=5,Info!E337,IF(Select!$T$311=6,Info!F337,IF(Select!$T$311=7,Info!G337,IF(Select!$T$311=8,Info!H337,IF(Select!$T$311=9,Info!I337,IF(Select!$T$311=10,Info!J337,IF(Select!$T$311=11,Info!K337,IF(Select!$T$311=12,Info!L337,IF(Select!$T$311=13,Info!M337,IF(Select!$T$311=14,Info!N337,"0")))))))))))))</f>
        <v>0</v>
      </c>
      <c r="S236" s="917">
        <f t="shared" si="32"/>
        <v>0</v>
      </c>
      <c r="T236" s="918"/>
      <c r="U236" s="353"/>
      <c r="V236" s="188"/>
      <c r="W236" s="189"/>
      <c r="X236" s="189"/>
      <c r="Y236" s="189"/>
      <c r="Z236" s="186"/>
      <c r="AA236" s="404" t="str">
        <f t="shared" si="33"/>
        <v/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144"/>
      <c r="AQ236" s="144"/>
      <c r="AR236" s="144"/>
      <c r="AS236" s="144"/>
      <c r="AT236" s="4"/>
    </row>
    <row r="237" spans="1:46" s="65" customFormat="1" ht="15" customHeight="1">
      <c r="A237" s="919" t="s">
        <v>129</v>
      </c>
      <c r="B237" s="920"/>
      <c r="C237" s="920"/>
      <c r="D237" s="920"/>
      <c r="E237" s="920" t="s">
        <v>128</v>
      </c>
      <c r="F237" s="920"/>
      <c r="G237" s="920"/>
      <c r="H237" s="920"/>
      <c r="I237" s="920" t="s">
        <v>476</v>
      </c>
      <c r="J237" s="920"/>
      <c r="K237" s="920"/>
      <c r="L237" s="920"/>
      <c r="M237" s="947">
        <f>INDEX(Select!U312:U325,Select!U311)</f>
        <v>0</v>
      </c>
      <c r="N237" s="947"/>
      <c r="O237" s="947"/>
      <c r="P237" s="948"/>
      <c r="Q237" s="66">
        <f>Formular!BM26</f>
        <v>0</v>
      </c>
      <c r="R237" s="350" t="str">
        <f>IF(Select!$U$311=2,Info!B337,IF(Select!$U$311=3,Info!C337,IF(Select!$U$311=4,Info!D337,IF(Select!$U$311=5,Info!E337,IF(Select!$U$311=6,Info!F337,IF(Select!$U$311=7,Info!G337,IF(Select!$U$311=8,Info!H337,IF(Select!$U$311=9,Info!I337,IF(Select!$U$311=10,Info!J337,IF(Select!$U$311=11,Info!K337,IF(Select!$U$311=12,Info!L337,IF(Select!$U$311=13,Info!M337,IF(Select!$U$311=14,Info!N337,"0")))))))))))))</f>
        <v>0</v>
      </c>
      <c r="S237" s="917">
        <f t="shared" si="32"/>
        <v>0</v>
      </c>
      <c r="T237" s="918"/>
      <c r="U237" s="353"/>
      <c r="V237" s="188"/>
      <c r="W237" s="189"/>
      <c r="X237" s="189"/>
      <c r="Y237" s="189"/>
      <c r="Z237" s="186"/>
      <c r="AA237" s="404" t="str">
        <f t="shared" si="33"/>
        <v/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144"/>
      <c r="AQ237" s="144"/>
      <c r="AR237" s="144"/>
      <c r="AS237" s="144"/>
      <c r="AT237" s="4"/>
    </row>
    <row r="238" spans="1:46" s="65" customFormat="1" ht="15" customHeight="1">
      <c r="A238" s="919" t="s">
        <v>129</v>
      </c>
      <c r="B238" s="920"/>
      <c r="C238" s="920"/>
      <c r="D238" s="920"/>
      <c r="E238" s="920" t="s">
        <v>128</v>
      </c>
      <c r="F238" s="920"/>
      <c r="G238" s="920"/>
      <c r="H238" s="920"/>
      <c r="I238" s="947" t="s">
        <v>477</v>
      </c>
      <c r="J238" s="947"/>
      <c r="K238" s="947"/>
      <c r="L238" s="947"/>
      <c r="M238" s="947" t="str">
        <f>INDEX(Select!V312:V325,Select!V311)</f>
        <v xml:space="preserve"> </v>
      </c>
      <c r="N238" s="947"/>
      <c r="O238" s="947"/>
      <c r="P238" s="948"/>
      <c r="Q238" s="66">
        <f>Formular!BM27</f>
        <v>0</v>
      </c>
      <c r="R238" s="350">
        <f>IF(Select!$V$311=2,Info!B338,IF(Select!$V$311=3,Info!C338,IF(Select!$V$311=4,Info!D338,IF(Select!$V$311=5,Info!E338,IF(Select!$V$311=6,Info!F338,IF(Select!$V$311=7,Info!G338,IF(Select!$V$311=8,Info!H338,IF(Select!$V$311=9,Info!I338,IF(Select!$V$311=10,Info!J338,IF(Select!$V$311=11,Info!K338,IF(Select!$V$311=12,Info!L338,IF(Select!$V$311=13,Info!M338,IF(Select!$V$311=14,Info!N338,"0")))))))))))))</f>
        <v>0</v>
      </c>
      <c r="S238" s="917">
        <f t="shared" si="32"/>
        <v>0</v>
      </c>
      <c r="T238" s="918"/>
      <c r="U238" s="353"/>
      <c r="V238" s="188"/>
      <c r="W238" s="189"/>
      <c r="X238" s="189"/>
      <c r="Y238" s="189"/>
      <c r="Z238" s="186"/>
      <c r="AA238" s="404" t="str">
        <f t="shared" si="33"/>
        <v/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144"/>
      <c r="AQ238" s="144"/>
      <c r="AR238" s="144"/>
      <c r="AS238" s="144"/>
      <c r="AT238" s="4"/>
    </row>
    <row r="239" spans="1:46" s="65" customFormat="1" ht="15" customHeight="1">
      <c r="A239" s="919" t="s">
        <v>129</v>
      </c>
      <c r="B239" s="920"/>
      <c r="C239" s="920"/>
      <c r="D239" s="920"/>
      <c r="E239" s="920" t="s">
        <v>128</v>
      </c>
      <c r="F239" s="920"/>
      <c r="G239" s="920"/>
      <c r="H239" s="920"/>
      <c r="I239" s="947" t="s">
        <v>477</v>
      </c>
      <c r="J239" s="947"/>
      <c r="K239" s="947"/>
      <c r="L239" s="947"/>
      <c r="M239" s="947" t="str">
        <f>INDEX(Select!W312:W325,Select!W311)</f>
        <v xml:space="preserve"> </v>
      </c>
      <c r="N239" s="947"/>
      <c r="O239" s="947"/>
      <c r="P239" s="948"/>
      <c r="Q239" s="66">
        <f>Formular!BM28</f>
        <v>0</v>
      </c>
      <c r="R239" s="350">
        <f>IF(Select!$W$311=2,Info!B338,IF(Select!$W$311=3,Info!C338,IF(Select!$W$311=4,Info!D338,IF(Select!$W$311=5,Info!E338,IF(Select!$W$311=6,Info!F338,IF(Select!$W$311=7,Info!G338,IF(Select!$W$311=8,Info!H338,IF(Select!$W$311=9,Info!I338,IF(Select!$W$311=10,Info!J338,IF(Select!$W$311=11,Info!K338,IF(Select!$W$311=12,Info!L338,IF(Select!$W$311=13,Info!M338,IF(Select!$W$311=14,Info!N338,"0")))))))))))))</f>
        <v>0</v>
      </c>
      <c r="S239" s="917">
        <f t="shared" si="32"/>
        <v>0</v>
      </c>
      <c r="T239" s="918"/>
      <c r="U239" s="353"/>
      <c r="V239" s="188"/>
      <c r="W239" s="189"/>
      <c r="X239" s="189"/>
      <c r="Y239" s="189"/>
      <c r="Z239" s="186"/>
      <c r="AA239" s="404" t="str">
        <f t="shared" si="33"/>
        <v/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144"/>
      <c r="AQ239" s="144"/>
      <c r="AR239" s="144"/>
      <c r="AS239" s="144"/>
      <c r="AT239" s="4"/>
    </row>
    <row r="240" spans="1:46" s="65" customFormat="1" ht="15" customHeight="1">
      <c r="A240" s="919" t="s">
        <v>129</v>
      </c>
      <c r="B240" s="920"/>
      <c r="C240" s="920"/>
      <c r="D240" s="920"/>
      <c r="E240" s="920" t="s">
        <v>111</v>
      </c>
      <c r="F240" s="920"/>
      <c r="G240" s="920"/>
      <c r="H240" s="920"/>
      <c r="I240" s="920" t="s">
        <v>478</v>
      </c>
      <c r="J240" s="920"/>
      <c r="K240" s="920"/>
      <c r="L240" s="920"/>
      <c r="M240" s="947">
        <f>INDEX(Select!X312:X325,Select!X311)</f>
        <v>0</v>
      </c>
      <c r="N240" s="947"/>
      <c r="O240" s="947"/>
      <c r="P240" s="948"/>
      <c r="Q240" s="66">
        <f>Formular!BM29</f>
        <v>0</v>
      </c>
      <c r="R240" s="350" t="str">
        <f>IF(Select!$X$311=2,Info!B339,IF(Select!$X$311=3,Info!C339,IF(Select!$X$311=4,Info!D339,IF(Select!$X$311=5,Info!E339,IF(Select!$X$311=6,Info!F339,IF(Select!$X$311=7,Info!G339,IF(Select!$X$311=8,Info!H339,IF(Select!$X$311=9,Info!I339,IF(Select!$X$311=10,Info!J339,IF(Select!$X$311=11,Info!K339,IF(Select!$X$311=12,Info!L339,IF(Select!$X$311=13,Info!M339,IF(Select!$X$311=14,Info!N339,"0")))))))))))))</f>
        <v>0</v>
      </c>
      <c r="S240" s="917">
        <f t="shared" si="32"/>
        <v>0</v>
      </c>
      <c r="T240" s="918"/>
      <c r="U240" s="353"/>
      <c r="V240" s="188"/>
      <c r="W240" s="189"/>
      <c r="X240" s="189"/>
      <c r="Y240" s="189"/>
      <c r="Z240" s="186"/>
      <c r="AA240" s="404" t="str">
        <f t="shared" si="33"/>
        <v/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144"/>
      <c r="AQ240" s="144"/>
      <c r="AR240" s="144"/>
      <c r="AS240" s="144"/>
      <c r="AT240" s="4"/>
    </row>
    <row r="241" spans="1:46" s="65" customFormat="1" ht="15" customHeight="1">
      <c r="A241" s="919" t="s">
        <v>129</v>
      </c>
      <c r="B241" s="920"/>
      <c r="C241" s="920"/>
      <c r="D241" s="920"/>
      <c r="E241" s="920" t="s">
        <v>111</v>
      </c>
      <c r="F241" s="920"/>
      <c r="G241" s="920"/>
      <c r="H241" s="920"/>
      <c r="I241" s="920" t="s">
        <v>478</v>
      </c>
      <c r="J241" s="920"/>
      <c r="K241" s="920"/>
      <c r="L241" s="920"/>
      <c r="M241" s="947">
        <f>INDEX(Select!Y312:Y325,Select!Y311)</f>
        <v>0</v>
      </c>
      <c r="N241" s="947"/>
      <c r="O241" s="947"/>
      <c r="P241" s="948"/>
      <c r="Q241" s="66">
        <f>Formular!BM30</f>
        <v>0</v>
      </c>
      <c r="R241" s="350" t="str">
        <f>IF(Select!$Y$311=2,Info!B339,IF(Select!$Y$311=3,Info!C339,IF(Select!$Y$311=4,Info!D339,IF(Select!$Y$311=5,Info!E339,IF(Select!$Y$311=6,Info!F339,IF(Select!$Y$311=7,Info!G339,IF(Select!$Y$311=8,Info!H339,IF(Select!$Y$311=9,Info!I339,IF(Select!$Y$311=10,Info!J339,IF(Select!$Y$311=11,Info!K339,IF(Select!$Y$311=12,Info!L339,IF(Select!$Y$311=13,Info!M339,IF(Select!$Y$311=14,Info!N339,"0")))))))))))))</f>
        <v>0</v>
      </c>
      <c r="S241" s="917">
        <f t="shared" si="32"/>
        <v>0</v>
      </c>
      <c r="T241" s="918"/>
      <c r="U241" s="353"/>
      <c r="V241" s="188"/>
      <c r="W241" s="189"/>
      <c r="X241" s="189"/>
      <c r="Y241" s="189"/>
      <c r="Z241" s="186"/>
      <c r="AA241" s="404" t="str">
        <f t="shared" si="33"/>
        <v/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144"/>
      <c r="AQ241" s="144"/>
      <c r="AR241" s="144"/>
      <c r="AS241" s="144"/>
      <c r="AT241" s="4"/>
    </row>
    <row r="242" spans="1:46" s="65" customFormat="1" ht="15" customHeight="1">
      <c r="A242" s="919" t="s">
        <v>129</v>
      </c>
      <c r="B242" s="920"/>
      <c r="C242" s="920"/>
      <c r="D242" s="920"/>
      <c r="E242" s="920" t="s">
        <v>479</v>
      </c>
      <c r="F242" s="920"/>
      <c r="G242" s="920"/>
      <c r="H242" s="920"/>
      <c r="I242" s="920" t="s">
        <v>480</v>
      </c>
      <c r="J242" s="920"/>
      <c r="K242" s="920"/>
      <c r="L242" s="920"/>
      <c r="M242" s="947">
        <f>INDEX(Select!Z312:Z314,Select!Z311)</f>
        <v>0</v>
      </c>
      <c r="N242" s="947"/>
      <c r="O242" s="947"/>
      <c r="P242" s="948"/>
      <c r="Q242" s="66">
        <f>Formular!BM31</f>
        <v>0</v>
      </c>
      <c r="R242" s="350">
        <f>IF(Select!Z311=2,Info!B341,IF(Select!Z311=3,Info!H341,0))</f>
        <v>0</v>
      </c>
      <c r="S242" s="917">
        <f t="shared" si="32"/>
        <v>0</v>
      </c>
      <c r="T242" s="918"/>
      <c r="U242" s="353"/>
      <c r="V242" s="188"/>
      <c r="W242" s="189"/>
      <c r="X242" s="189"/>
      <c r="Y242" s="189"/>
      <c r="Z242" s="186"/>
      <c r="AA242" s="404" t="str">
        <f t="shared" si="33"/>
        <v/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144"/>
      <c r="AQ242" s="144"/>
      <c r="AR242" s="144"/>
      <c r="AS242" s="144"/>
      <c r="AT242" s="4"/>
    </row>
    <row r="243" spans="1:46" s="65" customFormat="1" ht="15" customHeight="1">
      <c r="A243" s="919" t="s">
        <v>129</v>
      </c>
      <c r="B243" s="920"/>
      <c r="C243" s="920"/>
      <c r="D243" s="920"/>
      <c r="E243" s="920" t="s">
        <v>479</v>
      </c>
      <c r="F243" s="920"/>
      <c r="G243" s="920"/>
      <c r="H243" s="920"/>
      <c r="I243" s="920" t="s">
        <v>480</v>
      </c>
      <c r="J243" s="920"/>
      <c r="K243" s="920"/>
      <c r="L243" s="920"/>
      <c r="M243" s="947">
        <f>INDEX(Select!AA312:AA314,Select!AA311)</f>
        <v>0</v>
      </c>
      <c r="N243" s="947"/>
      <c r="O243" s="947"/>
      <c r="P243" s="948"/>
      <c r="Q243" s="66">
        <f>Formular!BM32</f>
        <v>0</v>
      </c>
      <c r="R243" s="350">
        <f>IF(Select!$AA$311=2,Info!B341,IF(Select!$AA$311=3,Info!H341,0))</f>
        <v>0</v>
      </c>
      <c r="S243" s="917">
        <f t="shared" si="32"/>
        <v>0</v>
      </c>
      <c r="T243" s="918"/>
      <c r="U243" s="353"/>
      <c r="V243" s="188"/>
      <c r="W243" s="189"/>
      <c r="X243" s="189"/>
      <c r="Y243" s="189"/>
      <c r="Z243" s="186"/>
      <c r="AA243" s="404" t="str">
        <f t="shared" si="33"/>
        <v/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144"/>
      <c r="AQ243" s="144"/>
      <c r="AR243" s="144"/>
      <c r="AS243" s="144"/>
      <c r="AT243" s="4"/>
    </row>
    <row r="244" spans="1:46" s="65" customFormat="1" ht="15" customHeight="1">
      <c r="A244" s="919" t="s">
        <v>129</v>
      </c>
      <c r="B244" s="920"/>
      <c r="C244" s="920"/>
      <c r="D244" s="920"/>
      <c r="E244" s="920" t="s">
        <v>454</v>
      </c>
      <c r="F244" s="920"/>
      <c r="G244" s="920"/>
      <c r="H244" s="920"/>
      <c r="I244" s="920"/>
      <c r="J244" s="920"/>
      <c r="K244" s="920"/>
      <c r="L244" s="920"/>
      <c r="M244" s="920"/>
      <c r="N244" s="920"/>
      <c r="O244" s="920"/>
      <c r="P244" s="921"/>
      <c r="Q244" s="66">
        <f>Formular!BM33</f>
        <v>0</v>
      </c>
      <c r="R244" s="350">
        <f>Info!B342</f>
        <v>22.55</v>
      </c>
      <c r="S244" s="917">
        <f t="shared" si="32"/>
        <v>0</v>
      </c>
      <c r="T244" s="918"/>
      <c r="U244" s="353"/>
      <c r="V244" s="188"/>
      <c r="W244" s="189"/>
      <c r="X244" s="189"/>
      <c r="Y244" s="189"/>
      <c r="Z244" s="186"/>
      <c r="AA244" s="404" t="str">
        <f t="shared" si="33"/>
        <v/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144"/>
      <c r="AQ244" s="144"/>
      <c r="AR244" s="144"/>
      <c r="AS244" s="144"/>
      <c r="AT244" s="4"/>
    </row>
    <row r="245" spans="1:46" s="65" customFormat="1" ht="15" customHeight="1">
      <c r="A245" s="919" t="s">
        <v>129</v>
      </c>
      <c r="B245" s="920"/>
      <c r="C245" s="920"/>
      <c r="D245" s="920"/>
      <c r="E245" s="920" t="s">
        <v>455</v>
      </c>
      <c r="F245" s="920"/>
      <c r="G245" s="920"/>
      <c r="H245" s="920"/>
      <c r="I245" s="920"/>
      <c r="J245" s="920"/>
      <c r="K245" s="920"/>
      <c r="L245" s="920"/>
      <c r="M245" s="920"/>
      <c r="N245" s="920"/>
      <c r="O245" s="920"/>
      <c r="P245" s="921"/>
      <c r="Q245" s="66">
        <f>Formular!BM34</f>
        <v>0</v>
      </c>
      <c r="R245" s="350">
        <f>Info!B343</f>
        <v>227.39</v>
      </c>
      <c r="S245" s="917">
        <f t="shared" si="32"/>
        <v>0</v>
      </c>
      <c r="T245" s="918"/>
      <c r="U245" s="353"/>
      <c r="V245" s="188"/>
      <c r="W245" s="189"/>
      <c r="X245" s="189"/>
      <c r="Y245" s="189"/>
      <c r="Z245" s="186"/>
      <c r="AA245" s="404" t="str">
        <f t="shared" si="33"/>
        <v/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144"/>
      <c r="AQ245" s="144"/>
      <c r="AR245" s="144"/>
      <c r="AS245" s="144"/>
      <c r="AT245" s="4"/>
    </row>
    <row r="246" spans="1:46" s="65" customFormat="1" ht="15" customHeight="1">
      <c r="A246" s="919" t="s">
        <v>129</v>
      </c>
      <c r="B246" s="920"/>
      <c r="C246" s="920"/>
      <c r="D246" s="920"/>
      <c r="E246" s="920" t="s">
        <v>481</v>
      </c>
      <c r="F246" s="920"/>
      <c r="G246" s="920"/>
      <c r="H246" s="920"/>
      <c r="I246" s="920" t="s">
        <v>482</v>
      </c>
      <c r="J246" s="920"/>
      <c r="K246" s="920"/>
      <c r="L246" s="920"/>
      <c r="M246" s="920">
        <f>INDEX(Select!AF312:AF314,Select!AF311)</f>
        <v>0</v>
      </c>
      <c r="N246" s="920"/>
      <c r="O246" s="920"/>
      <c r="P246" s="921"/>
      <c r="Q246" s="66">
        <f>Formular!BM35</f>
        <v>0</v>
      </c>
      <c r="R246" s="350">
        <f>IF(Select!$AF$311=2,Info!B345,IF(Select!$AF$311=3,Info!H345,0))</f>
        <v>0</v>
      </c>
      <c r="S246" s="917">
        <f t="shared" si="32"/>
        <v>0</v>
      </c>
      <c r="T246" s="918"/>
      <c r="U246" s="353"/>
      <c r="V246" s="188"/>
      <c r="W246" s="189"/>
      <c r="X246" s="189"/>
      <c r="Y246" s="189"/>
      <c r="Z246" s="186"/>
      <c r="AA246" s="404" t="str">
        <f t="shared" si="33"/>
        <v/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144"/>
      <c r="AQ246" s="144"/>
      <c r="AR246" s="144"/>
      <c r="AS246" s="144"/>
      <c r="AT246" s="4"/>
    </row>
    <row r="247" spans="1:46" s="65" customFormat="1" ht="15" customHeight="1">
      <c r="A247" s="919" t="s">
        <v>129</v>
      </c>
      <c r="B247" s="920"/>
      <c r="C247" s="920"/>
      <c r="D247" s="920"/>
      <c r="E247" s="920" t="s">
        <v>481</v>
      </c>
      <c r="F247" s="920"/>
      <c r="G247" s="920"/>
      <c r="H247" s="920"/>
      <c r="I247" s="920" t="s">
        <v>483</v>
      </c>
      <c r="J247" s="920"/>
      <c r="K247" s="920"/>
      <c r="L247" s="920"/>
      <c r="M247" s="920">
        <f>INDEX(Select!AG312:AG314,Select!AG311)</f>
        <v>0</v>
      </c>
      <c r="N247" s="920"/>
      <c r="O247" s="920"/>
      <c r="P247" s="921"/>
      <c r="Q247" s="66">
        <f>Formular!BM36</f>
        <v>0</v>
      </c>
      <c r="R247" s="350">
        <f>IF(Select!$AG$311=2,Info!B346,IF(Select!$AG$311=3,Info!H346,0))</f>
        <v>0</v>
      </c>
      <c r="S247" s="917">
        <f t="shared" si="32"/>
        <v>0</v>
      </c>
      <c r="T247" s="918"/>
      <c r="U247" s="353"/>
      <c r="V247" s="188"/>
      <c r="W247" s="189"/>
      <c r="X247" s="189"/>
      <c r="Y247" s="189"/>
      <c r="Z247" s="186"/>
      <c r="AA247" s="404" t="str">
        <f t="shared" si="33"/>
        <v/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144"/>
      <c r="AQ247" s="144"/>
      <c r="AR247" s="144"/>
      <c r="AS247" s="144"/>
      <c r="AT247" s="4"/>
    </row>
    <row r="248" spans="1:46" s="65" customFormat="1" ht="15" customHeight="1">
      <c r="A248" s="919" t="str">
        <f>Info!B352</f>
        <v xml:space="preserve">Fereastra mansarda Rooflite </v>
      </c>
      <c r="B248" s="920"/>
      <c r="C248" s="920"/>
      <c r="D248" s="920"/>
      <c r="E248" s="920"/>
      <c r="F248" s="920"/>
      <c r="G248" s="920"/>
      <c r="H248" s="920"/>
      <c r="I248" s="920"/>
      <c r="J248" s="920"/>
      <c r="K248" s="920"/>
      <c r="L248" s="920"/>
      <c r="M248" s="920"/>
      <c r="N248" s="920"/>
      <c r="O248" s="920"/>
      <c r="P248" s="921"/>
      <c r="Q248" s="66">
        <f>Formular!BM38</f>
        <v>0</v>
      </c>
      <c r="R248" s="350">
        <f>Info!C352</f>
        <v>0</v>
      </c>
      <c r="S248" s="917">
        <f t="shared" si="32"/>
        <v>0</v>
      </c>
      <c r="T248" s="918"/>
      <c r="U248" s="353"/>
      <c r="V248" s="188"/>
      <c r="W248" s="189"/>
      <c r="X248" s="189"/>
      <c r="Y248" s="189"/>
      <c r="Z248" s="186"/>
      <c r="AA248" s="404" t="str">
        <f t="shared" si="33"/>
        <v/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144"/>
      <c r="AQ248" s="144"/>
      <c r="AR248" s="144"/>
      <c r="AS248" s="144"/>
      <c r="AT248" s="4"/>
    </row>
    <row r="249" spans="1:46" s="65" customFormat="1" ht="15" customHeight="1">
      <c r="A249" s="919" t="str">
        <f>Info!B353</f>
        <v xml:space="preserve">Fereastra mansarda Rooflite </v>
      </c>
      <c r="B249" s="920"/>
      <c r="C249" s="920"/>
      <c r="D249" s="920"/>
      <c r="E249" s="920"/>
      <c r="F249" s="920"/>
      <c r="G249" s="920"/>
      <c r="H249" s="920"/>
      <c r="I249" s="920"/>
      <c r="J249" s="920"/>
      <c r="K249" s="920"/>
      <c r="L249" s="920"/>
      <c r="M249" s="920"/>
      <c r="N249" s="920"/>
      <c r="O249" s="920"/>
      <c r="P249" s="921"/>
      <c r="Q249" s="66">
        <f>Formular!BM39</f>
        <v>0</v>
      </c>
      <c r="R249" s="350">
        <f>Info!C353</f>
        <v>0</v>
      </c>
      <c r="S249" s="917">
        <f t="shared" si="32"/>
        <v>0</v>
      </c>
      <c r="T249" s="918"/>
      <c r="U249" s="353"/>
      <c r="V249" s="188"/>
      <c r="W249" s="189"/>
      <c r="X249" s="189"/>
      <c r="Y249" s="189"/>
      <c r="Z249" s="186"/>
      <c r="AA249" s="404" t="str">
        <f t="shared" si="33"/>
        <v/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144"/>
      <c r="AQ249" s="144"/>
      <c r="AR249" s="144"/>
      <c r="AS249" s="144"/>
      <c r="AT249" s="4"/>
    </row>
    <row r="250" spans="1:46" s="65" customFormat="1" ht="15" customHeight="1">
      <c r="A250" s="919" t="str">
        <f>Info!B354</f>
        <v xml:space="preserve">Rama Rooflite </v>
      </c>
      <c r="B250" s="920"/>
      <c r="C250" s="920"/>
      <c r="D250" s="920"/>
      <c r="E250" s="920"/>
      <c r="F250" s="920"/>
      <c r="G250" s="920"/>
      <c r="H250" s="920"/>
      <c r="I250" s="920"/>
      <c r="J250" s="920"/>
      <c r="K250" s="920"/>
      <c r="L250" s="920"/>
      <c r="M250" s="920"/>
      <c r="N250" s="920"/>
      <c r="O250" s="920"/>
      <c r="P250" s="921"/>
      <c r="Q250" s="66">
        <f>Formular!BM40</f>
        <v>0</v>
      </c>
      <c r="R250" s="350">
        <f>Info!C354</f>
        <v>0</v>
      </c>
      <c r="S250" s="917">
        <f t="shared" si="32"/>
        <v>0</v>
      </c>
      <c r="T250" s="918"/>
      <c r="U250" s="353"/>
      <c r="V250" s="188"/>
      <c r="W250" s="189"/>
      <c r="X250" s="189"/>
      <c r="Y250" s="189"/>
      <c r="Z250" s="186"/>
      <c r="AA250" s="404" t="str">
        <f t="shared" si="33"/>
        <v/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144"/>
      <c r="AQ250" s="144"/>
      <c r="AR250" s="144"/>
      <c r="AS250" s="144"/>
      <c r="AT250" s="4"/>
    </row>
    <row r="251" spans="1:46" s="65" customFormat="1" ht="15" customHeight="1">
      <c r="A251" s="919" t="str">
        <f>Info!B355</f>
        <v xml:space="preserve">Rama Rooflite </v>
      </c>
      <c r="B251" s="920"/>
      <c r="C251" s="920"/>
      <c r="D251" s="920"/>
      <c r="E251" s="920"/>
      <c r="F251" s="920"/>
      <c r="G251" s="920"/>
      <c r="H251" s="920"/>
      <c r="I251" s="920"/>
      <c r="J251" s="920"/>
      <c r="K251" s="920"/>
      <c r="L251" s="920"/>
      <c r="M251" s="920"/>
      <c r="N251" s="920"/>
      <c r="O251" s="920"/>
      <c r="P251" s="921"/>
      <c r="Q251" s="66">
        <f>Formular!BM41</f>
        <v>0</v>
      </c>
      <c r="R251" s="350">
        <f>Info!C355</f>
        <v>0</v>
      </c>
      <c r="S251" s="917">
        <f t="shared" si="32"/>
        <v>0</v>
      </c>
      <c r="T251" s="918"/>
      <c r="U251" s="353"/>
      <c r="V251" s="188"/>
      <c r="W251" s="189"/>
      <c r="X251" s="189"/>
      <c r="Y251" s="189"/>
      <c r="Z251" s="186"/>
      <c r="AA251" s="404" t="str">
        <f t="shared" si="33"/>
        <v/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144"/>
      <c r="AQ251" s="144"/>
      <c r="AR251" s="144"/>
      <c r="AS251" s="144"/>
      <c r="AT251" s="4"/>
    </row>
    <row r="252" spans="1:46" s="77" customFormat="1" ht="15" customHeight="1">
      <c r="A252" s="929" t="str">
        <f>Lang!A408&amp;A254&amp;" "&amp;INDEX(Select!B350:B357,Select!B349)&amp;" "&amp;INDEX(Select!B362:B380,Select!B361)</f>
        <v xml:space="preserve">INVELITORI PLANE  0  </v>
      </c>
      <c r="B252" s="930"/>
      <c r="C252" s="930"/>
      <c r="D252" s="930"/>
      <c r="E252" s="930"/>
      <c r="F252" s="930"/>
      <c r="G252" s="930"/>
      <c r="H252" s="930"/>
      <c r="I252" s="930"/>
      <c r="J252" s="930"/>
      <c r="K252" s="930"/>
      <c r="L252" s="930"/>
      <c r="M252" s="930"/>
      <c r="N252" s="930"/>
      <c r="O252" s="930"/>
      <c r="P252" s="931"/>
      <c r="Q252" s="270">
        <f>IF(W254&gt;0,1,0)</f>
        <v>0</v>
      </c>
      <c r="R252" s="267"/>
      <c r="S252" s="268"/>
      <c r="T252" s="269"/>
      <c r="U252" s="365"/>
      <c r="V252" s="5"/>
      <c r="W252" s="5"/>
      <c r="X252" s="5"/>
      <c r="Y252" s="5"/>
      <c r="Z252" s="5"/>
      <c r="AA252" s="5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144"/>
      <c r="AQ252" s="144"/>
      <c r="AR252" s="144"/>
      <c r="AS252" s="144"/>
      <c r="AT252" s="4"/>
    </row>
    <row r="253" spans="1:46" s="77" customFormat="1" ht="15" customHeight="1">
      <c r="A253" s="932" t="str">
        <f>Lang!A23&amp;W254&amp;" |  "&amp;Lang!A403&amp;X254&amp;Lang!A404</f>
        <v xml:space="preserve">Total MP 0 |  Valoare 0 euro fara tva </v>
      </c>
      <c r="B253" s="933"/>
      <c r="C253" s="933"/>
      <c r="D253" s="933"/>
      <c r="E253" s="933"/>
      <c r="F253" s="933"/>
      <c r="G253" s="933"/>
      <c r="H253" s="933"/>
      <c r="I253" s="933"/>
      <c r="J253" s="933"/>
      <c r="K253" s="933"/>
      <c r="L253" s="933"/>
      <c r="M253" s="933"/>
      <c r="N253" s="933"/>
      <c r="O253" s="933"/>
      <c r="P253" s="934"/>
      <c r="Q253" s="271">
        <f>Q252</f>
        <v>0</v>
      </c>
      <c r="R253" s="264"/>
      <c r="S253" s="265"/>
      <c r="T253" s="266"/>
      <c r="U253" s="366"/>
      <c r="V253" s="5"/>
      <c r="W253" s="5"/>
      <c r="X253" s="5"/>
      <c r="Y253" s="5"/>
      <c r="Z253" s="5"/>
      <c r="AA253" s="5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144"/>
      <c r="AQ253" s="144"/>
      <c r="AR253" s="144"/>
      <c r="AS253" s="144"/>
      <c r="AT253" s="4"/>
    </row>
    <row r="254" spans="1:46" s="1" customFormat="1" ht="15" customHeight="1">
      <c r="A254" s="964">
        <f>INDEX(Select!B332:B345,Select!B331)</f>
        <v>0</v>
      </c>
      <c r="B254" s="965"/>
      <c r="C254" s="965"/>
      <c r="D254" s="965"/>
      <c r="E254" s="965"/>
      <c r="F254" s="922">
        <f>INDEX(Select!B350:B357,Select!B349)</f>
        <v>0</v>
      </c>
      <c r="G254" s="922"/>
      <c r="H254" s="928">
        <f>INDEX(Select!B362:B380,Select!B361)</f>
        <v>0</v>
      </c>
      <c r="I254" s="928"/>
      <c r="J254" s="928"/>
      <c r="K254" s="922">
        <f>IF(AND(OR(Select!$B$331=2,Select!$B$331=3,Select!$B$331=12,Select!$B$331=13,Select!$B$331=14),Formular!B67&lt;800),800,IF(AND(OR(Select!$B$331=4,Select!$B$331=5,Select!$B$331=6,Select!$B$331=7,Select!$B$331=8,Select!$B$331=9,Select!$B$331=10,Select!$B$331=11),Formular!B67&lt;400),400,Formular!B67))</f>
        <v>0</v>
      </c>
      <c r="L254" s="922"/>
      <c r="M254" s="922"/>
      <c r="N254" s="922">
        <f>Formular!E67</f>
        <v>0</v>
      </c>
      <c r="O254" s="922"/>
      <c r="P254" s="923"/>
      <c r="Q254" s="10">
        <f>Formular!H67</f>
        <v>0</v>
      </c>
      <c r="R254" s="16">
        <f>IF(W254&gt;35,Z254,Z254)</f>
        <v>0</v>
      </c>
      <c r="S254" s="917">
        <f>IF(ISERROR((K254*N254)/1000000*Q254*R254),"0",(K254*N254)/1000000*Q254*R254)</f>
        <v>0</v>
      </c>
      <c r="T254" s="918"/>
      <c r="U254" s="353"/>
      <c r="V254" s="190">
        <f>IF(ISERROR((K254*N254)/1000000*Q254),"0",(K254*N254)/1000000*Q254)</f>
        <v>0</v>
      </c>
      <c r="W254" s="188">
        <f>ROUND(SUM(V254:V343),2)</f>
        <v>0</v>
      </c>
      <c r="X254" s="188">
        <f>ROUND(SUM(S254:S343),2)</f>
        <v>0</v>
      </c>
      <c r="Y254" s="191">
        <v>0.2</v>
      </c>
      <c r="Z254" s="5">
        <f>Select!D332</f>
        <v>0</v>
      </c>
      <c r="AA254" s="5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144"/>
      <c r="AQ254" s="144"/>
      <c r="AR254" s="144"/>
      <c r="AS254" s="144"/>
      <c r="AT254" s="4"/>
    </row>
    <row r="255" spans="1:46" s="1" customFormat="1" ht="15" customHeight="1">
      <c r="A255" s="936">
        <f>A254</f>
        <v>0</v>
      </c>
      <c r="B255" s="937"/>
      <c r="C255" s="937"/>
      <c r="D255" s="937"/>
      <c r="E255" s="937"/>
      <c r="F255" s="922">
        <f>F254</f>
        <v>0</v>
      </c>
      <c r="G255" s="922"/>
      <c r="H255" s="922">
        <f>H254</f>
        <v>0</v>
      </c>
      <c r="I255" s="922"/>
      <c r="J255" s="922"/>
      <c r="K255" s="922">
        <f>IF(AND(OR(Select!$B$331=2,Select!$B$331=3,Select!$B$331=12,Select!$B$331=13,Select!$B$331=14),Formular!B68&lt;800),800,IF(AND(OR(Select!$B$331=4,Select!$B$331=5,Select!$B$331=6,Select!$B$331=7,Select!$B$331=8,Select!$B$331=9,Select!$B$331=10,Select!$B$331=11),Formular!B68&lt;400),400,Formular!B68))</f>
        <v>0</v>
      </c>
      <c r="L255" s="922"/>
      <c r="M255" s="922"/>
      <c r="N255" s="922">
        <f>N254</f>
        <v>0</v>
      </c>
      <c r="O255" s="922"/>
      <c r="P255" s="922"/>
      <c r="Q255" s="10">
        <f>Formular!H68</f>
        <v>0</v>
      </c>
      <c r="R255" s="11">
        <f>R254</f>
        <v>0</v>
      </c>
      <c r="S255" s="917">
        <f t="shared" ref="S255:S322" si="34">IF(ISERROR((K255*N255)/1000000*Q255*R255),"0",(K255*N255)/1000000*Q255*R255)</f>
        <v>0</v>
      </c>
      <c r="T255" s="918"/>
      <c r="U255" s="353"/>
      <c r="V255" s="190">
        <f t="shared" ref="V255:V322" si="35">IF(ISERROR((K255*N255)/1000000*Q255),"0",(K255*N255)/1000000*Q255)</f>
        <v>0</v>
      </c>
      <c r="W255" s="189"/>
      <c r="X255" s="189"/>
      <c r="Y255" s="189"/>
      <c r="Z255" s="5"/>
      <c r="AA255" s="5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144"/>
      <c r="AQ255" s="144"/>
      <c r="AR255" s="144"/>
      <c r="AS255" s="144"/>
      <c r="AT255" s="4"/>
    </row>
    <row r="256" spans="1:46" s="1" customFormat="1" ht="15" customHeight="1">
      <c r="A256" s="936">
        <f t="shared" ref="A256:A323" si="36">A255</f>
        <v>0</v>
      </c>
      <c r="B256" s="937"/>
      <c r="C256" s="937"/>
      <c r="D256" s="937"/>
      <c r="E256" s="937"/>
      <c r="F256" s="922">
        <f t="shared" ref="F256:F283" si="37">F255</f>
        <v>0</v>
      </c>
      <c r="G256" s="922"/>
      <c r="H256" s="922">
        <f t="shared" ref="H256:H323" si="38">H255</f>
        <v>0</v>
      </c>
      <c r="I256" s="922"/>
      <c r="J256" s="922"/>
      <c r="K256" s="922">
        <f>IF(AND(OR(Select!$B$331=2,Select!$B$331=3,Select!$B$331=12,Select!$B$331=13,Select!$B$331=14),Formular!B69&lt;800),800,IF(AND(OR(Select!$B$331=4,Select!$B$331=5,Select!$B$331=6,Select!$B$331=7,Select!$B$331=8,Select!$B$331=9,Select!$B$331=10,Select!$B$331=11),Formular!B69&lt;400),400,Formular!B69))</f>
        <v>0</v>
      </c>
      <c r="L256" s="922"/>
      <c r="M256" s="922"/>
      <c r="N256" s="922">
        <f t="shared" ref="N256:N323" si="39">N255</f>
        <v>0</v>
      </c>
      <c r="O256" s="922"/>
      <c r="P256" s="922"/>
      <c r="Q256" s="10">
        <f>Formular!H69</f>
        <v>0</v>
      </c>
      <c r="R256" s="11">
        <f t="shared" ref="R256:R323" si="40">R255</f>
        <v>0</v>
      </c>
      <c r="S256" s="917">
        <f t="shared" si="34"/>
        <v>0</v>
      </c>
      <c r="T256" s="918"/>
      <c r="U256" s="353"/>
      <c r="V256" s="190">
        <f t="shared" si="35"/>
        <v>0</v>
      </c>
      <c r="W256" s="189"/>
      <c r="X256" s="189"/>
      <c r="Y256" s="189"/>
      <c r="Z256" s="5"/>
      <c r="AA256" s="5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144"/>
      <c r="AQ256" s="144"/>
      <c r="AR256" s="144"/>
      <c r="AS256" s="144"/>
      <c r="AT256" s="4"/>
    </row>
    <row r="257" spans="1:46" s="1" customFormat="1" ht="15" customHeight="1">
      <c r="A257" s="936">
        <f t="shared" si="36"/>
        <v>0</v>
      </c>
      <c r="B257" s="937"/>
      <c r="C257" s="937"/>
      <c r="D257" s="937"/>
      <c r="E257" s="937"/>
      <c r="F257" s="922">
        <f t="shared" si="37"/>
        <v>0</v>
      </c>
      <c r="G257" s="922"/>
      <c r="H257" s="922">
        <f t="shared" si="38"/>
        <v>0</v>
      </c>
      <c r="I257" s="922"/>
      <c r="J257" s="922"/>
      <c r="K257" s="922">
        <f>IF(AND(OR(Select!$B$331=2,Select!$B$331=3,Select!$B$331=12,Select!$B$331=13,Select!$B$331=14),Formular!B70&lt;800),800,IF(AND(OR(Select!$B$331=4,Select!$B$331=5,Select!$B$331=6,Select!$B$331=7,Select!$B$331=8,Select!$B$331=9,Select!$B$331=10,Select!$B$331=11),Formular!B70&lt;400),400,Formular!B70))</f>
        <v>0</v>
      </c>
      <c r="L257" s="922"/>
      <c r="M257" s="922"/>
      <c r="N257" s="922">
        <f t="shared" si="39"/>
        <v>0</v>
      </c>
      <c r="O257" s="922"/>
      <c r="P257" s="922"/>
      <c r="Q257" s="10">
        <f>Formular!H70</f>
        <v>0</v>
      </c>
      <c r="R257" s="11">
        <f t="shared" si="40"/>
        <v>0</v>
      </c>
      <c r="S257" s="917">
        <f t="shared" si="34"/>
        <v>0</v>
      </c>
      <c r="T257" s="918"/>
      <c r="U257" s="353"/>
      <c r="V257" s="190">
        <f t="shared" si="35"/>
        <v>0</v>
      </c>
      <c r="W257" s="189"/>
      <c r="X257" s="189"/>
      <c r="Y257" s="189"/>
      <c r="Z257" s="5"/>
      <c r="AA257" s="5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144"/>
      <c r="AQ257" s="144"/>
      <c r="AR257" s="144"/>
      <c r="AS257" s="144"/>
      <c r="AT257" s="4"/>
    </row>
    <row r="258" spans="1:46" s="1" customFormat="1" ht="15" customHeight="1">
      <c r="A258" s="936">
        <f t="shared" si="36"/>
        <v>0</v>
      </c>
      <c r="B258" s="937"/>
      <c r="C258" s="937"/>
      <c r="D258" s="937"/>
      <c r="E258" s="937"/>
      <c r="F258" s="922">
        <f t="shared" si="37"/>
        <v>0</v>
      </c>
      <c r="G258" s="922"/>
      <c r="H258" s="922">
        <f t="shared" si="38"/>
        <v>0</v>
      </c>
      <c r="I258" s="922"/>
      <c r="J258" s="922"/>
      <c r="K258" s="922">
        <f>IF(AND(OR(Select!$B$331=2,Select!$B$331=3,Select!$B$331=12,Select!$B$331=13,Select!$B$331=14),Formular!B71&lt;800),800,IF(AND(OR(Select!$B$331=4,Select!$B$331=5,Select!$B$331=6,Select!$B$331=7,Select!$B$331=8,Select!$B$331=9,Select!$B$331=10,Select!$B$331=11),Formular!B71&lt;400),400,Formular!B71))</f>
        <v>0</v>
      </c>
      <c r="L258" s="922"/>
      <c r="M258" s="922"/>
      <c r="N258" s="922">
        <f t="shared" si="39"/>
        <v>0</v>
      </c>
      <c r="O258" s="922"/>
      <c r="P258" s="922"/>
      <c r="Q258" s="10">
        <f>Formular!H71</f>
        <v>0</v>
      </c>
      <c r="R258" s="11">
        <f t="shared" si="40"/>
        <v>0</v>
      </c>
      <c r="S258" s="917">
        <f t="shared" si="34"/>
        <v>0</v>
      </c>
      <c r="T258" s="918"/>
      <c r="U258" s="353"/>
      <c r="V258" s="190">
        <f t="shared" si="35"/>
        <v>0</v>
      </c>
      <c r="W258" s="189"/>
      <c r="X258" s="189"/>
      <c r="Y258" s="189"/>
      <c r="Z258" s="5"/>
      <c r="AA258" s="5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144"/>
      <c r="AQ258" s="144"/>
      <c r="AR258" s="144"/>
      <c r="AS258" s="144"/>
      <c r="AT258" s="4"/>
    </row>
    <row r="259" spans="1:46" s="1" customFormat="1" ht="15" customHeight="1">
      <c r="A259" s="936">
        <f t="shared" si="36"/>
        <v>0</v>
      </c>
      <c r="B259" s="937"/>
      <c r="C259" s="937"/>
      <c r="D259" s="937"/>
      <c r="E259" s="937"/>
      <c r="F259" s="922">
        <f t="shared" si="37"/>
        <v>0</v>
      </c>
      <c r="G259" s="922"/>
      <c r="H259" s="922">
        <f t="shared" si="38"/>
        <v>0</v>
      </c>
      <c r="I259" s="922"/>
      <c r="J259" s="922"/>
      <c r="K259" s="922">
        <f>IF(AND(OR(Select!$B$331=2,Select!$B$331=3,Select!$B$331=12,Select!$B$331=13,Select!$B$331=14),Formular!B72&lt;800),800,IF(AND(OR(Select!$B$331=4,Select!$B$331=5,Select!$B$331=6,Select!$B$331=7,Select!$B$331=8,Select!$B$331=9,Select!$B$331=10,Select!$B$331=11),Formular!B72&lt;400),400,Formular!B72))</f>
        <v>0</v>
      </c>
      <c r="L259" s="922"/>
      <c r="M259" s="922"/>
      <c r="N259" s="922">
        <f t="shared" si="39"/>
        <v>0</v>
      </c>
      <c r="O259" s="922"/>
      <c r="P259" s="922"/>
      <c r="Q259" s="10">
        <f>Formular!H72</f>
        <v>0</v>
      </c>
      <c r="R259" s="11">
        <f t="shared" si="40"/>
        <v>0</v>
      </c>
      <c r="S259" s="917">
        <f t="shared" si="34"/>
        <v>0</v>
      </c>
      <c r="T259" s="918"/>
      <c r="U259" s="353"/>
      <c r="V259" s="190">
        <f t="shared" si="35"/>
        <v>0</v>
      </c>
      <c r="W259" s="189"/>
      <c r="X259" s="189"/>
      <c r="Y259" s="189"/>
      <c r="Z259" s="5"/>
      <c r="AA259" s="5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144"/>
      <c r="AQ259" s="144"/>
      <c r="AR259" s="144"/>
      <c r="AS259" s="144"/>
      <c r="AT259" s="4"/>
    </row>
    <row r="260" spans="1:46" s="1" customFormat="1" ht="15" customHeight="1">
      <c r="A260" s="936">
        <f t="shared" si="36"/>
        <v>0</v>
      </c>
      <c r="B260" s="937"/>
      <c r="C260" s="937"/>
      <c r="D260" s="937"/>
      <c r="E260" s="937"/>
      <c r="F260" s="922">
        <f t="shared" si="37"/>
        <v>0</v>
      </c>
      <c r="G260" s="922"/>
      <c r="H260" s="922">
        <f t="shared" si="38"/>
        <v>0</v>
      </c>
      <c r="I260" s="922"/>
      <c r="J260" s="922"/>
      <c r="K260" s="922">
        <f>IF(AND(OR(Select!$B$331=2,Select!$B$331=3,Select!$B$331=12,Select!$B$331=13,Select!$B$331=14),Formular!B73&lt;800),800,IF(AND(OR(Select!$B$331=4,Select!$B$331=5,Select!$B$331=6,Select!$B$331=7,Select!$B$331=8,Select!$B$331=9,Select!$B$331=10,Select!$B$331=11),Formular!B73&lt;400),400,Formular!B73))</f>
        <v>0</v>
      </c>
      <c r="L260" s="922"/>
      <c r="M260" s="922"/>
      <c r="N260" s="922">
        <f t="shared" si="39"/>
        <v>0</v>
      </c>
      <c r="O260" s="922"/>
      <c r="P260" s="922"/>
      <c r="Q260" s="10">
        <f>Formular!H73</f>
        <v>0</v>
      </c>
      <c r="R260" s="11">
        <f t="shared" si="40"/>
        <v>0</v>
      </c>
      <c r="S260" s="917">
        <f t="shared" si="34"/>
        <v>0</v>
      </c>
      <c r="T260" s="918"/>
      <c r="U260" s="353"/>
      <c r="V260" s="190">
        <f t="shared" si="35"/>
        <v>0</v>
      </c>
      <c r="W260" s="189"/>
      <c r="X260" s="189"/>
      <c r="Y260" s="189"/>
      <c r="Z260" s="5"/>
      <c r="AA260" s="5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144"/>
      <c r="AQ260" s="144"/>
      <c r="AR260" s="144"/>
      <c r="AS260" s="144"/>
      <c r="AT260" s="4"/>
    </row>
    <row r="261" spans="1:46" s="1" customFormat="1" ht="15" customHeight="1">
      <c r="A261" s="936">
        <f t="shared" si="36"/>
        <v>0</v>
      </c>
      <c r="B261" s="937"/>
      <c r="C261" s="937"/>
      <c r="D261" s="937"/>
      <c r="E261" s="937"/>
      <c r="F261" s="922">
        <f t="shared" si="37"/>
        <v>0</v>
      </c>
      <c r="G261" s="922"/>
      <c r="H261" s="922">
        <f t="shared" si="38"/>
        <v>0</v>
      </c>
      <c r="I261" s="922"/>
      <c r="J261" s="922"/>
      <c r="K261" s="922">
        <f>IF(AND(OR(Select!$B$331=2,Select!$B$331=3,Select!$B$331=12,Select!$B$331=13,Select!$B$331=14),Formular!B74&lt;800),800,IF(AND(OR(Select!$B$331=4,Select!$B$331=5,Select!$B$331=6,Select!$B$331=7,Select!$B$331=8,Select!$B$331=9,Select!$B$331=10,Select!$B$331=11),Formular!B74&lt;400),400,Formular!B74))</f>
        <v>0</v>
      </c>
      <c r="L261" s="922"/>
      <c r="M261" s="922"/>
      <c r="N261" s="922">
        <f t="shared" si="39"/>
        <v>0</v>
      </c>
      <c r="O261" s="922"/>
      <c r="P261" s="922"/>
      <c r="Q261" s="10">
        <f>Formular!H74</f>
        <v>0</v>
      </c>
      <c r="R261" s="11">
        <f t="shared" si="40"/>
        <v>0</v>
      </c>
      <c r="S261" s="917">
        <f t="shared" si="34"/>
        <v>0</v>
      </c>
      <c r="T261" s="918"/>
      <c r="U261" s="353"/>
      <c r="V261" s="190">
        <f t="shared" si="35"/>
        <v>0</v>
      </c>
      <c r="W261" s="189"/>
      <c r="X261" s="189"/>
      <c r="Y261" s="189"/>
      <c r="Z261" s="5"/>
      <c r="AA261" s="5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  <c r="AO261" s="4"/>
      <c r="AP261" s="144"/>
      <c r="AQ261" s="144"/>
      <c r="AR261" s="144"/>
      <c r="AS261" s="144"/>
      <c r="AT261" s="4"/>
    </row>
    <row r="262" spans="1:46" s="1" customFormat="1" ht="15" customHeight="1">
      <c r="A262" s="936">
        <f t="shared" si="36"/>
        <v>0</v>
      </c>
      <c r="B262" s="937"/>
      <c r="C262" s="937"/>
      <c r="D262" s="937"/>
      <c r="E262" s="937"/>
      <c r="F262" s="922">
        <f t="shared" si="37"/>
        <v>0</v>
      </c>
      <c r="G262" s="922"/>
      <c r="H262" s="922">
        <f t="shared" si="38"/>
        <v>0</v>
      </c>
      <c r="I262" s="922"/>
      <c r="J262" s="922"/>
      <c r="K262" s="922">
        <f>IF(AND(OR(Select!$B$331=2,Select!$B$331=3,Select!$B$331=12,Select!$B$331=13,Select!$B$331=14),Formular!B75&lt;800),800,IF(AND(OR(Select!$B$331=4,Select!$B$331=5,Select!$B$331=6,Select!$B$331=7,Select!$B$331=8,Select!$B$331=9,Select!$B$331=10,Select!$B$331=11),Formular!B75&lt;400),400,Formular!B75))</f>
        <v>0</v>
      </c>
      <c r="L262" s="922"/>
      <c r="M262" s="922"/>
      <c r="N262" s="922">
        <f t="shared" si="39"/>
        <v>0</v>
      </c>
      <c r="O262" s="922"/>
      <c r="P262" s="922"/>
      <c r="Q262" s="10">
        <f>Formular!H75</f>
        <v>0</v>
      </c>
      <c r="R262" s="11">
        <f t="shared" si="40"/>
        <v>0</v>
      </c>
      <c r="S262" s="917">
        <f t="shared" si="34"/>
        <v>0</v>
      </c>
      <c r="T262" s="918"/>
      <c r="U262" s="353"/>
      <c r="V262" s="190">
        <f t="shared" si="35"/>
        <v>0</v>
      </c>
      <c r="W262" s="189"/>
      <c r="X262" s="189"/>
      <c r="Y262" s="189"/>
      <c r="Z262" s="5"/>
      <c r="AA262" s="5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  <c r="AO262" s="4"/>
      <c r="AP262" s="144"/>
      <c r="AQ262" s="144"/>
      <c r="AR262" s="144"/>
      <c r="AS262" s="144"/>
      <c r="AT262" s="4"/>
    </row>
    <row r="263" spans="1:46" s="1" customFormat="1" ht="15" customHeight="1">
      <c r="A263" s="936">
        <f t="shared" si="36"/>
        <v>0</v>
      </c>
      <c r="B263" s="937"/>
      <c r="C263" s="937"/>
      <c r="D263" s="937"/>
      <c r="E263" s="937"/>
      <c r="F263" s="922">
        <f t="shared" si="37"/>
        <v>0</v>
      </c>
      <c r="G263" s="922"/>
      <c r="H263" s="922">
        <f t="shared" si="38"/>
        <v>0</v>
      </c>
      <c r="I263" s="922"/>
      <c r="J263" s="922"/>
      <c r="K263" s="922">
        <f>IF(AND(OR(Select!$B$331=2,Select!$B$331=3,Select!$B$331=12,Select!$B$331=13,Select!$B$331=14),Formular!B76&lt;800),800,IF(AND(OR(Select!$B$331=4,Select!$B$331=5,Select!$B$331=6,Select!$B$331=7,Select!$B$331=8,Select!$B$331=9,Select!$B$331=10,Select!$B$331=11),Formular!B76&lt;400),400,Formular!B76))</f>
        <v>0</v>
      </c>
      <c r="L263" s="922"/>
      <c r="M263" s="922"/>
      <c r="N263" s="922">
        <f t="shared" si="39"/>
        <v>0</v>
      </c>
      <c r="O263" s="922"/>
      <c r="P263" s="922"/>
      <c r="Q263" s="10">
        <f>Formular!H76</f>
        <v>0</v>
      </c>
      <c r="R263" s="11">
        <f t="shared" si="40"/>
        <v>0</v>
      </c>
      <c r="S263" s="917">
        <f t="shared" si="34"/>
        <v>0</v>
      </c>
      <c r="T263" s="918"/>
      <c r="U263" s="353"/>
      <c r="V263" s="190">
        <f t="shared" si="35"/>
        <v>0</v>
      </c>
      <c r="W263" s="189"/>
      <c r="X263" s="189"/>
      <c r="Y263" s="189"/>
      <c r="Z263" s="5"/>
      <c r="AA263" s="5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144"/>
      <c r="AQ263" s="144"/>
      <c r="AR263" s="144"/>
      <c r="AS263" s="144"/>
      <c r="AT263" s="4"/>
    </row>
    <row r="264" spans="1:46" s="1" customFormat="1" ht="15" customHeight="1">
      <c r="A264" s="936">
        <f t="shared" si="36"/>
        <v>0</v>
      </c>
      <c r="B264" s="937"/>
      <c r="C264" s="937"/>
      <c r="D264" s="937"/>
      <c r="E264" s="937"/>
      <c r="F264" s="922">
        <f t="shared" si="37"/>
        <v>0</v>
      </c>
      <c r="G264" s="922"/>
      <c r="H264" s="922">
        <f t="shared" si="38"/>
        <v>0</v>
      </c>
      <c r="I264" s="922"/>
      <c r="J264" s="922"/>
      <c r="K264" s="922">
        <f>IF(AND(OR(Select!$B$331=2,Select!$B$331=3,Select!$B$331=12,Select!$B$331=13,Select!$B$331=14),Formular!B77&lt;800),800,IF(AND(OR(Select!$B$331=4,Select!$B$331=5,Select!$B$331=6,Select!$B$331=7,Select!$B$331=8,Select!$B$331=9,Select!$B$331=10,Select!$B$331=11),Formular!B77&lt;400),400,Formular!B77))</f>
        <v>0</v>
      </c>
      <c r="L264" s="922"/>
      <c r="M264" s="922"/>
      <c r="N264" s="922">
        <f t="shared" si="39"/>
        <v>0</v>
      </c>
      <c r="O264" s="922"/>
      <c r="P264" s="922"/>
      <c r="Q264" s="10">
        <f>Formular!H77</f>
        <v>0</v>
      </c>
      <c r="R264" s="11">
        <f t="shared" si="40"/>
        <v>0</v>
      </c>
      <c r="S264" s="917">
        <f t="shared" si="34"/>
        <v>0</v>
      </c>
      <c r="T264" s="918"/>
      <c r="U264" s="353"/>
      <c r="V264" s="190">
        <f t="shared" si="35"/>
        <v>0</v>
      </c>
      <c r="W264" s="189"/>
      <c r="X264" s="189"/>
      <c r="Y264" s="189"/>
      <c r="Z264" s="5"/>
      <c r="AA264" s="5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144"/>
      <c r="AQ264" s="144"/>
      <c r="AR264" s="144"/>
      <c r="AS264" s="144"/>
      <c r="AT264" s="4"/>
    </row>
    <row r="265" spans="1:46" s="1" customFormat="1" ht="15" customHeight="1">
      <c r="A265" s="936">
        <f t="shared" si="36"/>
        <v>0</v>
      </c>
      <c r="B265" s="937"/>
      <c r="C265" s="937"/>
      <c r="D265" s="937"/>
      <c r="E265" s="937"/>
      <c r="F265" s="922">
        <f t="shared" si="37"/>
        <v>0</v>
      </c>
      <c r="G265" s="922"/>
      <c r="H265" s="922">
        <f t="shared" si="38"/>
        <v>0</v>
      </c>
      <c r="I265" s="922"/>
      <c r="J265" s="922"/>
      <c r="K265" s="922">
        <f>IF(AND(OR(Select!$B$331=2,Select!$B$331=3,Select!$B$331=12,Select!$B$331=13,Select!$B$331=14),Formular!B78&lt;800),800,IF(AND(OR(Select!$B$331=4,Select!$B$331=5,Select!$B$331=6,Select!$B$331=7,Select!$B$331=8,Select!$B$331=9,Select!$B$331=10,Select!$B$331=11),Formular!B78&lt;400),400,Formular!B78))</f>
        <v>0</v>
      </c>
      <c r="L265" s="922"/>
      <c r="M265" s="922"/>
      <c r="N265" s="922">
        <f t="shared" si="39"/>
        <v>0</v>
      </c>
      <c r="O265" s="922"/>
      <c r="P265" s="922"/>
      <c r="Q265" s="10">
        <f>Formular!H78</f>
        <v>0</v>
      </c>
      <c r="R265" s="11">
        <f t="shared" si="40"/>
        <v>0</v>
      </c>
      <c r="S265" s="917">
        <f t="shared" si="34"/>
        <v>0</v>
      </c>
      <c r="T265" s="918"/>
      <c r="U265" s="353"/>
      <c r="V265" s="190">
        <f t="shared" si="35"/>
        <v>0</v>
      </c>
      <c r="W265" s="189"/>
      <c r="X265" s="189"/>
      <c r="Y265" s="189"/>
      <c r="Z265" s="5"/>
      <c r="AA265" s="5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144"/>
      <c r="AQ265" s="144"/>
      <c r="AR265" s="144"/>
      <c r="AS265" s="144"/>
      <c r="AT265" s="4"/>
    </row>
    <row r="266" spans="1:46" s="1" customFormat="1" ht="15" customHeight="1">
      <c r="A266" s="936">
        <f t="shared" si="36"/>
        <v>0</v>
      </c>
      <c r="B266" s="937"/>
      <c r="C266" s="937"/>
      <c r="D266" s="937"/>
      <c r="E266" s="937"/>
      <c r="F266" s="922">
        <f t="shared" si="37"/>
        <v>0</v>
      </c>
      <c r="G266" s="922"/>
      <c r="H266" s="922">
        <f t="shared" si="38"/>
        <v>0</v>
      </c>
      <c r="I266" s="922"/>
      <c r="J266" s="922"/>
      <c r="K266" s="922">
        <f>IF(AND(OR(Select!$B$331=2,Select!$B$331=3,Select!$B$331=12,Select!$B$331=13,Select!$B$331=14),Formular!B79&lt;800),800,IF(AND(OR(Select!$B$331=4,Select!$B$331=5,Select!$B$331=6,Select!$B$331=7,Select!$B$331=8,Select!$B$331=9,Select!$B$331=10,Select!$B$331=11),Formular!B79&lt;400),400,Formular!B79))</f>
        <v>0</v>
      </c>
      <c r="L266" s="922"/>
      <c r="M266" s="922"/>
      <c r="N266" s="922">
        <f t="shared" si="39"/>
        <v>0</v>
      </c>
      <c r="O266" s="922"/>
      <c r="P266" s="922"/>
      <c r="Q266" s="10">
        <f>Formular!H79</f>
        <v>0</v>
      </c>
      <c r="R266" s="11">
        <f t="shared" si="40"/>
        <v>0</v>
      </c>
      <c r="S266" s="917">
        <f t="shared" si="34"/>
        <v>0</v>
      </c>
      <c r="T266" s="918"/>
      <c r="U266" s="353"/>
      <c r="V266" s="190">
        <f t="shared" si="35"/>
        <v>0</v>
      </c>
      <c r="W266" s="189"/>
      <c r="X266" s="189"/>
      <c r="Y266" s="189"/>
      <c r="Z266" s="5"/>
      <c r="AA266" s="5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144"/>
      <c r="AQ266" s="144"/>
      <c r="AR266" s="144"/>
      <c r="AS266" s="144"/>
      <c r="AT266" s="4"/>
    </row>
    <row r="267" spans="1:46" s="1" customFormat="1" ht="15" customHeight="1">
      <c r="A267" s="936">
        <f t="shared" si="36"/>
        <v>0</v>
      </c>
      <c r="B267" s="937"/>
      <c r="C267" s="937"/>
      <c r="D267" s="937"/>
      <c r="E267" s="937"/>
      <c r="F267" s="922">
        <f t="shared" si="37"/>
        <v>0</v>
      </c>
      <c r="G267" s="922"/>
      <c r="H267" s="922">
        <f t="shared" si="38"/>
        <v>0</v>
      </c>
      <c r="I267" s="922"/>
      <c r="J267" s="922"/>
      <c r="K267" s="922">
        <f>IF(AND(OR(Select!$B$331=2,Select!$B$331=3,Select!$B$331=12,Select!$B$331=13,Select!$B$331=14),Formular!B80&lt;800),800,IF(AND(OR(Select!$B$331=4,Select!$B$331=5,Select!$B$331=6,Select!$B$331=7,Select!$B$331=8,Select!$B$331=9,Select!$B$331=10,Select!$B$331=11),Formular!B80&lt;400),400,Formular!B80))</f>
        <v>0</v>
      </c>
      <c r="L267" s="922"/>
      <c r="M267" s="922"/>
      <c r="N267" s="922">
        <f t="shared" si="39"/>
        <v>0</v>
      </c>
      <c r="O267" s="922"/>
      <c r="P267" s="922"/>
      <c r="Q267" s="10">
        <f>Formular!H80</f>
        <v>0</v>
      </c>
      <c r="R267" s="11">
        <f t="shared" si="40"/>
        <v>0</v>
      </c>
      <c r="S267" s="917">
        <f t="shared" si="34"/>
        <v>0</v>
      </c>
      <c r="T267" s="918"/>
      <c r="U267" s="353"/>
      <c r="V267" s="190">
        <f t="shared" si="35"/>
        <v>0</v>
      </c>
      <c r="W267" s="189"/>
      <c r="X267" s="189"/>
      <c r="Y267" s="189"/>
      <c r="Z267" s="5"/>
      <c r="AA267" s="5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144"/>
      <c r="AQ267" s="144"/>
      <c r="AR267" s="144"/>
      <c r="AS267" s="144"/>
      <c r="AT267" s="4"/>
    </row>
    <row r="268" spans="1:46" s="1" customFormat="1" ht="15" customHeight="1">
      <c r="A268" s="936">
        <f t="shared" si="36"/>
        <v>0</v>
      </c>
      <c r="B268" s="937"/>
      <c r="C268" s="937"/>
      <c r="D268" s="937"/>
      <c r="E268" s="937"/>
      <c r="F268" s="922">
        <f t="shared" si="37"/>
        <v>0</v>
      </c>
      <c r="G268" s="922"/>
      <c r="H268" s="922">
        <f t="shared" si="38"/>
        <v>0</v>
      </c>
      <c r="I268" s="922"/>
      <c r="J268" s="922"/>
      <c r="K268" s="922">
        <f>IF(AND(OR(Select!$B$331=2,Select!$B$331=3,Select!$B$331=12,Select!$B$331=13,Select!$B$331=14),Formular!B81&lt;800),800,IF(AND(OR(Select!$B$331=4,Select!$B$331=5,Select!$B$331=6,Select!$B$331=7,Select!$B$331=8,Select!$B$331=9,Select!$B$331=10,Select!$B$331=11),Formular!B81&lt;400),400,Formular!B81))</f>
        <v>0</v>
      </c>
      <c r="L268" s="922"/>
      <c r="M268" s="922"/>
      <c r="N268" s="922">
        <f t="shared" si="39"/>
        <v>0</v>
      </c>
      <c r="O268" s="922"/>
      <c r="P268" s="922"/>
      <c r="Q268" s="10">
        <f>Formular!H81</f>
        <v>0</v>
      </c>
      <c r="R268" s="11">
        <f t="shared" si="40"/>
        <v>0</v>
      </c>
      <c r="S268" s="917">
        <f t="shared" si="34"/>
        <v>0</v>
      </c>
      <c r="T268" s="918"/>
      <c r="U268" s="353"/>
      <c r="V268" s="190">
        <f t="shared" si="35"/>
        <v>0</v>
      </c>
      <c r="W268" s="189"/>
      <c r="X268" s="189"/>
      <c r="Y268" s="189"/>
      <c r="Z268" s="5"/>
      <c r="AA268" s="5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144"/>
      <c r="AQ268" s="144"/>
      <c r="AR268" s="144"/>
      <c r="AS268" s="144"/>
      <c r="AT268" s="4"/>
    </row>
    <row r="269" spans="1:46" s="1" customFormat="1" ht="15" customHeight="1">
      <c r="A269" s="936">
        <f t="shared" si="36"/>
        <v>0</v>
      </c>
      <c r="B269" s="937"/>
      <c r="C269" s="937"/>
      <c r="D269" s="937"/>
      <c r="E269" s="937"/>
      <c r="F269" s="922">
        <f t="shared" si="37"/>
        <v>0</v>
      </c>
      <c r="G269" s="922"/>
      <c r="H269" s="922">
        <f t="shared" si="38"/>
        <v>0</v>
      </c>
      <c r="I269" s="922"/>
      <c r="J269" s="922"/>
      <c r="K269" s="922">
        <f>IF(AND(OR(Select!$B$331=2,Select!$B$331=3,Select!$B$331=12,Select!$B$331=13,Select!$B$331=14),Formular!B82&lt;800),800,IF(AND(OR(Select!$B$331=4,Select!$B$331=5,Select!$B$331=6,Select!$B$331=7,Select!$B$331=8,Select!$B$331=9,Select!$B$331=10,Select!$B$331=11),Formular!B82&lt;400),400,Formular!B82))</f>
        <v>0</v>
      </c>
      <c r="L269" s="922"/>
      <c r="M269" s="922"/>
      <c r="N269" s="922">
        <f t="shared" si="39"/>
        <v>0</v>
      </c>
      <c r="O269" s="922"/>
      <c r="P269" s="922"/>
      <c r="Q269" s="10">
        <f>Formular!H82</f>
        <v>0</v>
      </c>
      <c r="R269" s="11">
        <f t="shared" si="40"/>
        <v>0</v>
      </c>
      <c r="S269" s="917">
        <f t="shared" si="34"/>
        <v>0</v>
      </c>
      <c r="T269" s="918"/>
      <c r="U269" s="353"/>
      <c r="V269" s="190">
        <f t="shared" si="35"/>
        <v>0</v>
      </c>
      <c r="W269" s="189"/>
      <c r="X269" s="189"/>
      <c r="Y269" s="189"/>
      <c r="Z269" s="5"/>
      <c r="AA269" s="5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144"/>
      <c r="AQ269" s="144"/>
      <c r="AR269" s="144"/>
      <c r="AS269" s="144"/>
      <c r="AT269" s="4"/>
    </row>
    <row r="270" spans="1:46" s="1" customFormat="1" ht="15" customHeight="1">
      <c r="A270" s="936">
        <f t="shared" si="36"/>
        <v>0</v>
      </c>
      <c r="B270" s="937"/>
      <c r="C270" s="937"/>
      <c r="D270" s="937"/>
      <c r="E270" s="937"/>
      <c r="F270" s="922">
        <f t="shared" si="37"/>
        <v>0</v>
      </c>
      <c r="G270" s="922"/>
      <c r="H270" s="922">
        <f t="shared" si="38"/>
        <v>0</v>
      </c>
      <c r="I270" s="922"/>
      <c r="J270" s="922"/>
      <c r="K270" s="922">
        <f>IF(AND(OR(Select!$B$331=2,Select!$B$331=3,Select!$B$331=12,Select!$B$331=13,Select!$B$331=14),Formular!B83&lt;800),800,IF(AND(OR(Select!$B$331=4,Select!$B$331=5,Select!$B$331=6,Select!$B$331=7,Select!$B$331=8,Select!$B$331=9,Select!$B$331=10,Select!$B$331=11),Formular!B83&lt;400),400,Formular!B83))</f>
        <v>0</v>
      </c>
      <c r="L270" s="922"/>
      <c r="M270" s="922"/>
      <c r="N270" s="922">
        <f t="shared" si="39"/>
        <v>0</v>
      </c>
      <c r="O270" s="922"/>
      <c r="P270" s="922"/>
      <c r="Q270" s="10">
        <f>Formular!H83</f>
        <v>0</v>
      </c>
      <c r="R270" s="11">
        <f t="shared" si="40"/>
        <v>0</v>
      </c>
      <c r="S270" s="917">
        <f t="shared" si="34"/>
        <v>0</v>
      </c>
      <c r="T270" s="918"/>
      <c r="U270" s="353"/>
      <c r="V270" s="190">
        <f t="shared" si="35"/>
        <v>0</v>
      </c>
      <c r="W270" s="189"/>
      <c r="X270" s="189"/>
      <c r="Y270" s="189"/>
      <c r="Z270" s="5"/>
      <c r="AA270" s="5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144"/>
      <c r="AQ270" s="144"/>
      <c r="AR270" s="144"/>
      <c r="AS270" s="144"/>
      <c r="AT270" s="4"/>
    </row>
    <row r="271" spans="1:46" s="1" customFormat="1" ht="15" customHeight="1">
      <c r="A271" s="936">
        <f t="shared" si="36"/>
        <v>0</v>
      </c>
      <c r="B271" s="937"/>
      <c r="C271" s="937"/>
      <c r="D271" s="937"/>
      <c r="E271" s="937"/>
      <c r="F271" s="922">
        <f t="shared" si="37"/>
        <v>0</v>
      </c>
      <c r="G271" s="922"/>
      <c r="H271" s="922">
        <f t="shared" si="38"/>
        <v>0</v>
      </c>
      <c r="I271" s="922"/>
      <c r="J271" s="922"/>
      <c r="K271" s="922">
        <f>IF(AND(OR(Select!$B$331=2,Select!$B$331=3,Select!$B$331=12,Select!$B$331=13,Select!$B$331=14),Formular!B84&lt;800),800,IF(AND(OR(Select!$B$331=4,Select!$B$331=5,Select!$B$331=6,Select!$B$331=7,Select!$B$331=8,Select!$B$331=9,Select!$B$331=10,Select!$B$331=11),Formular!B84&lt;400),400,Formular!B84))</f>
        <v>0</v>
      </c>
      <c r="L271" s="922"/>
      <c r="M271" s="922"/>
      <c r="N271" s="922">
        <f t="shared" si="39"/>
        <v>0</v>
      </c>
      <c r="O271" s="922"/>
      <c r="P271" s="922"/>
      <c r="Q271" s="10">
        <f>Formular!H84</f>
        <v>0</v>
      </c>
      <c r="R271" s="11">
        <f t="shared" si="40"/>
        <v>0</v>
      </c>
      <c r="S271" s="917">
        <f t="shared" si="34"/>
        <v>0</v>
      </c>
      <c r="T271" s="918"/>
      <c r="U271" s="353"/>
      <c r="V271" s="190">
        <f t="shared" si="35"/>
        <v>0</v>
      </c>
      <c r="W271" s="189"/>
      <c r="X271" s="189"/>
      <c r="Y271" s="189"/>
      <c r="Z271" s="5"/>
      <c r="AA271" s="5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144"/>
      <c r="AQ271" s="144"/>
      <c r="AR271" s="144"/>
      <c r="AS271" s="144"/>
      <c r="AT271" s="4"/>
    </row>
    <row r="272" spans="1:46" s="1" customFormat="1" ht="15" customHeight="1">
      <c r="A272" s="936">
        <f t="shared" si="36"/>
        <v>0</v>
      </c>
      <c r="B272" s="937"/>
      <c r="C272" s="937"/>
      <c r="D272" s="937"/>
      <c r="E272" s="937"/>
      <c r="F272" s="922">
        <f t="shared" si="37"/>
        <v>0</v>
      </c>
      <c r="G272" s="922"/>
      <c r="H272" s="922">
        <f t="shared" si="38"/>
        <v>0</v>
      </c>
      <c r="I272" s="922"/>
      <c r="J272" s="922"/>
      <c r="K272" s="922">
        <f>IF(AND(OR(Select!$B$331=2,Select!$B$331=3,Select!$B$331=12,Select!$B$331=13,Select!$B$331=14),Formular!B85&lt;800),800,IF(AND(OR(Select!$B$331=4,Select!$B$331=5,Select!$B$331=6,Select!$B$331=7,Select!$B$331=8,Select!$B$331=9,Select!$B$331=10,Select!$B$331=11),Formular!B85&lt;400),400,Formular!B85))</f>
        <v>0</v>
      </c>
      <c r="L272" s="922"/>
      <c r="M272" s="922"/>
      <c r="N272" s="922">
        <f t="shared" si="39"/>
        <v>0</v>
      </c>
      <c r="O272" s="922"/>
      <c r="P272" s="922"/>
      <c r="Q272" s="10">
        <f>Formular!H85</f>
        <v>0</v>
      </c>
      <c r="R272" s="11">
        <f t="shared" si="40"/>
        <v>0</v>
      </c>
      <c r="S272" s="917">
        <f t="shared" si="34"/>
        <v>0</v>
      </c>
      <c r="T272" s="918"/>
      <c r="U272" s="353"/>
      <c r="V272" s="190">
        <f t="shared" si="35"/>
        <v>0</v>
      </c>
      <c r="W272" s="189"/>
      <c r="X272" s="189"/>
      <c r="Y272" s="189"/>
      <c r="Z272" s="5"/>
      <c r="AA272" s="5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144"/>
      <c r="AQ272" s="144"/>
      <c r="AR272" s="144"/>
      <c r="AS272" s="144"/>
      <c r="AT272" s="4"/>
    </row>
    <row r="273" spans="1:46" s="1" customFormat="1" ht="15" customHeight="1">
      <c r="A273" s="936">
        <f t="shared" si="36"/>
        <v>0</v>
      </c>
      <c r="B273" s="937"/>
      <c r="C273" s="937"/>
      <c r="D273" s="937"/>
      <c r="E273" s="937"/>
      <c r="F273" s="922">
        <f t="shared" si="37"/>
        <v>0</v>
      </c>
      <c r="G273" s="922"/>
      <c r="H273" s="922">
        <f t="shared" si="38"/>
        <v>0</v>
      </c>
      <c r="I273" s="922"/>
      <c r="J273" s="922"/>
      <c r="K273" s="922">
        <f>IF(AND(OR(Select!$B$331=2,Select!$B$331=3,Select!$B$331=12,Select!$B$331=13,Select!$B$331=14),Formular!B86&lt;800),800,IF(AND(OR(Select!$B$331=4,Select!$B$331=5,Select!$B$331=6,Select!$B$331=7,Select!$B$331=8,Select!$B$331=9,Select!$B$331=10,Select!$B$331=11),Formular!B86&lt;400),400,Formular!B86))</f>
        <v>0</v>
      </c>
      <c r="L273" s="922"/>
      <c r="M273" s="922"/>
      <c r="N273" s="922">
        <f t="shared" si="39"/>
        <v>0</v>
      </c>
      <c r="O273" s="922"/>
      <c r="P273" s="922"/>
      <c r="Q273" s="10">
        <f>Formular!H86</f>
        <v>0</v>
      </c>
      <c r="R273" s="11">
        <f t="shared" si="40"/>
        <v>0</v>
      </c>
      <c r="S273" s="917">
        <f t="shared" si="34"/>
        <v>0</v>
      </c>
      <c r="T273" s="918"/>
      <c r="U273" s="353"/>
      <c r="V273" s="190">
        <f t="shared" si="35"/>
        <v>0</v>
      </c>
      <c r="W273" s="189"/>
      <c r="X273" s="189"/>
      <c r="Y273" s="189"/>
      <c r="Z273" s="5"/>
      <c r="AA273" s="5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144"/>
      <c r="AQ273" s="144"/>
      <c r="AR273" s="144"/>
      <c r="AS273" s="144"/>
      <c r="AT273" s="4"/>
    </row>
    <row r="274" spans="1:46" s="1" customFormat="1" ht="15" customHeight="1">
      <c r="A274" s="936">
        <f t="shared" si="36"/>
        <v>0</v>
      </c>
      <c r="B274" s="937"/>
      <c r="C274" s="937"/>
      <c r="D274" s="937"/>
      <c r="E274" s="937"/>
      <c r="F274" s="922">
        <f t="shared" si="37"/>
        <v>0</v>
      </c>
      <c r="G274" s="922"/>
      <c r="H274" s="922">
        <f t="shared" si="38"/>
        <v>0</v>
      </c>
      <c r="I274" s="922"/>
      <c r="J274" s="922"/>
      <c r="K274" s="922">
        <f>IF(AND(OR(Select!$B$331=2,Select!$B$331=3,Select!$B$331=12,Select!$B$331=13,Select!$B$331=14),Formular!B87&lt;800),800,IF(AND(OR(Select!$B$331=4,Select!$B$331=5,Select!$B$331=6,Select!$B$331=7,Select!$B$331=8,Select!$B$331=9,Select!$B$331=10,Select!$B$331=11),Formular!B87&lt;400),400,Formular!B87))</f>
        <v>0</v>
      </c>
      <c r="L274" s="922"/>
      <c r="M274" s="922"/>
      <c r="N274" s="922">
        <f t="shared" si="39"/>
        <v>0</v>
      </c>
      <c r="O274" s="922"/>
      <c r="P274" s="922"/>
      <c r="Q274" s="10">
        <f>Formular!H87</f>
        <v>0</v>
      </c>
      <c r="R274" s="11">
        <f t="shared" si="40"/>
        <v>0</v>
      </c>
      <c r="S274" s="917">
        <f t="shared" si="34"/>
        <v>0</v>
      </c>
      <c r="T274" s="918"/>
      <c r="U274" s="353"/>
      <c r="V274" s="190">
        <f t="shared" si="35"/>
        <v>0</v>
      </c>
      <c r="W274" s="189"/>
      <c r="X274" s="189"/>
      <c r="Y274" s="189"/>
      <c r="Z274" s="5"/>
      <c r="AA274" s="5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144"/>
      <c r="AQ274" s="144"/>
      <c r="AR274" s="144"/>
      <c r="AS274" s="144"/>
      <c r="AT274" s="4"/>
    </row>
    <row r="275" spans="1:46" s="1" customFormat="1" ht="15" customHeight="1">
      <c r="A275" s="936">
        <f t="shared" si="36"/>
        <v>0</v>
      </c>
      <c r="B275" s="937"/>
      <c r="C275" s="937"/>
      <c r="D275" s="937"/>
      <c r="E275" s="937"/>
      <c r="F275" s="922">
        <f t="shared" si="37"/>
        <v>0</v>
      </c>
      <c r="G275" s="922"/>
      <c r="H275" s="922">
        <f t="shared" si="38"/>
        <v>0</v>
      </c>
      <c r="I275" s="922"/>
      <c r="J275" s="922"/>
      <c r="K275" s="922">
        <f>IF(AND(OR(Select!$B$331=2,Select!$B$331=3,Select!$B$331=12,Select!$B$331=13,Select!$B$331=14),Formular!B88&lt;800),800,IF(AND(OR(Select!$B$331=4,Select!$B$331=5,Select!$B$331=6,Select!$B$331=7,Select!$B$331=8,Select!$B$331=9,Select!$B$331=10,Select!$B$331=11),Formular!B88&lt;400),400,Formular!B88))</f>
        <v>0</v>
      </c>
      <c r="L275" s="922"/>
      <c r="M275" s="922"/>
      <c r="N275" s="922">
        <f t="shared" si="39"/>
        <v>0</v>
      </c>
      <c r="O275" s="922"/>
      <c r="P275" s="922"/>
      <c r="Q275" s="10">
        <f>Formular!H88</f>
        <v>0</v>
      </c>
      <c r="R275" s="11">
        <f t="shared" si="40"/>
        <v>0</v>
      </c>
      <c r="S275" s="917">
        <f t="shared" si="34"/>
        <v>0</v>
      </c>
      <c r="T275" s="918"/>
      <c r="U275" s="353"/>
      <c r="V275" s="190">
        <f t="shared" si="35"/>
        <v>0</v>
      </c>
      <c r="W275" s="189"/>
      <c r="X275" s="189"/>
      <c r="Y275" s="189"/>
      <c r="Z275" s="5"/>
      <c r="AA275" s="5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144"/>
      <c r="AQ275" s="144"/>
      <c r="AR275" s="144"/>
      <c r="AS275" s="144"/>
      <c r="AT275" s="4"/>
    </row>
    <row r="276" spans="1:46" s="1" customFormat="1" ht="15" customHeight="1">
      <c r="A276" s="936">
        <f t="shared" si="36"/>
        <v>0</v>
      </c>
      <c r="B276" s="937"/>
      <c r="C276" s="937"/>
      <c r="D276" s="937"/>
      <c r="E276" s="937"/>
      <c r="F276" s="922">
        <f t="shared" si="37"/>
        <v>0</v>
      </c>
      <c r="G276" s="922"/>
      <c r="H276" s="922">
        <f t="shared" si="38"/>
        <v>0</v>
      </c>
      <c r="I276" s="922"/>
      <c r="J276" s="922"/>
      <c r="K276" s="922">
        <f>IF(AND(OR(Select!$B$331=2,Select!$B$331=3,Select!$B$331=12,Select!$B$331=13,Select!$B$331=14),Formular!B89&lt;800),800,IF(AND(OR(Select!$B$331=4,Select!$B$331=5,Select!$B$331=6,Select!$B$331=7,Select!$B$331=8,Select!$B$331=9,Select!$B$331=10,Select!$B$331=11),Formular!B89&lt;400),400,Formular!B89))</f>
        <v>0</v>
      </c>
      <c r="L276" s="922"/>
      <c r="M276" s="922"/>
      <c r="N276" s="922">
        <f t="shared" si="39"/>
        <v>0</v>
      </c>
      <c r="O276" s="922"/>
      <c r="P276" s="922"/>
      <c r="Q276" s="10">
        <f>Formular!H89</f>
        <v>0</v>
      </c>
      <c r="R276" s="11">
        <f t="shared" si="40"/>
        <v>0</v>
      </c>
      <c r="S276" s="917">
        <f t="shared" si="34"/>
        <v>0</v>
      </c>
      <c r="T276" s="918"/>
      <c r="U276" s="353"/>
      <c r="V276" s="190">
        <f t="shared" si="35"/>
        <v>0</v>
      </c>
      <c r="W276" s="189"/>
      <c r="X276" s="189"/>
      <c r="Y276" s="189"/>
      <c r="Z276" s="5"/>
      <c r="AA276" s="5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144"/>
      <c r="AQ276" s="144"/>
      <c r="AR276" s="144"/>
      <c r="AS276" s="144"/>
      <c r="AT276" s="4"/>
    </row>
    <row r="277" spans="1:46" s="1" customFormat="1" ht="15" customHeight="1">
      <c r="A277" s="936">
        <f t="shared" si="36"/>
        <v>0</v>
      </c>
      <c r="B277" s="937"/>
      <c r="C277" s="937"/>
      <c r="D277" s="937"/>
      <c r="E277" s="937"/>
      <c r="F277" s="922">
        <f t="shared" si="37"/>
        <v>0</v>
      </c>
      <c r="G277" s="922"/>
      <c r="H277" s="922">
        <f t="shared" si="38"/>
        <v>0</v>
      </c>
      <c r="I277" s="922"/>
      <c r="J277" s="922"/>
      <c r="K277" s="922">
        <f>IF(AND(OR(Select!$B$331=2,Select!$B$331=3,Select!$B$331=12,Select!$B$331=13,Select!$B$331=14),Formular!B90&lt;800),800,IF(AND(OR(Select!$B$331=4,Select!$B$331=5,Select!$B$331=6,Select!$B$331=7,Select!$B$331=8,Select!$B$331=9,Select!$B$331=10,Select!$B$331=11),Formular!B90&lt;400),400,Formular!B90))</f>
        <v>0</v>
      </c>
      <c r="L277" s="922"/>
      <c r="M277" s="922"/>
      <c r="N277" s="922">
        <f t="shared" si="39"/>
        <v>0</v>
      </c>
      <c r="O277" s="922"/>
      <c r="P277" s="922"/>
      <c r="Q277" s="10">
        <f>Formular!H90</f>
        <v>0</v>
      </c>
      <c r="R277" s="11">
        <f t="shared" si="40"/>
        <v>0</v>
      </c>
      <c r="S277" s="917">
        <f t="shared" si="34"/>
        <v>0</v>
      </c>
      <c r="T277" s="918"/>
      <c r="U277" s="353"/>
      <c r="V277" s="190">
        <f t="shared" si="35"/>
        <v>0</v>
      </c>
      <c r="W277" s="189"/>
      <c r="X277" s="189"/>
      <c r="Y277" s="189"/>
      <c r="Z277" s="5"/>
      <c r="AA277" s="5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144"/>
      <c r="AQ277" s="144"/>
      <c r="AR277" s="144"/>
      <c r="AS277" s="144"/>
      <c r="AT277" s="4"/>
    </row>
    <row r="278" spans="1:46" s="1" customFormat="1" ht="15" customHeight="1">
      <c r="A278" s="936">
        <f t="shared" si="36"/>
        <v>0</v>
      </c>
      <c r="B278" s="937"/>
      <c r="C278" s="937"/>
      <c r="D278" s="937"/>
      <c r="E278" s="937"/>
      <c r="F278" s="922">
        <f t="shared" si="37"/>
        <v>0</v>
      </c>
      <c r="G278" s="922"/>
      <c r="H278" s="922">
        <f t="shared" si="38"/>
        <v>0</v>
      </c>
      <c r="I278" s="922"/>
      <c r="J278" s="922"/>
      <c r="K278" s="922">
        <f>IF(AND(OR(Select!$B$331=2,Select!$B$331=3,Select!$B$331=12,Select!$B$331=13,Select!$B$331=14),Formular!B91&lt;800),800,IF(AND(OR(Select!$B$331=4,Select!$B$331=5,Select!$B$331=6,Select!$B$331=7,Select!$B$331=8,Select!$B$331=9,Select!$B$331=10,Select!$B$331=11),Formular!B91&lt;400),400,Formular!B91))</f>
        <v>0</v>
      </c>
      <c r="L278" s="922"/>
      <c r="M278" s="922"/>
      <c r="N278" s="922">
        <f t="shared" si="39"/>
        <v>0</v>
      </c>
      <c r="O278" s="922"/>
      <c r="P278" s="922"/>
      <c r="Q278" s="10">
        <f>Formular!H91</f>
        <v>0</v>
      </c>
      <c r="R278" s="11">
        <f t="shared" si="40"/>
        <v>0</v>
      </c>
      <c r="S278" s="917">
        <f t="shared" si="34"/>
        <v>0</v>
      </c>
      <c r="T278" s="918"/>
      <c r="U278" s="353"/>
      <c r="V278" s="190">
        <f t="shared" si="35"/>
        <v>0</v>
      </c>
      <c r="W278" s="189"/>
      <c r="X278" s="189"/>
      <c r="Y278" s="189"/>
      <c r="Z278" s="5"/>
      <c r="AA278" s="5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144"/>
      <c r="AQ278" s="144"/>
      <c r="AR278" s="144"/>
      <c r="AS278" s="144"/>
      <c r="AT278" s="4"/>
    </row>
    <row r="279" spans="1:46" s="1" customFormat="1" ht="15" customHeight="1">
      <c r="A279" s="936">
        <f t="shared" si="36"/>
        <v>0</v>
      </c>
      <c r="B279" s="937"/>
      <c r="C279" s="937"/>
      <c r="D279" s="937"/>
      <c r="E279" s="937"/>
      <c r="F279" s="922">
        <f t="shared" si="37"/>
        <v>0</v>
      </c>
      <c r="G279" s="922"/>
      <c r="H279" s="922">
        <f t="shared" si="38"/>
        <v>0</v>
      </c>
      <c r="I279" s="922"/>
      <c r="J279" s="922"/>
      <c r="K279" s="922">
        <f>IF(AND(OR(Select!$B$331=2,Select!$B$331=3,Select!$B$331=12,Select!$B$331=13,Select!$B$331=14),Formular!B92&lt;800),800,IF(AND(OR(Select!$B$331=4,Select!$B$331=5,Select!$B$331=6,Select!$B$331=7,Select!$B$331=8,Select!$B$331=9,Select!$B$331=10,Select!$B$331=11),Formular!B92&lt;400),400,Formular!B92))</f>
        <v>0</v>
      </c>
      <c r="L279" s="922"/>
      <c r="M279" s="922"/>
      <c r="N279" s="922">
        <f t="shared" si="39"/>
        <v>0</v>
      </c>
      <c r="O279" s="922"/>
      <c r="P279" s="922"/>
      <c r="Q279" s="10">
        <f>Formular!H92</f>
        <v>0</v>
      </c>
      <c r="R279" s="11">
        <f t="shared" si="40"/>
        <v>0</v>
      </c>
      <c r="S279" s="917">
        <f t="shared" si="34"/>
        <v>0</v>
      </c>
      <c r="T279" s="918"/>
      <c r="U279" s="353"/>
      <c r="V279" s="190">
        <f t="shared" si="35"/>
        <v>0</v>
      </c>
      <c r="W279" s="189"/>
      <c r="X279" s="189"/>
      <c r="Y279" s="189"/>
      <c r="Z279" s="5"/>
      <c r="AA279" s="5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144"/>
      <c r="AQ279" s="144"/>
      <c r="AR279" s="144"/>
      <c r="AS279" s="144"/>
      <c r="AT279" s="4"/>
    </row>
    <row r="280" spans="1:46" s="1" customFormat="1" ht="15" customHeight="1">
      <c r="A280" s="936">
        <f t="shared" si="36"/>
        <v>0</v>
      </c>
      <c r="B280" s="937"/>
      <c r="C280" s="937"/>
      <c r="D280" s="937"/>
      <c r="E280" s="937"/>
      <c r="F280" s="922">
        <f t="shared" si="37"/>
        <v>0</v>
      </c>
      <c r="G280" s="922"/>
      <c r="H280" s="922">
        <f t="shared" si="38"/>
        <v>0</v>
      </c>
      <c r="I280" s="922"/>
      <c r="J280" s="922"/>
      <c r="K280" s="922">
        <f>IF(AND(OR(Select!$B$331=2,Select!$B$331=3,Select!$B$331=12,Select!$B$331=13,Select!$B$331=14),Formular!B93&lt;800),800,IF(AND(OR(Select!$B$331=4,Select!$B$331=5,Select!$B$331=6,Select!$B$331=7,Select!$B$331=8,Select!$B$331=9,Select!$B$331=10,Select!$B$331=11),Formular!B93&lt;400),400,Formular!B93))</f>
        <v>0</v>
      </c>
      <c r="L280" s="922"/>
      <c r="M280" s="922"/>
      <c r="N280" s="922">
        <f t="shared" si="39"/>
        <v>0</v>
      </c>
      <c r="O280" s="922"/>
      <c r="P280" s="922"/>
      <c r="Q280" s="10">
        <f>Formular!H93</f>
        <v>0</v>
      </c>
      <c r="R280" s="11">
        <f t="shared" si="40"/>
        <v>0</v>
      </c>
      <c r="S280" s="917">
        <f t="shared" si="34"/>
        <v>0</v>
      </c>
      <c r="T280" s="918"/>
      <c r="U280" s="353"/>
      <c r="V280" s="190">
        <f t="shared" si="35"/>
        <v>0</v>
      </c>
      <c r="W280" s="189"/>
      <c r="X280" s="189"/>
      <c r="Y280" s="189"/>
      <c r="Z280" s="5"/>
      <c r="AA280" s="5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144"/>
      <c r="AQ280" s="144"/>
      <c r="AR280" s="144"/>
      <c r="AS280" s="144"/>
      <c r="AT280" s="4"/>
    </row>
    <row r="281" spans="1:46" s="1" customFormat="1" ht="15" customHeight="1">
      <c r="A281" s="936">
        <f t="shared" si="36"/>
        <v>0</v>
      </c>
      <c r="B281" s="937"/>
      <c r="C281" s="937"/>
      <c r="D281" s="937"/>
      <c r="E281" s="937"/>
      <c r="F281" s="922">
        <f t="shared" si="37"/>
        <v>0</v>
      </c>
      <c r="G281" s="922"/>
      <c r="H281" s="922">
        <f t="shared" si="38"/>
        <v>0</v>
      </c>
      <c r="I281" s="922"/>
      <c r="J281" s="922"/>
      <c r="K281" s="922">
        <f>IF(AND(OR(Select!$B$331=2,Select!$B$331=3,Select!$B$331=12,Select!$B$331=13,Select!$B$331=14),Formular!B94&lt;800),800,IF(AND(OR(Select!$B$331=4,Select!$B$331=5,Select!$B$331=6,Select!$B$331=7,Select!$B$331=8,Select!$B$331=9,Select!$B$331=10,Select!$B$331=11),Formular!B94&lt;400),400,Formular!B94))</f>
        <v>0</v>
      </c>
      <c r="L281" s="922"/>
      <c r="M281" s="922"/>
      <c r="N281" s="922">
        <f t="shared" si="39"/>
        <v>0</v>
      </c>
      <c r="O281" s="922"/>
      <c r="P281" s="922"/>
      <c r="Q281" s="10">
        <f>Formular!H94</f>
        <v>0</v>
      </c>
      <c r="R281" s="11">
        <f t="shared" si="40"/>
        <v>0</v>
      </c>
      <c r="S281" s="917">
        <f t="shared" si="34"/>
        <v>0</v>
      </c>
      <c r="T281" s="918"/>
      <c r="U281" s="353"/>
      <c r="V281" s="190">
        <f t="shared" si="35"/>
        <v>0</v>
      </c>
      <c r="W281" s="189"/>
      <c r="X281" s="189"/>
      <c r="Y281" s="189"/>
      <c r="Z281" s="5"/>
      <c r="AA281" s="5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144"/>
      <c r="AQ281" s="144"/>
      <c r="AR281" s="144"/>
      <c r="AS281" s="144"/>
      <c r="AT281" s="4"/>
    </row>
    <row r="282" spans="1:46" s="77" customFormat="1" ht="15" customHeight="1">
      <c r="A282" s="936">
        <f t="shared" si="36"/>
        <v>0</v>
      </c>
      <c r="B282" s="937"/>
      <c r="C282" s="937"/>
      <c r="D282" s="937"/>
      <c r="E282" s="937"/>
      <c r="F282" s="922">
        <f t="shared" si="37"/>
        <v>0</v>
      </c>
      <c r="G282" s="922"/>
      <c r="H282" s="922">
        <f t="shared" si="38"/>
        <v>0</v>
      </c>
      <c r="I282" s="922"/>
      <c r="J282" s="922"/>
      <c r="K282" s="922">
        <f>IF(AND(OR(Select!$B$331=2,Select!$B$331=3,Select!$B$331=12,Select!$B$331=13,Select!$B$331=14),Formular!B95&lt;800),800,IF(AND(OR(Select!$B$331=4,Select!$B$331=5,Select!$B$331=6,Select!$B$331=7,Select!$B$331=8,Select!$B$331=9,Select!$B$331=10,Select!$B$331=11),Formular!B95&lt;400),400,Formular!B95))</f>
        <v>0</v>
      </c>
      <c r="L282" s="922"/>
      <c r="M282" s="922"/>
      <c r="N282" s="922">
        <f t="shared" si="39"/>
        <v>0</v>
      </c>
      <c r="O282" s="922"/>
      <c r="P282" s="922"/>
      <c r="Q282" s="476">
        <f>Formular!H95</f>
        <v>0</v>
      </c>
      <c r="R282" s="350">
        <f t="shared" si="40"/>
        <v>0</v>
      </c>
      <c r="S282" s="917">
        <f t="shared" ref="S282:S283" si="41">IF(ISERROR((K282*N282)/1000000*Q282*R282),"0",(K282*N282)/1000000*Q282*R282)</f>
        <v>0</v>
      </c>
      <c r="T282" s="918"/>
      <c r="U282" s="476"/>
      <c r="V282" s="190">
        <f t="shared" si="35"/>
        <v>0</v>
      </c>
      <c r="W282" s="189"/>
      <c r="X282" s="189"/>
      <c r="Y282" s="189"/>
      <c r="Z282" s="5"/>
      <c r="AA282" s="5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144"/>
      <c r="AQ282" s="144"/>
      <c r="AR282" s="144"/>
      <c r="AS282" s="144"/>
      <c r="AT282" s="4"/>
    </row>
    <row r="283" spans="1:46" s="77" customFormat="1" ht="15" customHeight="1">
      <c r="A283" s="936">
        <f t="shared" si="36"/>
        <v>0</v>
      </c>
      <c r="B283" s="937"/>
      <c r="C283" s="937"/>
      <c r="D283" s="937"/>
      <c r="E283" s="937"/>
      <c r="F283" s="922">
        <f t="shared" si="37"/>
        <v>0</v>
      </c>
      <c r="G283" s="922"/>
      <c r="H283" s="922">
        <f t="shared" si="38"/>
        <v>0</v>
      </c>
      <c r="I283" s="922"/>
      <c r="J283" s="922"/>
      <c r="K283" s="922">
        <f>IF(AND(OR(Select!$B$331=2,Select!$B$331=3,Select!$B$331=12,Select!$B$331=13,Select!$B$331=14),Formular!B96&lt;800),800,IF(AND(OR(Select!$B$331=4,Select!$B$331=5,Select!$B$331=6,Select!$B$331=7,Select!$B$331=8,Select!$B$331=9,Select!$B$331=10,Select!$B$331=11),Formular!B96&lt;400),400,Formular!B96))</f>
        <v>0</v>
      </c>
      <c r="L283" s="922"/>
      <c r="M283" s="922"/>
      <c r="N283" s="922">
        <f t="shared" si="39"/>
        <v>0</v>
      </c>
      <c r="O283" s="922"/>
      <c r="P283" s="922"/>
      <c r="Q283" s="476">
        <f>Formular!H96</f>
        <v>0</v>
      </c>
      <c r="R283" s="350">
        <f t="shared" si="40"/>
        <v>0</v>
      </c>
      <c r="S283" s="917">
        <f t="shared" si="41"/>
        <v>0</v>
      </c>
      <c r="T283" s="918"/>
      <c r="U283" s="476"/>
      <c r="V283" s="190">
        <f t="shared" si="35"/>
        <v>0</v>
      </c>
      <c r="W283" s="189"/>
      <c r="X283" s="189"/>
      <c r="Y283" s="189"/>
      <c r="Z283" s="5"/>
      <c r="AA283" s="5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144"/>
      <c r="AQ283" s="144"/>
      <c r="AR283" s="144"/>
      <c r="AS283" s="144"/>
      <c r="AT283" s="4"/>
    </row>
    <row r="284" spans="1:46" s="1" customFormat="1" ht="15" customHeight="1">
      <c r="A284" s="936">
        <f>A281</f>
        <v>0</v>
      </c>
      <c r="B284" s="937"/>
      <c r="C284" s="937"/>
      <c r="D284" s="937"/>
      <c r="E284" s="937"/>
      <c r="F284" s="922">
        <f>F281</f>
        <v>0</v>
      </c>
      <c r="G284" s="922"/>
      <c r="H284" s="922">
        <f>H281</f>
        <v>0</v>
      </c>
      <c r="I284" s="922"/>
      <c r="J284" s="922"/>
      <c r="K284" s="922">
        <f>IF(AND(OR(Select!$B$331=2,Select!$B$331=3,Select!$B$331=12,Select!$B$331=13,Select!$B$331=14),Formular!K67&lt;800),800,IF(AND(OR(Select!$B$331=4,Select!$B$331=5,Select!$B$331=6,Select!$B$331=7,Select!$B$331=8,Select!$B$331=9,Select!$B$331=10,Select!$B$331=11),Formular!K67&lt;400),400,Formular!K67))</f>
        <v>0</v>
      </c>
      <c r="L284" s="922"/>
      <c r="M284" s="922"/>
      <c r="N284" s="922">
        <f>N281</f>
        <v>0</v>
      </c>
      <c r="O284" s="922"/>
      <c r="P284" s="922"/>
      <c r="Q284" s="10">
        <f>Formular!Q67</f>
        <v>0</v>
      </c>
      <c r="R284" s="11">
        <f>R281</f>
        <v>0</v>
      </c>
      <c r="S284" s="917">
        <f t="shared" si="34"/>
        <v>0</v>
      </c>
      <c r="T284" s="918"/>
      <c r="U284" s="353"/>
      <c r="V284" s="190">
        <f t="shared" si="35"/>
        <v>0</v>
      </c>
      <c r="W284" s="189"/>
      <c r="X284" s="189"/>
      <c r="Y284" s="189"/>
      <c r="Z284" s="5"/>
      <c r="AA284" s="5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144"/>
      <c r="AQ284" s="144"/>
      <c r="AR284" s="144"/>
      <c r="AS284" s="144"/>
      <c r="AT284" s="4"/>
    </row>
    <row r="285" spans="1:46" s="1" customFormat="1" ht="15" customHeight="1">
      <c r="A285" s="936">
        <f t="shared" si="36"/>
        <v>0</v>
      </c>
      <c r="B285" s="937"/>
      <c r="C285" s="937"/>
      <c r="D285" s="937"/>
      <c r="E285" s="937"/>
      <c r="F285" s="922">
        <f t="shared" ref="F285:F343" si="42">F284</f>
        <v>0</v>
      </c>
      <c r="G285" s="922"/>
      <c r="H285" s="922">
        <f t="shared" si="38"/>
        <v>0</v>
      </c>
      <c r="I285" s="922"/>
      <c r="J285" s="922"/>
      <c r="K285" s="922">
        <f>IF(AND(OR(Select!$B$331=2,Select!$B$331=3,Select!$B$331=12,Select!$B$331=13,Select!$B$331=14),Formular!K68&lt;800),800,IF(AND(OR(Select!$B$331=4,Select!$B$331=5,Select!$B$331=6,Select!$B$331=7,Select!$B$331=8,Select!$B$331=9,Select!$B$331=10,Select!$B$331=11),Formular!K68&lt;400),400,Formular!K68))</f>
        <v>0</v>
      </c>
      <c r="L285" s="922"/>
      <c r="M285" s="922"/>
      <c r="N285" s="922">
        <f t="shared" si="39"/>
        <v>0</v>
      </c>
      <c r="O285" s="922"/>
      <c r="P285" s="922"/>
      <c r="Q285" s="10">
        <f>Formular!Q68</f>
        <v>0</v>
      </c>
      <c r="R285" s="11">
        <f t="shared" si="40"/>
        <v>0</v>
      </c>
      <c r="S285" s="917">
        <f t="shared" si="34"/>
        <v>0</v>
      </c>
      <c r="T285" s="918"/>
      <c r="U285" s="353"/>
      <c r="V285" s="190">
        <f t="shared" si="35"/>
        <v>0</v>
      </c>
      <c r="W285" s="189"/>
      <c r="X285" s="189"/>
      <c r="Y285" s="189"/>
      <c r="Z285" s="5"/>
      <c r="AA285" s="5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144"/>
      <c r="AQ285" s="144"/>
      <c r="AR285" s="144"/>
      <c r="AS285" s="144"/>
      <c r="AT285" s="4"/>
    </row>
    <row r="286" spans="1:46" s="1" customFormat="1" ht="15" customHeight="1">
      <c r="A286" s="936">
        <f t="shared" si="36"/>
        <v>0</v>
      </c>
      <c r="B286" s="937"/>
      <c r="C286" s="937"/>
      <c r="D286" s="937"/>
      <c r="E286" s="937"/>
      <c r="F286" s="922">
        <f t="shared" si="42"/>
        <v>0</v>
      </c>
      <c r="G286" s="922"/>
      <c r="H286" s="922">
        <f t="shared" si="38"/>
        <v>0</v>
      </c>
      <c r="I286" s="922"/>
      <c r="J286" s="922"/>
      <c r="K286" s="922">
        <f>IF(AND(OR(Select!$B$331=2,Select!$B$331=3,Select!$B$331=12,Select!$B$331=13,Select!$B$331=14),Formular!K69&lt;800),800,IF(AND(OR(Select!$B$331=4,Select!$B$331=5,Select!$B$331=6,Select!$B$331=7,Select!$B$331=8,Select!$B$331=9,Select!$B$331=10,Select!$B$331=11),Formular!K69&lt;400),400,Formular!K69))</f>
        <v>0</v>
      </c>
      <c r="L286" s="922"/>
      <c r="M286" s="922"/>
      <c r="N286" s="922">
        <f t="shared" si="39"/>
        <v>0</v>
      </c>
      <c r="O286" s="922"/>
      <c r="P286" s="922"/>
      <c r="Q286" s="10">
        <f>Formular!Q69</f>
        <v>0</v>
      </c>
      <c r="R286" s="11">
        <f t="shared" si="40"/>
        <v>0</v>
      </c>
      <c r="S286" s="917">
        <f t="shared" si="34"/>
        <v>0</v>
      </c>
      <c r="T286" s="918"/>
      <c r="U286" s="353"/>
      <c r="V286" s="190">
        <f t="shared" si="35"/>
        <v>0</v>
      </c>
      <c r="W286" s="189"/>
      <c r="X286" s="189"/>
      <c r="Y286" s="189"/>
      <c r="Z286" s="5"/>
      <c r="AA286" s="5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144"/>
      <c r="AQ286" s="144"/>
      <c r="AR286" s="144"/>
      <c r="AS286" s="144"/>
      <c r="AT286" s="4"/>
    </row>
    <row r="287" spans="1:46" s="1" customFormat="1" ht="15" customHeight="1">
      <c r="A287" s="936">
        <f t="shared" si="36"/>
        <v>0</v>
      </c>
      <c r="B287" s="937"/>
      <c r="C287" s="937"/>
      <c r="D287" s="937"/>
      <c r="E287" s="937"/>
      <c r="F287" s="922">
        <f t="shared" si="42"/>
        <v>0</v>
      </c>
      <c r="G287" s="922"/>
      <c r="H287" s="922">
        <f t="shared" si="38"/>
        <v>0</v>
      </c>
      <c r="I287" s="922"/>
      <c r="J287" s="922"/>
      <c r="K287" s="922">
        <f>IF(AND(OR(Select!$B$331=2,Select!$B$331=3,Select!$B$331=12,Select!$B$331=13,Select!$B$331=14),Formular!K70&lt;800),800,IF(AND(OR(Select!$B$331=4,Select!$B$331=5,Select!$B$331=6,Select!$B$331=7,Select!$B$331=8,Select!$B$331=9,Select!$B$331=10,Select!$B$331=11),Formular!K70&lt;400),400,Formular!K70))</f>
        <v>0</v>
      </c>
      <c r="L287" s="922"/>
      <c r="M287" s="922"/>
      <c r="N287" s="922">
        <f t="shared" si="39"/>
        <v>0</v>
      </c>
      <c r="O287" s="922"/>
      <c r="P287" s="922"/>
      <c r="Q287" s="10">
        <f>Formular!Q70</f>
        <v>0</v>
      </c>
      <c r="R287" s="11">
        <f t="shared" si="40"/>
        <v>0</v>
      </c>
      <c r="S287" s="917">
        <f t="shared" si="34"/>
        <v>0</v>
      </c>
      <c r="T287" s="918"/>
      <c r="U287" s="353"/>
      <c r="V287" s="190">
        <f t="shared" si="35"/>
        <v>0</v>
      </c>
      <c r="W287" s="189"/>
      <c r="X287" s="189"/>
      <c r="Y287" s="189"/>
      <c r="Z287" s="5"/>
      <c r="AA287" s="5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144"/>
      <c r="AQ287" s="144"/>
      <c r="AR287" s="144"/>
      <c r="AS287" s="144"/>
      <c r="AT287" s="4"/>
    </row>
    <row r="288" spans="1:46" s="1" customFormat="1" ht="15" customHeight="1">
      <c r="A288" s="936">
        <f t="shared" si="36"/>
        <v>0</v>
      </c>
      <c r="B288" s="937"/>
      <c r="C288" s="937"/>
      <c r="D288" s="937"/>
      <c r="E288" s="937"/>
      <c r="F288" s="922">
        <f t="shared" si="42"/>
        <v>0</v>
      </c>
      <c r="G288" s="922"/>
      <c r="H288" s="922">
        <f t="shared" si="38"/>
        <v>0</v>
      </c>
      <c r="I288" s="922"/>
      <c r="J288" s="922"/>
      <c r="K288" s="922">
        <f>IF(AND(OR(Select!$B$331=2,Select!$B$331=3,Select!$B$331=12,Select!$B$331=13,Select!$B$331=14),Formular!K71&lt;800),800,IF(AND(OR(Select!$B$331=4,Select!$B$331=5,Select!$B$331=6,Select!$B$331=7,Select!$B$331=8,Select!$B$331=9,Select!$B$331=10,Select!$B$331=11),Formular!K71&lt;400),400,Formular!K71))</f>
        <v>0</v>
      </c>
      <c r="L288" s="922"/>
      <c r="M288" s="922"/>
      <c r="N288" s="922">
        <f t="shared" si="39"/>
        <v>0</v>
      </c>
      <c r="O288" s="922"/>
      <c r="P288" s="922"/>
      <c r="Q288" s="10">
        <f>Formular!Q71</f>
        <v>0</v>
      </c>
      <c r="R288" s="11">
        <f t="shared" si="40"/>
        <v>0</v>
      </c>
      <c r="S288" s="917">
        <f t="shared" si="34"/>
        <v>0</v>
      </c>
      <c r="T288" s="918"/>
      <c r="U288" s="353"/>
      <c r="V288" s="190">
        <f t="shared" si="35"/>
        <v>0</v>
      </c>
      <c r="W288" s="189"/>
      <c r="X288" s="189"/>
      <c r="Y288" s="189"/>
      <c r="Z288" s="5"/>
      <c r="AA288" s="5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144"/>
      <c r="AQ288" s="144"/>
      <c r="AR288" s="144"/>
      <c r="AS288" s="144"/>
      <c r="AT288" s="4"/>
    </row>
    <row r="289" spans="1:46" s="1" customFormat="1" ht="15" customHeight="1">
      <c r="A289" s="936">
        <f t="shared" si="36"/>
        <v>0</v>
      </c>
      <c r="B289" s="937"/>
      <c r="C289" s="937"/>
      <c r="D289" s="937"/>
      <c r="E289" s="937"/>
      <c r="F289" s="922">
        <f t="shared" si="42"/>
        <v>0</v>
      </c>
      <c r="G289" s="922"/>
      <c r="H289" s="922">
        <f t="shared" si="38"/>
        <v>0</v>
      </c>
      <c r="I289" s="922"/>
      <c r="J289" s="922"/>
      <c r="K289" s="922">
        <f>IF(AND(OR(Select!$B$331=2,Select!$B$331=3,Select!$B$331=12,Select!$B$331=13,Select!$B$331=14),Formular!K72&lt;800),800,IF(AND(OR(Select!$B$331=4,Select!$B$331=5,Select!$B$331=6,Select!$B$331=7,Select!$B$331=8,Select!$B$331=9,Select!$B$331=10,Select!$B$331=11),Formular!K72&lt;400),400,Formular!K72))</f>
        <v>0</v>
      </c>
      <c r="L289" s="922"/>
      <c r="M289" s="922"/>
      <c r="N289" s="922">
        <f t="shared" si="39"/>
        <v>0</v>
      </c>
      <c r="O289" s="922"/>
      <c r="P289" s="922"/>
      <c r="Q289" s="10">
        <f>Formular!Q72</f>
        <v>0</v>
      </c>
      <c r="R289" s="11">
        <f t="shared" si="40"/>
        <v>0</v>
      </c>
      <c r="S289" s="917">
        <f t="shared" si="34"/>
        <v>0</v>
      </c>
      <c r="T289" s="918"/>
      <c r="U289" s="353"/>
      <c r="V289" s="190">
        <f t="shared" si="35"/>
        <v>0</v>
      </c>
      <c r="W289" s="189"/>
      <c r="X289" s="189"/>
      <c r="Y289" s="189"/>
      <c r="Z289" s="5"/>
      <c r="AA289" s="5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144"/>
      <c r="AQ289" s="144"/>
      <c r="AR289" s="144"/>
      <c r="AS289" s="144"/>
      <c r="AT289" s="4"/>
    </row>
    <row r="290" spans="1:46" s="1" customFormat="1" ht="15" customHeight="1">
      <c r="A290" s="936">
        <f t="shared" si="36"/>
        <v>0</v>
      </c>
      <c r="B290" s="937"/>
      <c r="C290" s="937"/>
      <c r="D290" s="937"/>
      <c r="E290" s="937"/>
      <c r="F290" s="922">
        <f t="shared" si="42"/>
        <v>0</v>
      </c>
      <c r="G290" s="922"/>
      <c r="H290" s="922">
        <f t="shared" si="38"/>
        <v>0</v>
      </c>
      <c r="I290" s="922"/>
      <c r="J290" s="922"/>
      <c r="K290" s="922">
        <f>IF(AND(OR(Select!$B$331=2,Select!$B$331=3,Select!$B$331=12,Select!$B$331=13,Select!$B$331=14),Formular!K73&lt;800),800,IF(AND(OR(Select!$B$331=4,Select!$B$331=5,Select!$B$331=6,Select!$B$331=7,Select!$B$331=8,Select!$B$331=9,Select!$B$331=10,Select!$B$331=11),Formular!K73&lt;400),400,Formular!K73))</f>
        <v>0</v>
      </c>
      <c r="L290" s="922"/>
      <c r="M290" s="922"/>
      <c r="N290" s="922">
        <f t="shared" si="39"/>
        <v>0</v>
      </c>
      <c r="O290" s="922"/>
      <c r="P290" s="922"/>
      <c r="Q290" s="10">
        <f>Formular!Q73</f>
        <v>0</v>
      </c>
      <c r="R290" s="11">
        <f t="shared" si="40"/>
        <v>0</v>
      </c>
      <c r="S290" s="917">
        <f t="shared" si="34"/>
        <v>0</v>
      </c>
      <c r="T290" s="918"/>
      <c r="U290" s="353"/>
      <c r="V290" s="190">
        <f t="shared" si="35"/>
        <v>0</v>
      </c>
      <c r="W290" s="189"/>
      <c r="X290" s="189"/>
      <c r="Y290" s="189"/>
      <c r="Z290" s="5"/>
      <c r="AA290" s="5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144"/>
      <c r="AQ290" s="144"/>
      <c r="AR290" s="144"/>
      <c r="AS290" s="144"/>
      <c r="AT290" s="4"/>
    </row>
    <row r="291" spans="1:46" s="1" customFormat="1" ht="15" customHeight="1">
      <c r="A291" s="936">
        <f t="shared" si="36"/>
        <v>0</v>
      </c>
      <c r="B291" s="937"/>
      <c r="C291" s="937"/>
      <c r="D291" s="937"/>
      <c r="E291" s="937"/>
      <c r="F291" s="922">
        <f t="shared" si="42"/>
        <v>0</v>
      </c>
      <c r="G291" s="922"/>
      <c r="H291" s="922">
        <f t="shared" si="38"/>
        <v>0</v>
      </c>
      <c r="I291" s="922"/>
      <c r="J291" s="922"/>
      <c r="K291" s="922">
        <f>IF(AND(OR(Select!$B$331=2,Select!$B$331=3,Select!$B$331=12,Select!$B$331=13,Select!$B$331=14),Formular!K74&lt;800),800,IF(AND(OR(Select!$B$331=4,Select!$B$331=5,Select!$B$331=6,Select!$B$331=7,Select!$B$331=8,Select!$B$331=9,Select!$B$331=10,Select!$B$331=11),Formular!K74&lt;400),400,Formular!K74))</f>
        <v>0</v>
      </c>
      <c r="L291" s="922"/>
      <c r="M291" s="922"/>
      <c r="N291" s="922">
        <f t="shared" si="39"/>
        <v>0</v>
      </c>
      <c r="O291" s="922"/>
      <c r="P291" s="922"/>
      <c r="Q291" s="10">
        <f>Formular!Q74</f>
        <v>0</v>
      </c>
      <c r="R291" s="11">
        <f t="shared" si="40"/>
        <v>0</v>
      </c>
      <c r="S291" s="917">
        <f t="shared" si="34"/>
        <v>0</v>
      </c>
      <c r="T291" s="918"/>
      <c r="U291" s="353"/>
      <c r="V291" s="190">
        <f t="shared" si="35"/>
        <v>0</v>
      </c>
      <c r="W291" s="189"/>
      <c r="X291" s="189"/>
      <c r="Y291" s="189"/>
      <c r="Z291" s="5"/>
      <c r="AA291" s="5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144"/>
      <c r="AQ291" s="144"/>
      <c r="AR291" s="144"/>
      <c r="AS291" s="144"/>
      <c r="AT291" s="4"/>
    </row>
    <row r="292" spans="1:46" s="1" customFormat="1" ht="15" customHeight="1">
      <c r="A292" s="936">
        <f t="shared" si="36"/>
        <v>0</v>
      </c>
      <c r="B292" s="937"/>
      <c r="C292" s="937"/>
      <c r="D292" s="937"/>
      <c r="E292" s="937"/>
      <c r="F292" s="922">
        <f t="shared" si="42"/>
        <v>0</v>
      </c>
      <c r="G292" s="922"/>
      <c r="H292" s="922">
        <f t="shared" si="38"/>
        <v>0</v>
      </c>
      <c r="I292" s="922"/>
      <c r="J292" s="922"/>
      <c r="K292" s="922">
        <f>IF(AND(OR(Select!$B$331=2,Select!$B$331=3,Select!$B$331=12,Select!$B$331=13,Select!$B$331=14),Formular!K75&lt;800),800,IF(AND(OR(Select!$B$331=4,Select!$B$331=5,Select!$B$331=6,Select!$B$331=7,Select!$B$331=8,Select!$B$331=9,Select!$B$331=10,Select!$B$331=11),Formular!K75&lt;400),400,Formular!K75))</f>
        <v>0</v>
      </c>
      <c r="L292" s="922"/>
      <c r="M292" s="922"/>
      <c r="N292" s="922">
        <f t="shared" si="39"/>
        <v>0</v>
      </c>
      <c r="O292" s="922"/>
      <c r="P292" s="922"/>
      <c r="Q292" s="10">
        <f>Formular!Q75</f>
        <v>0</v>
      </c>
      <c r="R292" s="11">
        <f t="shared" si="40"/>
        <v>0</v>
      </c>
      <c r="S292" s="917">
        <f t="shared" si="34"/>
        <v>0</v>
      </c>
      <c r="T292" s="918"/>
      <c r="U292" s="353"/>
      <c r="V292" s="190">
        <f t="shared" si="35"/>
        <v>0</v>
      </c>
      <c r="W292" s="189"/>
      <c r="X292" s="189"/>
      <c r="Y292" s="189"/>
      <c r="Z292" s="5"/>
      <c r="AA292" s="5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144"/>
      <c r="AQ292" s="144"/>
      <c r="AR292" s="144"/>
      <c r="AS292" s="144"/>
      <c r="AT292" s="4"/>
    </row>
    <row r="293" spans="1:46" s="1" customFormat="1" ht="15" customHeight="1">
      <c r="A293" s="936">
        <f t="shared" si="36"/>
        <v>0</v>
      </c>
      <c r="B293" s="937"/>
      <c r="C293" s="937"/>
      <c r="D293" s="937"/>
      <c r="E293" s="937"/>
      <c r="F293" s="922">
        <f t="shared" si="42"/>
        <v>0</v>
      </c>
      <c r="G293" s="922"/>
      <c r="H293" s="922">
        <f t="shared" si="38"/>
        <v>0</v>
      </c>
      <c r="I293" s="922"/>
      <c r="J293" s="922"/>
      <c r="K293" s="922">
        <f>IF(AND(OR(Select!$B$331=2,Select!$B$331=3,Select!$B$331=12,Select!$B$331=13,Select!$B$331=14),Formular!K76&lt;800),800,IF(AND(OR(Select!$B$331=4,Select!$B$331=5,Select!$B$331=6,Select!$B$331=7,Select!$B$331=8,Select!$B$331=9,Select!$B$331=10,Select!$B$331=11),Formular!K76&lt;400),400,Formular!K76))</f>
        <v>0</v>
      </c>
      <c r="L293" s="922"/>
      <c r="M293" s="922"/>
      <c r="N293" s="922">
        <f t="shared" si="39"/>
        <v>0</v>
      </c>
      <c r="O293" s="922"/>
      <c r="P293" s="922"/>
      <c r="Q293" s="10">
        <f>Formular!Q76</f>
        <v>0</v>
      </c>
      <c r="R293" s="11">
        <f t="shared" si="40"/>
        <v>0</v>
      </c>
      <c r="S293" s="917">
        <f t="shared" si="34"/>
        <v>0</v>
      </c>
      <c r="T293" s="918"/>
      <c r="U293" s="353"/>
      <c r="V293" s="190">
        <f t="shared" si="35"/>
        <v>0</v>
      </c>
      <c r="W293" s="189"/>
      <c r="X293" s="189"/>
      <c r="Y293" s="189"/>
      <c r="Z293" s="5"/>
      <c r="AA293" s="5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144"/>
      <c r="AQ293" s="144"/>
      <c r="AR293" s="144"/>
      <c r="AS293" s="144"/>
      <c r="AT293" s="4"/>
    </row>
    <row r="294" spans="1:46" s="1" customFormat="1" ht="15" customHeight="1">
      <c r="A294" s="936">
        <f t="shared" si="36"/>
        <v>0</v>
      </c>
      <c r="B294" s="937"/>
      <c r="C294" s="937"/>
      <c r="D294" s="937"/>
      <c r="E294" s="937"/>
      <c r="F294" s="922">
        <f t="shared" si="42"/>
        <v>0</v>
      </c>
      <c r="G294" s="922"/>
      <c r="H294" s="922">
        <f t="shared" si="38"/>
        <v>0</v>
      </c>
      <c r="I294" s="922"/>
      <c r="J294" s="922"/>
      <c r="K294" s="922">
        <f>IF(AND(OR(Select!$B$331=2,Select!$B$331=3,Select!$B$331=12,Select!$B$331=13,Select!$B$331=14),Formular!K77&lt;800),800,IF(AND(OR(Select!$B$331=4,Select!$B$331=5,Select!$B$331=6,Select!$B$331=7,Select!$B$331=8,Select!$B$331=9,Select!$B$331=10,Select!$B$331=11),Formular!K77&lt;400),400,Formular!K77))</f>
        <v>0</v>
      </c>
      <c r="L294" s="922"/>
      <c r="M294" s="922"/>
      <c r="N294" s="922">
        <f t="shared" si="39"/>
        <v>0</v>
      </c>
      <c r="O294" s="922"/>
      <c r="P294" s="922"/>
      <c r="Q294" s="10">
        <f>Formular!Q77</f>
        <v>0</v>
      </c>
      <c r="R294" s="11">
        <f t="shared" si="40"/>
        <v>0</v>
      </c>
      <c r="S294" s="917">
        <f t="shared" si="34"/>
        <v>0</v>
      </c>
      <c r="T294" s="918"/>
      <c r="U294" s="353"/>
      <c r="V294" s="190">
        <f t="shared" si="35"/>
        <v>0</v>
      </c>
      <c r="W294" s="189"/>
      <c r="X294" s="189"/>
      <c r="Y294" s="189"/>
      <c r="Z294" s="5"/>
      <c r="AA294" s="5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144"/>
      <c r="AQ294" s="144"/>
      <c r="AR294" s="144"/>
      <c r="AS294" s="144"/>
      <c r="AT294" s="4"/>
    </row>
    <row r="295" spans="1:46" s="1" customFormat="1" ht="15" customHeight="1">
      <c r="A295" s="936">
        <f t="shared" si="36"/>
        <v>0</v>
      </c>
      <c r="B295" s="937"/>
      <c r="C295" s="937"/>
      <c r="D295" s="937"/>
      <c r="E295" s="937"/>
      <c r="F295" s="922">
        <f t="shared" si="42"/>
        <v>0</v>
      </c>
      <c r="G295" s="922"/>
      <c r="H295" s="922">
        <f t="shared" si="38"/>
        <v>0</v>
      </c>
      <c r="I295" s="922"/>
      <c r="J295" s="922"/>
      <c r="K295" s="922">
        <f>IF(AND(OR(Select!$B$331=2,Select!$B$331=3,Select!$B$331=12,Select!$B$331=13,Select!$B$331=14),Formular!K78&lt;800),800,IF(AND(OR(Select!$B$331=4,Select!$B$331=5,Select!$B$331=6,Select!$B$331=7,Select!$B$331=8,Select!$B$331=9,Select!$B$331=10,Select!$B$331=11),Formular!K78&lt;400),400,Formular!K78))</f>
        <v>0</v>
      </c>
      <c r="L295" s="922"/>
      <c r="M295" s="922"/>
      <c r="N295" s="922">
        <f t="shared" si="39"/>
        <v>0</v>
      </c>
      <c r="O295" s="922"/>
      <c r="P295" s="922"/>
      <c r="Q295" s="10">
        <f>Formular!Q78</f>
        <v>0</v>
      </c>
      <c r="R295" s="11">
        <f t="shared" si="40"/>
        <v>0</v>
      </c>
      <c r="S295" s="917">
        <f t="shared" si="34"/>
        <v>0</v>
      </c>
      <c r="T295" s="918"/>
      <c r="U295" s="353"/>
      <c r="V295" s="190">
        <f t="shared" si="35"/>
        <v>0</v>
      </c>
      <c r="W295" s="189"/>
      <c r="X295" s="189"/>
      <c r="Y295" s="189"/>
      <c r="Z295" s="5"/>
      <c r="AA295" s="5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144"/>
      <c r="AQ295" s="144"/>
      <c r="AR295" s="144"/>
      <c r="AS295" s="144"/>
      <c r="AT295" s="4"/>
    </row>
    <row r="296" spans="1:46" s="1" customFormat="1" ht="15" customHeight="1">
      <c r="A296" s="936">
        <f t="shared" si="36"/>
        <v>0</v>
      </c>
      <c r="B296" s="937"/>
      <c r="C296" s="937"/>
      <c r="D296" s="937"/>
      <c r="E296" s="937"/>
      <c r="F296" s="922">
        <f t="shared" si="42"/>
        <v>0</v>
      </c>
      <c r="G296" s="922"/>
      <c r="H296" s="922">
        <f t="shared" si="38"/>
        <v>0</v>
      </c>
      <c r="I296" s="922"/>
      <c r="J296" s="922"/>
      <c r="K296" s="922">
        <f>IF(AND(OR(Select!$B$331=2,Select!$B$331=3,Select!$B$331=12,Select!$B$331=13,Select!$B$331=14),Formular!K79&lt;800),800,IF(AND(OR(Select!$B$331=4,Select!$B$331=5,Select!$B$331=6,Select!$B$331=7,Select!$B$331=8,Select!$B$331=9,Select!$B$331=10,Select!$B$331=11),Formular!K79&lt;400),400,Formular!K79))</f>
        <v>0</v>
      </c>
      <c r="L296" s="922"/>
      <c r="M296" s="922"/>
      <c r="N296" s="922">
        <f t="shared" si="39"/>
        <v>0</v>
      </c>
      <c r="O296" s="922"/>
      <c r="P296" s="922"/>
      <c r="Q296" s="10">
        <f>Formular!Q79</f>
        <v>0</v>
      </c>
      <c r="R296" s="11">
        <f t="shared" si="40"/>
        <v>0</v>
      </c>
      <c r="S296" s="917">
        <f t="shared" si="34"/>
        <v>0</v>
      </c>
      <c r="T296" s="918"/>
      <c r="U296" s="353"/>
      <c r="V296" s="190">
        <f t="shared" si="35"/>
        <v>0</v>
      </c>
      <c r="W296" s="189"/>
      <c r="X296" s="189"/>
      <c r="Y296" s="189"/>
      <c r="Z296" s="5"/>
      <c r="AA296" s="5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144"/>
      <c r="AQ296" s="144"/>
      <c r="AR296" s="144"/>
      <c r="AS296" s="144"/>
      <c r="AT296" s="4"/>
    </row>
    <row r="297" spans="1:46" s="1" customFormat="1" ht="15" customHeight="1">
      <c r="A297" s="936">
        <f t="shared" si="36"/>
        <v>0</v>
      </c>
      <c r="B297" s="937"/>
      <c r="C297" s="937"/>
      <c r="D297" s="937"/>
      <c r="E297" s="937"/>
      <c r="F297" s="922">
        <f t="shared" si="42"/>
        <v>0</v>
      </c>
      <c r="G297" s="922"/>
      <c r="H297" s="922">
        <f t="shared" si="38"/>
        <v>0</v>
      </c>
      <c r="I297" s="922"/>
      <c r="J297" s="922"/>
      <c r="K297" s="922">
        <f>IF(AND(OR(Select!$B$331=2,Select!$B$331=3,Select!$B$331=12,Select!$B$331=13,Select!$B$331=14),Formular!K80&lt;800),800,IF(AND(OR(Select!$B$331=4,Select!$B$331=5,Select!$B$331=6,Select!$B$331=7,Select!$B$331=8,Select!$B$331=9,Select!$B$331=10,Select!$B$331=11),Formular!K80&lt;400),400,Formular!K80))</f>
        <v>0</v>
      </c>
      <c r="L297" s="922"/>
      <c r="M297" s="922"/>
      <c r="N297" s="922">
        <f t="shared" si="39"/>
        <v>0</v>
      </c>
      <c r="O297" s="922"/>
      <c r="P297" s="922"/>
      <c r="Q297" s="10">
        <f>Formular!Q80</f>
        <v>0</v>
      </c>
      <c r="R297" s="11">
        <f t="shared" si="40"/>
        <v>0</v>
      </c>
      <c r="S297" s="917">
        <f t="shared" si="34"/>
        <v>0</v>
      </c>
      <c r="T297" s="918"/>
      <c r="U297" s="353"/>
      <c r="V297" s="190">
        <f t="shared" si="35"/>
        <v>0</v>
      </c>
      <c r="W297" s="189"/>
      <c r="X297" s="189"/>
      <c r="Y297" s="189"/>
      <c r="Z297" s="5"/>
      <c r="AA297" s="5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144"/>
      <c r="AQ297" s="144"/>
      <c r="AR297" s="144"/>
      <c r="AS297" s="144"/>
      <c r="AT297" s="4"/>
    </row>
    <row r="298" spans="1:46" s="1" customFormat="1" ht="15" customHeight="1">
      <c r="A298" s="936">
        <f t="shared" si="36"/>
        <v>0</v>
      </c>
      <c r="B298" s="937"/>
      <c r="C298" s="937"/>
      <c r="D298" s="937"/>
      <c r="E298" s="937"/>
      <c r="F298" s="922">
        <f t="shared" si="42"/>
        <v>0</v>
      </c>
      <c r="G298" s="922"/>
      <c r="H298" s="922">
        <f t="shared" si="38"/>
        <v>0</v>
      </c>
      <c r="I298" s="922"/>
      <c r="J298" s="922"/>
      <c r="K298" s="922">
        <f>IF(AND(OR(Select!$B$331=2,Select!$B$331=3,Select!$B$331=12,Select!$B$331=13,Select!$B$331=14),Formular!K81&lt;800),800,IF(AND(OR(Select!$B$331=4,Select!$B$331=5,Select!$B$331=6,Select!$B$331=7,Select!$B$331=8,Select!$B$331=9,Select!$B$331=10,Select!$B$331=11),Formular!K81&lt;400),400,Formular!K81))</f>
        <v>0</v>
      </c>
      <c r="L298" s="922"/>
      <c r="M298" s="922"/>
      <c r="N298" s="922">
        <f t="shared" si="39"/>
        <v>0</v>
      </c>
      <c r="O298" s="922"/>
      <c r="P298" s="922"/>
      <c r="Q298" s="10">
        <f>Formular!Q81</f>
        <v>0</v>
      </c>
      <c r="R298" s="11">
        <f t="shared" si="40"/>
        <v>0</v>
      </c>
      <c r="S298" s="917">
        <f t="shared" si="34"/>
        <v>0</v>
      </c>
      <c r="T298" s="918"/>
      <c r="U298" s="353"/>
      <c r="V298" s="190">
        <f t="shared" si="35"/>
        <v>0</v>
      </c>
      <c r="W298" s="189"/>
      <c r="X298" s="189"/>
      <c r="Y298" s="189"/>
      <c r="Z298" s="5"/>
      <c r="AA298" s="5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144"/>
      <c r="AQ298" s="144"/>
      <c r="AR298" s="144"/>
      <c r="AS298" s="144"/>
      <c r="AT298" s="4"/>
    </row>
    <row r="299" spans="1:46" s="1" customFormat="1" ht="15" customHeight="1">
      <c r="A299" s="936">
        <f t="shared" si="36"/>
        <v>0</v>
      </c>
      <c r="B299" s="937"/>
      <c r="C299" s="937"/>
      <c r="D299" s="937"/>
      <c r="E299" s="937"/>
      <c r="F299" s="922">
        <f t="shared" si="42"/>
        <v>0</v>
      </c>
      <c r="G299" s="922"/>
      <c r="H299" s="922">
        <f t="shared" si="38"/>
        <v>0</v>
      </c>
      <c r="I299" s="922"/>
      <c r="J299" s="922"/>
      <c r="K299" s="922">
        <f>IF(AND(OR(Select!$B$331=2,Select!$B$331=3,Select!$B$331=12,Select!$B$331=13,Select!$B$331=14),Formular!K82&lt;800),800,IF(AND(OR(Select!$B$331=4,Select!$B$331=5,Select!$B$331=6,Select!$B$331=7,Select!$B$331=8,Select!$B$331=9,Select!$B$331=10,Select!$B$331=11),Formular!K82&lt;400),400,Formular!K82))</f>
        <v>0</v>
      </c>
      <c r="L299" s="922"/>
      <c r="M299" s="922"/>
      <c r="N299" s="922">
        <f t="shared" si="39"/>
        <v>0</v>
      </c>
      <c r="O299" s="922"/>
      <c r="P299" s="922"/>
      <c r="Q299" s="10">
        <f>Formular!Q82</f>
        <v>0</v>
      </c>
      <c r="R299" s="11">
        <f t="shared" si="40"/>
        <v>0</v>
      </c>
      <c r="S299" s="917">
        <f t="shared" si="34"/>
        <v>0</v>
      </c>
      <c r="T299" s="918"/>
      <c r="U299" s="353"/>
      <c r="V299" s="190">
        <f t="shared" si="35"/>
        <v>0</v>
      </c>
      <c r="W299" s="189"/>
      <c r="X299" s="189"/>
      <c r="Y299" s="189"/>
      <c r="Z299" s="5"/>
      <c r="AA299" s="5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144"/>
      <c r="AQ299" s="144"/>
      <c r="AR299" s="144"/>
      <c r="AS299" s="144"/>
      <c r="AT299" s="4"/>
    </row>
    <row r="300" spans="1:46" s="1" customFormat="1" ht="15" customHeight="1">
      <c r="A300" s="936">
        <f t="shared" si="36"/>
        <v>0</v>
      </c>
      <c r="B300" s="937"/>
      <c r="C300" s="937"/>
      <c r="D300" s="937"/>
      <c r="E300" s="937"/>
      <c r="F300" s="922">
        <f t="shared" si="42"/>
        <v>0</v>
      </c>
      <c r="G300" s="922"/>
      <c r="H300" s="922">
        <f t="shared" si="38"/>
        <v>0</v>
      </c>
      <c r="I300" s="922"/>
      <c r="J300" s="922"/>
      <c r="K300" s="922">
        <f>IF(AND(OR(Select!$B$331=2,Select!$B$331=3,Select!$B$331=12,Select!$B$331=13,Select!$B$331=14),Formular!K83&lt;800),800,IF(AND(OR(Select!$B$331=4,Select!$B$331=5,Select!$B$331=6,Select!$B$331=7,Select!$B$331=8,Select!$B$331=9,Select!$B$331=10,Select!$B$331=11),Formular!K83&lt;400),400,Formular!K83))</f>
        <v>0</v>
      </c>
      <c r="L300" s="922"/>
      <c r="M300" s="922"/>
      <c r="N300" s="922">
        <f t="shared" si="39"/>
        <v>0</v>
      </c>
      <c r="O300" s="922"/>
      <c r="P300" s="922"/>
      <c r="Q300" s="10">
        <f>Formular!Q83</f>
        <v>0</v>
      </c>
      <c r="R300" s="11">
        <f t="shared" si="40"/>
        <v>0</v>
      </c>
      <c r="S300" s="917">
        <f t="shared" si="34"/>
        <v>0</v>
      </c>
      <c r="T300" s="918"/>
      <c r="U300" s="353"/>
      <c r="V300" s="190">
        <f t="shared" si="35"/>
        <v>0</v>
      </c>
      <c r="W300" s="189"/>
      <c r="X300" s="189"/>
      <c r="Y300" s="189"/>
      <c r="Z300" s="5"/>
      <c r="AA300" s="5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144"/>
      <c r="AQ300" s="144"/>
      <c r="AR300" s="144"/>
      <c r="AS300" s="144"/>
      <c r="AT300" s="4"/>
    </row>
    <row r="301" spans="1:46" s="1" customFormat="1" ht="15" customHeight="1">
      <c r="A301" s="936">
        <f t="shared" si="36"/>
        <v>0</v>
      </c>
      <c r="B301" s="937"/>
      <c r="C301" s="937"/>
      <c r="D301" s="937"/>
      <c r="E301" s="937"/>
      <c r="F301" s="922">
        <f t="shared" si="42"/>
        <v>0</v>
      </c>
      <c r="G301" s="922"/>
      <c r="H301" s="922">
        <f t="shared" si="38"/>
        <v>0</v>
      </c>
      <c r="I301" s="922"/>
      <c r="J301" s="922"/>
      <c r="K301" s="922">
        <f>IF(AND(OR(Select!$B$331=2,Select!$B$331=3,Select!$B$331=12,Select!$B$331=13,Select!$B$331=14),Formular!K84&lt;800),800,IF(AND(OR(Select!$B$331=4,Select!$B$331=5,Select!$B$331=6,Select!$B$331=7,Select!$B$331=8,Select!$B$331=9,Select!$B$331=10,Select!$B$331=11),Formular!K84&lt;400),400,Formular!K84))</f>
        <v>0</v>
      </c>
      <c r="L301" s="922"/>
      <c r="M301" s="922"/>
      <c r="N301" s="922">
        <f t="shared" si="39"/>
        <v>0</v>
      </c>
      <c r="O301" s="922"/>
      <c r="P301" s="922"/>
      <c r="Q301" s="10">
        <f>Formular!Q84</f>
        <v>0</v>
      </c>
      <c r="R301" s="11">
        <f t="shared" si="40"/>
        <v>0</v>
      </c>
      <c r="S301" s="917">
        <f t="shared" si="34"/>
        <v>0</v>
      </c>
      <c r="T301" s="918"/>
      <c r="U301" s="353"/>
      <c r="V301" s="190">
        <f t="shared" si="35"/>
        <v>0</v>
      </c>
      <c r="W301" s="189"/>
      <c r="X301" s="189"/>
      <c r="Y301" s="189"/>
      <c r="Z301" s="5"/>
      <c r="AA301" s="5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144"/>
      <c r="AQ301" s="144"/>
      <c r="AR301" s="144"/>
      <c r="AS301" s="144"/>
      <c r="AT301" s="4"/>
    </row>
    <row r="302" spans="1:46" s="1" customFormat="1" ht="15" customHeight="1">
      <c r="A302" s="936">
        <f t="shared" si="36"/>
        <v>0</v>
      </c>
      <c r="B302" s="937"/>
      <c r="C302" s="937"/>
      <c r="D302" s="937"/>
      <c r="E302" s="937"/>
      <c r="F302" s="922">
        <f t="shared" si="42"/>
        <v>0</v>
      </c>
      <c r="G302" s="922"/>
      <c r="H302" s="922">
        <f t="shared" si="38"/>
        <v>0</v>
      </c>
      <c r="I302" s="922"/>
      <c r="J302" s="922"/>
      <c r="K302" s="922">
        <f>IF(AND(OR(Select!$B$331=2,Select!$B$331=3,Select!$B$331=12,Select!$B$331=13,Select!$B$331=14),Formular!K85&lt;800),800,IF(AND(OR(Select!$B$331=4,Select!$B$331=5,Select!$B$331=6,Select!$B$331=7,Select!$B$331=8,Select!$B$331=9,Select!$B$331=10,Select!$B$331=11),Formular!K85&lt;400),400,Formular!K85))</f>
        <v>0</v>
      </c>
      <c r="L302" s="922"/>
      <c r="M302" s="922"/>
      <c r="N302" s="922">
        <f t="shared" si="39"/>
        <v>0</v>
      </c>
      <c r="O302" s="922"/>
      <c r="P302" s="922"/>
      <c r="Q302" s="10">
        <f>Formular!Q85</f>
        <v>0</v>
      </c>
      <c r="R302" s="11">
        <f t="shared" si="40"/>
        <v>0</v>
      </c>
      <c r="S302" s="917">
        <f t="shared" si="34"/>
        <v>0</v>
      </c>
      <c r="T302" s="918"/>
      <c r="U302" s="353"/>
      <c r="V302" s="190">
        <f t="shared" si="35"/>
        <v>0</v>
      </c>
      <c r="W302" s="189"/>
      <c r="X302" s="189"/>
      <c r="Y302" s="189"/>
      <c r="Z302" s="5"/>
      <c r="AA302" s="5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144"/>
      <c r="AQ302" s="144"/>
      <c r="AR302" s="144"/>
      <c r="AS302" s="144"/>
      <c r="AT302" s="4"/>
    </row>
    <row r="303" spans="1:46" s="1" customFormat="1" ht="15" customHeight="1">
      <c r="A303" s="936">
        <f t="shared" si="36"/>
        <v>0</v>
      </c>
      <c r="B303" s="937"/>
      <c r="C303" s="937"/>
      <c r="D303" s="937"/>
      <c r="E303" s="937"/>
      <c r="F303" s="922">
        <f t="shared" si="42"/>
        <v>0</v>
      </c>
      <c r="G303" s="922"/>
      <c r="H303" s="922">
        <f t="shared" si="38"/>
        <v>0</v>
      </c>
      <c r="I303" s="922"/>
      <c r="J303" s="922"/>
      <c r="K303" s="922">
        <f>IF(AND(OR(Select!$B$331=2,Select!$B$331=3,Select!$B$331=12,Select!$B$331=13,Select!$B$331=14),Formular!K86&lt;800),800,IF(AND(OR(Select!$B$331=4,Select!$B$331=5,Select!$B$331=6,Select!$B$331=7,Select!$B$331=8,Select!$B$331=9,Select!$B$331=10,Select!$B$331=11),Formular!K86&lt;400),400,Formular!K86))</f>
        <v>0</v>
      </c>
      <c r="L303" s="922"/>
      <c r="M303" s="922"/>
      <c r="N303" s="922">
        <f t="shared" si="39"/>
        <v>0</v>
      </c>
      <c r="O303" s="922"/>
      <c r="P303" s="922"/>
      <c r="Q303" s="10">
        <f>Formular!Q86</f>
        <v>0</v>
      </c>
      <c r="R303" s="11">
        <f t="shared" si="40"/>
        <v>0</v>
      </c>
      <c r="S303" s="917">
        <f t="shared" si="34"/>
        <v>0</v>
      </c>
      <c r="T303" s="918"/>
      <c r="U303" s="353"/>
      <c r="V303" s="190">
        <f t="shared" si="35"/>
        <v>0</v>
      </c>
      <c r="W303" s="189"/>
      <c r="X303" s="189"/>
      <c r="Y303" s="189"/>
      <c r="Z303" s="5"/>
      <c r="AA303" s="5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144"/>
      <c r="AQ303" s="144"/>
      <c r="AR303" s="144"/>
      <c r="AS303" s="144"/>
      <c r="AT303" s="4"/>
    </row>
    <row r="304" spans="1:46" s="1" customFormat="1" ht="15" customHeight="1">
      <c r="A304" s="936">
        <f t="shared" si="36"/>
        <v>0</v>
      </c>
      <c r="B304" s="937"/>
      <c r="C304" s="937"/>
      <c r="D304" s="937"/>
      <c r="E304" s="937"/>
      <c r="F304" s="922">
        <f t="shared" si="42"/>
        <v>0</v>
      </c>
      <c r="G304" s="922"/>
      <c r="H304" s="922">
        <f t="shared" si="38"/>
        <v>0</v>
      </c>
      <c r="I304" s="922"/>
      <c r="J304" s="922"/>
      <c r="K304" s="922">
        <f>IF(AND(OR(Select!$B$331=2,Select!$B$331=3,Select!$B$331=12,Select!$B$331=13,Select!$B$331=14),Formular!K87&lt;800),800,IF(AND(OR(Select!$B$331=4,Select!$B$331=5,Select!$B$331=6,Select!$B$331=7,Select!$B$331=8,Select!$B$331=9,Select!$B$331=10,Select!$B$331=11),Formular!K87&lt;400),400,Formular!K87))</f>
        <v>0</v>
      </c>
      <c r="L304" s="922"/>
      <c r="M304" s="922"/>
      <c r="N304" s="922">
        <f t="shared" si="39"/>
        <v>0</v>
      </c>
      <c r="O304" s="922"/>
      <c r="P304" s="922"/>
      <c r="Q304" s="10">
        <f>Formular!Q87</f>
        <v>0</v>
      </c>
      <c r="R304" s="11">
        <f t="shared" si="40"/>
        <v>0</v>
      </c>
      <c r="S304" s="917">
        <f t="shared" si="34"/>
        <v>0</v>
      </c>
      <c r="T304" s="918"/>
      <c r="U304" s="353"/>
      <c r="V304" s="190">
        <f t="shared" si="35"/>
        <v>0</v>
      </c>
      <c r="W304" s="189"/>
      <c r="X304" s="189"/>
      <c r="Y304" s="189"/>
      <c r="Z304" s="5"/>
      <c r="AA304" s="5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144"/>
      <c r="AQ304" s="144"/>
      <c r="AR304" s="144"/>
      <c r="AS304" s="144"/>
      <c r="AT304" s="4"/>
    </row>
    <row r="305" spans="1:46" s="1" customFormat="1" ht="15" customHeight="1">
      <c r="A305" s="936">
        <f t="shared" si="36"/>
        <v>0</v>
      </c>
      <c r="B305" s="937"/>
      <c r="C305" s="937"/>
      <c r="D305" s="937"/>
      <c r="E305" s="937"/>
      <c r="F305" s="922">
        <f t="shared" si="42"/>
        <v>0</v>
      </c>
      <c r="G305" s="922"/>
      <c r="H305" s="922">
        <f t="shared" si="38"/>
        <v>0</v>
      </c>
      <c r="I305" s="922"/>
      <c r="J305" s="922"/>
      <c r="K305" s="922">
        <f>IF(AND(OR(Select!$B$331=2,Select!$B$331=3,Select!$B$331=12,Select!$B$331=13,Select!$B$331=14),Formular!K88&lt;800),800,IF(AND(OR(Select!$B$331=4,Select!$B$331=5,Select!$B$331=6,Select!$B$331=7,Select!$B$331=8,Select!$B$331=9,Select!$B$331=10,Select!$B$331=11),Formular!K88&lt;400),400,Formular!K88))</f>
        <v>0</v>
      </c>
      <c r="L305" s="922"/>
      <c r="M305" s="922"/>
      <c r="N305" s="922">
        <f t="shared" si="39"/>
        <v>0</v>
      </c>
      <c r="O305" s="922"/>
      <c r="P305" s="922"/>
      <c r="Q305" s="10">
        <f>Formular!Q88</f>
        <v>0</v>
      </c>
      <c r="R305" s="11">
        <f t="shared" si="40"/>
        <v>0</v>
      </c>
      <c r="S305" s="917">
        <f t="shared" si="34"/>
        <v>0</v>
      </c>
      <c r="T305" s="918"/>
      <c r="U305" s="353"/>
      <c r="V305" s="190">
        <f t="shared" si="35"/>
        <v>0</v>
      </c>
      <c r="W305" s="189"/>
      <c r="X305" s="189"/>
      <c r="Y305" s="189"/>
      <c r="Z305" s="5"/>
      <c r="AA305" s="5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144"/>
      <c r="AQ305" s="144"/>
      <c r="AR305" s="144"/>
      <c r="AS305" s="144"/>
      <c r="AT305" s="4"/>
    </row>
    <row r="306" spans="1:46" s="1" customFormat="1" ht="15" customHeight="1">
      <c r="A306" s="936">
        <f t="shared" si="36"/>
        <v>0</v>
      </c>
      <c r="B306" s="937"/>
      <c r="C306" s="937"/>
      <c r="D306" s="937"/>
      <c r="E306" s="937"/>
      <c r="F306" s="922">
        <f t="shared" si="42"/>
        <v>0</v>
      </c>
      <c r="G306" s="922"/>
      <c r="H306" s="922">
        <f t="shared" si="38"/>
        <v>0</v>
      </c>
      <c r="I306" s="922"/>
      <c r="J306" s="922"/>
      <c r="K306" s="922">
        <f>IF(AND(OR(Select!$B$331=2,Select!$B$331=3,Select!$B$331=12,Select!$B$331=13,Select!$B$331=14),Formular!K89&lt;800),800,IF(AND(OR(Select!$B$331=4,Select!$B$331=5,Select!$B$331=6,Select!$B$331=7,Select!$B$331=8,Select!$B$331=9,Select!$B$331=10,Select!$B$331=11),Formular!K89&lt;400),400,Formular!K89))</f>
        <v>0</v>
      </c>
      <c r="L306" s="922"/>
      <c r="M306" s="922"/>
      <c r="N306" s="922">
        <f t="shared" si="39"/>
        <v>0</v>
      </c>
      <c r="O306" s="922"/>
      <c r="P306" s="922"/>
      <c r="Q306" s="10">
        <f>Formular!Q89</f>
        <v>0</v>
      </c>
      <c r="R306" s="11">
        <f t="shared" si="40"/>
        <v>0</v>
      </c>
      <c r="S306" s="917">
        <f t="shared" si="34"/>
        <v>0</v>
      </c>
      <c r="T306" s="918"/>
      <c r="U306" s="353"/>
      <c r="V306" s="190">
        <f t="shared" si="35"/>
        <v>0</v>
      </c>
      <c r="W306" s="189"/>
      <c r="X306" s="189"/>
      <c r="Y306" s="189"/>
      <c r="Z306" s="5"/>
      <c r="AA306" s="5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144"/>
      <c r="AQ306" s="144"/>
      <c r="AR306" s="144"/>
      <c r="AS306" s="144"/>
      <c r="AT306" s="4"/>
    </row>
    <row r="307" spans="1:46" s="1" customFormat="1" ht="15" customHeight="1">
      <c r="A307" s="936">
        <f t="shared" si="36"/>
        <v>0</v>
      </c>
      <c r="B307" s="937"/>
      <c r="C307" s="937"/>
      <c r="D307" s="937"/>
      <c r="E307" s="937"/>
      <c r="F307" s="922">
        <f t="shared" si="42"/>
        <v>0</v>
      </c>
      <c r="G307" s="922"/>
      <c r="H307" s="922">
        <f t="shared" si="38"/>
        <v>0</v>
      </c>
      <c r="I307" s="922"/>
      <c r="J307" s="922"/>
      <c r="K307" s="922">
        <f>IF(AND(OR(Select!$B$331=2,Select!$B$331=3,Select!$B$331=12,Select!$B$331=13,Select!$B$331=14),Formular!K90&lt;800),800,IF(AND(OR(Select!$B$331=4,Select!$B$331=5,Select!$B$331=6,Select!$B$331=7,Select!$B$331=8,Select!$B$331=9,Select!$B$331=10,Select!$B$331=11),Formular!K90&lt;400),400,Formular!K90))</f>
        <v>0</v>
      </c>
      <c r="L307" s="922"/>
      <c r="M307" s="922"/>
      <c r="N307" s="922">
        <f t="shared" si="39"/>
        <v>0</v>
      </c>
      <c r="O307" s="922"/>
      <c r="P307" s="922"/>
      <c r="Q307" s="10">
        <f>Formular!Q90</f>
        <v>0</v>
      </c>
      <c r="R307" s="11">
        <f t="shared" si="40"/>
        <v>0</v>
      </c>
      <c r="S307" s="917">
        <f t="shared" si="34"/>
        <v>0</v>
      </c>
      <c r="T307" s="918"/>
      <c r="U307" s="353"/>
      <c r="V307" s="190">
        <f t="shared" si="35"/>
        <v>0</v>
      </c>
      <c r="W307" s="189"/>
      <c r="X307" s="189"/>
      <c r="Y307" s="189"/>
      <c r="Z307" s="5"/>
      <c r="AA307" s="5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144"/>
      <c r="AQ307" s="144"/>
      <c r="AR307" s="144"/>
      <c r="AS307" s="144"/>
      <c r="AT307" s="4"/>
    </row>
    <row r="308" spans="1:46" s="1" customFormat="1" ht="15" customHeight="1">
      <c r="A308" s="936">
        <f t="shared" si="36"/>
        <v>0</v>
      </c>
      <c r="B308" s="937"/>
      <c r="C308" s="937"/>
      <c r="D308" s="937"/>
      <c r="E308" s="937"/>
      <c r="F308" s="922">
        <f t="shared" si="42"/>
        <v>0</v>
      </c>
      <c r="G308" s="922"/>
      <c r="H308" s="922">
        <f t="shared" si="38"/>
        <v>0</v>
      </c>
      <c r="I308" s="922"/>
      <c r="J308" s="922"/>
      <c r="K308" s="922">
        <f>IF(AND(OR(Select!$B$331=2,Select!$B$331=3,Select!$B$331=12,Select!$B$331=13,Select!$B$331=14),Formular!K91&lt;800),800,IF(AND(OR(Select!$B$331=4,Select!$B$331=5,Select!$B$331=6,Select!$B$331=7,Select!$B$331=8,Select!$B$331=9,Select!$B$331=10,Select!$B$331=11),Formular!K91&lt;400),400,Formular!K91))</f>
        <v>0</v>
      </c>
      <c r="L308" s="922"/>
      <c r="M308" s="922"/>
      <c r="N308" s="922">
        <f t="shared" si="39"/>
        <v>0</v>
      </c>
      <c r="O308" s="922"/>
      <c r="P308" s="922"/>
      <c r="Q308" s="10">
        <f>Formular!Q91</f>
        <v>0</v>
      </c>
      <c r="R308" s="11">
        <f t="shared" si="40"/>
        <v>0</v>
      </c>
      <c r="S308" s="917">
        <f t="shared" si="34"/>
        <v>0</v>
      </c>
      <c r="T308" s="918"/>
      <c r="U308" s="353"/>
      <c r="V308" s="190">
        <f t="shared" si="35"/>
        <v>0</v>
      </c>
      <c r="W308" s="189"/>
      <c r="X308" s="189"/>
      <c r="Y308" s="189"/>
      <c r="Z308" s="5"/>
      <c r="AA308" s="5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144"/>
      <c r="AQ308" s="144"/>
      <c r="AR308" s="144"/>
      <c r="AS308" s="144"/>
      <c r="AT308" s="4"/>
    </row>
    <row r="309" spans="1:46" s="1" customFormat="1" ht="15" customHeight="1">
      <c r="A309" s="936">
        <f t="shared" si="36"/>
        <v>0</v>
      </c>
      <c r="B309" s="937"/>
      <c r="C309" s="937"/>
      <c r="D309" s="937"/>
      <c r="E309" s="937"/>
      <c r="F309" s="922">
        <f t="shared" si="42"/>
        <v>0</v>
      </c>
      <c r="G309" s="922"/>
      <c r="H309" s="922">
        <f t="shared" si="38"/>
        <v>0</v>
      </c>
      <c r="I309" s="922"/>
      <c r="J309" s="922"/>
      <c r="K309" s="922">
        <f>IF(AND(OR(Select!$B$331=2,Select!$B$331=3,Select!$B$331=12,Select!$B$331=13,Select!$B$331=14),Formular!K92&lt;800),800,IF(AND(OR(Select!$B$331=4,Select!$B$331=5,Select!$B$331=6,Select!$B$331=7,Select!$B$331=8,Select!$B$331=9,Select!$B$331=10,Select!$B$331=11),Formular!K92&lt;400),400,Formular!K92))</f>
        <v>0</v>
      </c>
      <c r="L309" s="922"/>
      <c r="M309" s="922"/>
      <c r="N309" s="922">
        <f t="shared" si="39"/>
        <v>0</v>
      </c>
      <c r="O309" s="922"/>
      <c r="P309" s="922"/>
      <c r="Q309" s="10">
        <f>Formular!Q92</f>
        <v>0</v>
      </c>
      <c r="R309" s="11">
        <f t="shared" si="40"/>
        <v>0</v>
      </c>
      <c r="S309" s="917">
        <f t="shared" si="34"/>
        <v>0</v>
      </c>
      <c r="T309" s="918"/>
      <c r="U309" s="353"/>
      <c r="V309" s="190">
        <f t="shared" si="35"/>
        <v>0</v>
      </c>
      <c r="W309" s="189"/>
      <c r="X309" s="189"/>
      <c r="Y309" s="189"/>
      <c r="Z309" s="5"/>
      <c r="AA309" s="5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144"/>
      <c r="AQ309" s="144"/>
      <c r="AR309" s="144"/>
      <c r="AS309" s="144"/>
      <c r="AT309" s="4"/>
    </row>
    <row r="310" spans="1:46" s="1" customFormat="1" ht="15" customHeight="1">
      <c r="A310" s="936">
        <f t="shared" si="36"/>
        <v>0</v>
      </c>
      <c r="B310" s="937"/>
      <c r="C310" s="937"/>
      <c r="D310" s="937"/>
      <c r="E310" s="937"/>
      <c r="F310" s="922">
        <f t="shared" si="42"/>
        <v>0</v>
      </c>
      <c r="G310" s="922"/>
      <c r="H310" s="922">
        <f t="shared" si="38"/>
        <v>0</v>
      </c>
      <c r="I310" s="922"/>
      <c r="J310" s="922"/>
      <c r="K310" s="922">
        <f>IF(AND(OR(Select!$B$331=2,Select!$B$331=3,Select!$B$331=12,Select!$B$331=13,Select!$B$331=14),Formular!K93&lt;800),800,IF(AND(OR(Select!$B$331=4,Select!$B$331=5,Select!$B$331=6,Select!$B$331=7,Select!$B$331=8,Select!$B$331=9,Select!$B$331=10,Select!$B$331=11),Formular!K93&lt;400),400,Formular!K93))</f>
        <v>0</v>
      </c>
      <c r="L310" s="922"/>
      <c r="M310" s="922"/>
      <c r="N310" s="922">
        <f t="shared" si="39"/>
        <v>0</v>
      </c>
      <c r="O310" s="922"/>
      <c r="P310" s="922"/>
      <c r="Q310" s="10">
        <f>Formular!Q93</f>
        <v>0</v>
      </c>
      <c r="R310" s="11">
        <f t="shared" si="40"/>
        <v>0</v>
      </c>
      <c r="S310" s="917">
        <f t="shared" si="34"/>
        <v>0</v>
      </c>
      <c r="T310" s="918"/>
      <c r="U310" s="353"/>
      <c r="V310" s="190">
        <f t="shared" si="35"/>
        <v>0</v>
      </c>
      <c r="W310" s="189"/>
      <c r="X310" s="189"/>
      <c r="Y310" s="189"/>
      <c r="Z310" s="5"/>
      <c r="AA310" s="5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144"/>
      <c r="AQ310" s="144"/>
      <c r="AR310" s="144"/>
      <c r="AS310" s="144"/>
      <c r="AT310" s="4"/>
    </row>
    <row r="311" spans="1:46" s="1" customFormat="1" ht="15" customHeight="1">
      <c r="A311" s="936">
        <f t="shared" si="36"/>
        <v>0</v>
      </c>
      <c r="B311" s="937"/>
      <c r="C311" s="937"/>
      <c r="D311" s="937"/>
      <c r="E311" s="937"/>
      <c r="F311" s="922">
        <f t="shared" si="42"/>
        <v>0</v>
      </c>
      <c r="G311" s="922"/>
      <c r="H311" s="922">
        <f t="shared" si="38"/>
        <v>0</v>
      </c>
      <c r="I311" s="922"/>
      <c r="J311" s="922"/>
      <c r="K311" s="922">
        <f>IF(AND(OR(Select!$B$331=2,Select!$B$331=3,Select!$B$331=12,Select!$B$331=13,Select!$B$331=14),Formular!K94&lt;800),800,IF(AND(OR(Select!$B$331=4,Select!$B$331=5,Select!$B$331=6,Select!$B$331=7,Select!$B$331=8,Select!$B$331=9,Select!$B$331=10,Select!$B$331=11),Formular!K94&lt;400),400,Formular!K94))</f>
        <v>0</v>
      </c>
      <c r="L311" s="922"/>
      <c r="M311" s="922"/>
      <c r="N311" s="922">
        <f t="shared" si="39"/>
        <v>0</v>
      </c>
      <c r="O311" s="922"/>
      <c r="P311" s="922"/>
      <c r="Q311" s="10">
        <f>Formular!Q94</f>
        <v>0</v>
      </c>
      <c r="R311" s="11">
        <f t="shared" si="40"/>
        <v>0</v>
      </c>
      <c r="S311" s="917">
        <f t="shared" si="34"/>
        <v>0</v>
      </c>
      <c r="T311" s="918"/>
      <c r="U311" s="353"/>
      <c r="V311" s="190">
        <f t="shared" si="35"/>
        <v>0</v>
      </c>
      <c r="W311" s="189"/>
      <c r="X311" s="189"/>
      <c r="Y311" s="189"/>
      <c r="Z311" s="5"/>
      <c r="AA311" s="5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144"/>
      <c r="AQ311" s="144"/>
      <c r="AR311" s="144"/>
      <c r="AS311" s="144"/>
      <c r="AT311" s="4"/>
    </row>
    <row r="312" spans="1:46" s="77" customFormat="1" ht="15" customHeight="1">
      <c r="A312" s="936">
        <f t="shared" si="36"/>
        <v>0</v>
      </c>
      <c r="B312" s="937"/>
      <c r="C312" s="937"/>
      <c r="D312" s="937"/>
      <c r="E312" s="937"/>
      <c r="F312" s="922">
        <f t="shared" si="42"/>
        <v>0</v>
      </c>
      <c r="G312" s="922"/>
      <c r="H312" s="922">
        <f t="shared" si="38"/>
        <v>0</v>
      </c>
      <c r="I312" s="922"/>
      <c r="J312" s="922"/>
      <c r="K312" s="922">
        <f>IF(AND(OR(Select!$B$331=2,Select!$B$331=3,Select!$B$331=12,Select!$B$331=13,Select!$B$331=14),Formular!K95&lt;800),800,IF(AND(OR(Select!$B$331=4,Select!$B$331=5,Select!$B$331=6,Select!$B$331=7,Select!$B$331=8,Select!$B$331=9,Select!$B$331=10,Select!$B$331=11),Formular!K95&lt;400),400,Formular!K95))</f>
        <v>0</v>
      </c>
      <c r="L312" s="922"/>
      <c r="M312" s="922"/>
      <c r="N312" s="922">
        <f t="shared" si="39"/>
        <v>0</v>
      </c>
      <c r="O312" s="922"/>
      <c r="P312" s="922"/>
      <c r="Q312" s="476">
        <f>Formular!Q95</f>
        <v>0</v>
      </c>
      <c r="R312" s="350">
        <f t="shared" si="40"/>
        <v>0</v>
      </c>
      <c r="S312" s="917">
        <f t="shared" ref="S312:S313" si="43">IF(ISERROR((K312*N312)/1000000*Q312*R312),"0",(K312*N312)/1000000*Q312*R312)</f>
        <v>0</v>
      </c>
      <c r="T312" s="918"/>
      <c r="U312" s="476"/>
      <c r="V312" s="190">
        <f t="shared" si="35"/>
        <v>0</v>
      </c>
      <c r="W312" s="189"/>
      <c r="X312" s="189"/>
      <c r="Y312" s="189"/>
      <c r="Z312" s="5"/>
      <c r="AA312" s="5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144"/>
      <c r="AQ312" s="144"/>
      <c r="AR312" s="144"/>
      <c r="AS312" s="144"/>
      <c r="AT312" s="4"/>
    </row>
    <row r="313" spans="1:46" s="77" customFormat="1" ht="15" customHeight="1">
      <c r="A313" s="936">
        <f t="shared" si="36"/>
        <v>0</v>
      </c>
      <c r="B313" s="937"/>
      <c r="C313" s="937"/>
      <c r="D313" s="937"/>
      <c r="E313" s="937"/>
      <c r="F313" s="922">
        <f t="shared" si="42"/>
        <v>0</v>
      </c>
      <c r="G313" s="922"/>
      <c r="H313" s="922">
        <f t="shared" si="38"/>
        <v>0</v>
      </c>
      <c r="I313" s="922"/>
      <c r="J313" s="922"/>
      <c r="K313" s="922">
        <f>IF(AND(OR(Select!$B$331=2,Select!$B$331=3,Select!$B$331=12,Select!$B$331=13,Select!$B$331=14),Formular!K96&lt;800),800,IF(AND(OR(Select!$B$331=4,Select!$B$331=5,Select!$B$331=6,Select!$B$331=7,Select!$B$331=8,Select!$B$331=9,Select!$B$331=10,Select!$B$331=11),Formular!K96&lt;400),400,Formular!K96))</f>
        <v>0</v>
      </c>
      <c r="L313" s="922"/>
      <c r="M313" s="922"/>
      <c r="N313" s="922">
        <f t="shared" si="39"/>
        <v>0</v>
      </c>
      <c r="O313" s="922"/>
      <c r="P313" s="922"/>
      <c r="Q313" s="476">
        <f>Formular!Q96</f>
        <v>0</v>
      </c>
      <c r="R313" s="350">
        <f t="shared" si="40"/>
        <v>0</v>
      </c>
      <c r="S313" s="917">
        <f t="shared" si="43"/>
        <v>0</v>
      </c>
      <c r="T313" s="918"/>
      <c r="U313" s="476"/>
      <c r="V313" s="190">
        <f t="shared" si="35"/>
        <v>0</v>
      </c>
      <c r="W313" s="189"/>
      <c r="X313" s="189"/>
      <c r="Y313" s="189"/>
      <c r="Z313" s="5"/>
      <c r="AA313" s="5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144"/>
      <c r="AQ313" s="144"/>
      <c r="AR313" s="144"/>
      <c r="AS313" s="144"/>
      <c r="AT313" s="4"/>
    </row>
    <row r="314" spans="1:46" s="1" customFormat="1" ht="15" customHeight="1">
      <c r="A314" s="936">
        <f>A311</f>
        <v>0</v>
      </c>
      <c r="B314" s="937"/>
      <c r="C314" s="937"/>
      <c r="D314" s="937"/>
      <c r="E314" s="937"/>
      <c r="F314" s="922">
        <f>F311</f>
        <v>0</v>
      </c>
      <c r="G314" s="922"/>
      <c r="H314" s="922">
        <f>H311</f>
        <v>0</v>
      </c>
      <c r="I314" s="922"/>
      <c r="J314" s="922"/>
      <c r="K314" s="922">
        <f>IF(AND(OR(Select!$B$331=2,Select!$B$331=3,Select!$B$331=12,Select!$B$331=13,Select!$B$331=14),Formular!T67&lt;800),800,IF(AND(OR(Select!$B$331=4,Select!$B$331=5,Select!$B$331=6,Select!$B$331=7,Select!$B$331=8,Select!$B$331=9,Select!$B$331=10,Select!$B$331=11),Formular!T67&lt;400),400,Formular!T67))</f>
        <v>0</v>
      </c>
      <c r="L314" s="922"/>
      <c r="M314" s="922"/>
      <c r="N314" s="922">
        <f>N311</f>
        <v>0</v>
      </c>
      <c r="O314" s="922"/>
      <c r="P314" s="922"/>
      <c r="Q314" s="10">
        <f>Formular!Z67</f>
        <v>0</v>
      </c>
      <c r="R314" s="11">
        <f>R311</f>
        <v>0</v>
      </c>
      <c r="S314" s="917">
        <f t="shared" si="34"/>
        <v>0</v>
      </c>
      <c r="T314" s="918"/>
      <c r="U314" s="353"/>
      <c r="V314" s="190">
        <f t="shared" si="35"/>
        <v>0</v>
      </c>
      <c r="W314" s="189"/>
      <c r="X314" s="189"/>
      <c r="Y314" s="189"/>
      <c r="Z314" s="5"/>
      <c r="AA314" s="5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144"/>
      <c r="AQ314" s="144"/>
      <c r="AR314" s="144"/>
      <c r="AS314" s="144"/>
      <c r="AT314" s="4"/>
    </row>
    <row r="315" spans="1:46" s="1" customFormat="1" ht="15" customHeight="1">
      <c r="A315" s="936">
        <f t="shared" si="36"/>
        <v>0</v>
      </c>
      <c r="B315" s="937"/>
      <c r="C315" s="937"/>
      <c r="D315" s="937"/>
      <c r="E315" s="937"/>
      <c r="F315" s="922">
        <f t="shared" si="42"/>
        <v>0</v>
      </c>
      <c r="G315" s="922"/>
      <c r="H315" s="922">
        <f t="shared" si="38"/>
        <v>0</v>
      </c>
      <c r="I315" s="922"/>
      <c r="J315" s="922"/>
      <c r="K315" s="922">
        <f>IF(AND(OR(Select!$B$331=2,Select!$B$331=3,Select!$B$331=12,Select!$B$331=13,Select!$B$331=14),Formular!T68&lt;800),800,IF(AND(OR(Select!$B$331=4,Select!$B$331=5,Select!$B$331=6,Select!$B$331=7,Select!$B$331=8,Select!$B$331=9,Select!$B$331=10,Select!$B$331=11),Formular!T68&lt;400),400,Formular!T68))</f>
        <v>0</v>
      </c>
      <c r="L315" s="922"/>
      <c r="M315" s="922"/>
      <c r="N315" s="922">
        <f t="shared" si="39"/>
        <v>0</v>
      </c>
      <c r="O315" s="922"/>
      <c r="P315" s="922"/>
      <c r="Q315" s="10">
        <f>Formular!Z68</f>
        <v>0</v>
      </c>
      <c r="R315" s="11">
        <f t="shared" si="40"/>
        <v>0</v>
      </c>
      <c r="S315" s="917">
        <f t="shared" si="34"/>
        <v>0</v>
      </c>
      <c r="T315" s="918"/>
      <c r="U315" s="353"/>
      <c r="V315" s="190">
        <f t="shared" si="35"/>
        <v>0</v>
      </c>
      <c r="W315" s="189"/>
      <c r="X315" s="189"/>
      <c r="Y315" s="189"/>
      <c r="Z315" s="5"/>
      <c r="AA315" s="5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144"/>
      <c r="AQ315" s="144"/>
      <c r="AR315" s="144"/>
      <c r="AS315" s="144"/>
      <c r="AT315" s="4"/>
    </row>
    <row r="316" spans="1:46" s="1" customFormat="1" ht="15" customHeight="1">
      <c r="A316" s="936">
        <f t="shared" si="36"/>
        <v>0</v>
      </c>
      <c r="B316" s="937"/>
      <c r="C316" s="937"/>
      <c r="D316" s="937"/>
      <c r="E316" s="937"/>
      <c r="F316" s="922">
        <f t="shared" si="42"/>
        <v>0</v>
      </c>
      <c r="G316" s="922"/>
      <c r="H316" s="922">
        <f t="shared" si="38"/>
        <v>0</v>
      </c>
      <c r="I316" s="922"/>
      <c r="J316" s="922"/>
      <c r="K316" s="922">
        <f>IF(AND(OR(Select!$B$331=2,Select!$B$331=3,Select!$B$331=12,Select!$B$331=13,Select!$B$331=14),Formular!T69&lt;800),800,IF(AND(OR(Select!$B$331=4,Select!$B$331=5,Select!$B$331=6,Select!$B$331=7,Select!$B$331=8,Select!$B$331=9,Select!$B$331=10,Select!$B$331=11),Formular!T69&lt;400),400,Formular!T69))</f>
        <v>0</v>
      </c>
      <c r="L316" s="922"/>
      <c r="M316" s="922"/>
      <c r="N316" s="922">
        <f t="shared" si="39"/>
        <v>0</v>
      </c>
      <c r="O316" s="922"/>
      <c r="P316" s="922"/>
      <c r="Q316" s="10">
        <f>Formular!Z69</f>
        <v>0</v>
      </c>
      <c r="R316" s="11">
        <f t="shared" si="40"/>
        <v>0</v>
      </c>
      <c r="S316" s="917">
        <f t="shared" si="34"/>
        <v>0</v>
      </c>
      <c r="T316" s="918"/>
      <c r="U316" s="353"/>
      <c r="V316" s="190">
        <f t="shared" si="35"/>
        <v>0</v>
      </c>
      <c r="W316" s="189"/>
      <c r="X316" s="189"/>
      <c r="Y316" s="189"/>
      <c r="Z316" s="5"/>
      <c r="AA316" s="5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144"/>
      <c r="AQ316" s="144"/>
      <c r="AR316" s="144"/>
      <c r="AS316" s="144"/>
      <c r="AT316" s="4"/>
    </row>
    <row r="317" spans="1:46" s="1" customFormat="1" ht="15" customHeight="1">
      <c r="A317" s="936">
        <f t="shared" si="36"/>
        <v>0</v>
      </c>
      <c r="B317" s="937"/>
      <c r="C317" s="937"/>
      <c r="D317" s="937"/>
      <c r="E317" s="937"/>
      <c r="F317" s="922">
        <f t="shared" si="42"/>
        <v>0</v>
      </c>
      <c r="G317" s="922"/>
      <c r="H317" s="922">
        <f t="shared" si="38"/>
        <v>0</v>
      </c>
      <c r="I317" s="922"/>
      <c r="J317" s="922"/>
      <c r="K317" s="922">
        <f>IF(AND(OR(Select!$B$331=2,Select!$B$331=3,Select!$B$331=12,Select!$B$331=13,Select!$B$331=14),Formular!T70&lt;800),800,IF(AND(OR(Select!$B$331=4,Select!$B$331=5,Select!$B$331=6,Select!$B$331=7,Select!$B$331=8,Select!$B$331=9,Select!$B$331=10,Select!$B$331=11),Formular!T70&lt;400),400,Formular!T70))</f>
        <v>0</v>
      </c>
      <c r="L317" s="922"/>
      <c r="M317" s="922"/>
      <c r="N317" s="922">
        <f t="shared" si="39"/>
        <v>0</v>
      </c>
      <c r="O317" s="922"/>
      <c r="P317" s="922"/>
      <c r="Q317" s="10">
        <f>Formular!Z70</f>
        <v>0</v>
      </c>
      <c r="R317" s="11">
        <f t="shared" si="40"/>
        <v>0</v>
      </c>
      <c r="S317" s="917">
        <f t="shared" si="34"/>
        <v>0</v>
      </c>
      <c r="T317" s="918"/>
      <c r="U317" s="353"/>
      <c r="V317" s="190">
        <f t="shared" si="35"/>
        <v>0</v>
      </c>
      <c r="W317" s="189"/>
      <c r="X317" s="189"/>
      <c r="Y317" s="189"/>
      <c r="Z317" s="5"/>
      <c r="AA317" s="5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144"/>
      <c r="AQ317" s="144"/>
      <c r="AR317" s="144"/>
      <c r="AS317" s="144"/>
      <c r="AT317" s="4"/>
    </row>
    <row r="318" spans="1:46" s="1" customFormat="1" ht="15" customHeight="1">
      <c r="A318" s="936">
        <f t="shared" si="36"/>
        <v>0</v>
      </c>
      <c r="B318" s="937"/>
      <c r="C318" s="937"/>
      <c r="D318" s="937"/>
      <c r="E318" s="937"/>
      <c r="F318" s="922">
        <f t="shared" si="42"/>
        <v>0</v>
      </c>
      <c r="G318" s="922"/>
      <c r="H318" s="922">
        <f t="shared" si="38"/>
        <v>0</v>
      </c>
      <c r="I318" s="922"/>
      <c r="J318" s="922"/>
      <c r="K318" s="922">
        <f>IF(AND(OR(Select!$B$331=2,Select!$B$331=3,Select!$B$331=12,Select!$B$331=13,Select!$B$331=14),Formular!T71&lt;800),800,IF(AND(OR(Select!$B$331=4,Select!$B$331=5,Select!$B$331=6,Select!$B$331=7,Select!$B$331=8,Select!$B$331=9,Select!$B$331=10,Select!$B$331=11),Formular!T71&lt;400),400,Formular!T71))</f>
        <v>0</v>
      </c>
      <c r="L318" s="922"/>
      <c r="M318" s="922"/>
      <c r="N318" s="922">
        <f t="shared" si="39"/>
        <v>0</v>
      </c>
      <c r="O318" s="922"/>
      <c r="P318" s="922"/>
      <c r="Q318" s="10">
        <f>Formular!Z71</f>
        <v>0</v>
      </c>
      <c r="R318" s="11">
        <f t="shared" si="40"/>
        <v>0</v>
      </c>
      <c r="S318" s="917">
        <f t="shared" si="34"/>
        <v>0</v>
      </c>
      <c r="T318" s="918"/>
      <c r="U318" s="353"/>
      <c r="V318" s="190">
        <f t="shared" si="35"/>
        <v>0</v>
      </c>
      <c r="W318" s="189"/>
      <c r="X318" s="189"/>
      <c r="Y318" s="189"/>
      <c r="Z318" s="5"/>
      <c r="AA318" s="5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144"/>
      <c r="AQ318" s="144"/>
      <c r="AR318" s="144"/>
      <c r="AS318" s="144"/>
      <c r="AT318" s="4"/>
    </row>
    <row r="319" spans="1:46" s="1" customFormat="1" ht="15" customHeight="1">
      <c r="A319" s="936">
        <f t="shared" si="36"/>
        <v>0</v>
      </c>
      <c r="B319" s="937"/>
      <c r="C319" s="937"/>
      <c r="D319" s="937"/>
      <c r="E319" s="937"/>
      <c r="F319" s="922">
        <f t="shared" si="42"/>
        <v>0</v>
      </c>
      <c r="G319" s="922"/>
      <c r="H319" s="922">
        <f t="shared" si="38"/>
        <v>0</v>
      </c>
      <c r="I319" s="922"/>
      <c r="J319" s="922"/>
      <c r="K319" s="922">
        <f>IF(AND(OR(Select!$B$331=2,Select!$B$331=3,Select!$B$331=12,Select!$B$331=13,Select!$B$331=14),Formular!T72&lt;800),800,IF(AND(OR(Select!$B$331=4,Select!$B$331=5,Select!$B$331=6,Select!$B$331=7,Select!$B$331=8,Select!$B$331=9,Select!$B$331=10,Select!$B$331=11),Formular!T72&lt;400),400,Formular!T72))</f>
        <v>0</v>
      </c>
      <c r="L319" s="922"/>
      <c r="M319" s="922"/>
      <c r="N319" s="922">
        <f t="shared" si="39"/>
        <v>0</v>
      </c>
      <c r="O319" s="922"/>
      <c r="P319" s="922"/>
      <c r="Q319" s="10">
        <f>Formular!Z72</f>
        <v>0</v>
      </c>
      <c r="R319" s="11">
        <f t="shared" si="40"/>
        <v>0</v>
      </c>
      <c r="S319" s="917">
        <f t="shared" si="34"/>
        <v>0</v>
      </c>
      <c r="T319" s="918"/>
      <c r="U319" s="353"/>
      <c r="V319" s="190">
        <f t="shared" si="35"/>
        <v>0</v>
      </c>
      <c r="W319" s="189"/>
      <c r="X319" s="189"/>
      <c r="Y319" s="189"/>
      <c r="Z319" s="5"/>
      <c r="AA319" s="5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144"/>
      <c r="AQ319" s="144"/>
      <c r="AR319" s="144"/>
      <c r="AS319" s="144"/>
      <c r="AT319" s="4"/>
    </row>
    <row r="320" spans="1:46" s="1" customFormat="1" ht="15" customHeight="1">
      <c r="A320" s="936">
        <f t="shared" si="36"/>
        <v>0</v>
      </c>
      <c r="B320" s="937"/>
      <c r="C320" s="937"/>
      <c r="D320" s="937"/>
      <c r="E320" s="937"/>
      <c r="F320" s="922">
        <f t="shared" si="42"/>
        <v>0</v>
      </c>
      <c r="G320" s="922"/>
      <c r="H320" s="922">
        <f t="shared" si="38"/>
        <v>0</v>
      </c>
      <c r="I320" s="922"/>
      <c r="J320" s="922"/>
      <c r="K320" s="922">
        <f>IF(AND(OR(Select!$B$331=2,Select!$B$331=3,Select!$B$331=12,Select!$B$331=13,Select!$B$331=14),Formular!T73&lt;800),800,IF(AND(OR(Select!$B$331=4,Select!$B$331=5,Select!$B$331=6,Select!$B$331=7,Select!$B$331=8,Select!$B$331=9,Select!$B$331=10,Select!$B$331=11),Formular!T73&lt;400),400,Formular!T73))</f>
        <v>0</v>
      </c>
      <c r="L320" s="922"/>
      <c r="M320" s="922"/>
      <c r="N320" s="922">
        <f t="shared" si="39"/>
        <v>0</v>
      </c>
      <c r="O320" s="922"/>
      <c r="P320" s="922"/>
      <c r="Q320" s="10">
        <f>Formular!Z73</f>
        <v>0</v>
      </c>
      <c r="R320" s="11">
        <f t="shared" si="40"/>
        <v>0</v>
      </c>
      <c r="S320" s="917">
        <f t="shared" si="34"/>
        <v>0</v>
      </c>
      <c r="T320" s="918"/>
      <c r="U320" s="353"/>
      <c r="V320" s="190">
        <f t="shared" si="35"/>
        <v>0</v>
      </c>
      <c r="W320" s="189"/>
      <c r="X320" s="189"/>
      <c r="Y320" s="189"/>
      <c r="Z320" s="5"/>
      <c r="AA320" s="5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144"/>
      <c r="AQ320" s="144"/>
      <c r="AR320" s="144"/>
      <c r="AS320" s="144"/>
      <c r="AT320" s="4"/>
    </row>
    <row r="321" spans="1:46" s="1" customFormat="1" ht="15" customHeight="1">
      <c r="A321" s="936">
        <f t="shared" si="36"/>
        <v>0</v>
      </c>
      <c r="B321" s="937"/>
      <c r="C321" s="937"/>
      <c r="D321" s="937"/>
      <c r="E321" s="937"/>
      <c r="F321" s="922">
        <f t="shared" si="42"/>
        <v>0</v>
      </c>
      <c r="G321" s="922"/>
      <c r="H321" s="922">
        <f t="shared" si="38"/>
        <v>0</v>
      </c>
      <c r="I321" s="922"/>
      <c r="J321" s="922"/>
      <c r="K321" s="922">
        <f>IF(AND(OR(Select!$B$331=2,Select!$B$331=3,Select!$B$331=12,Select!$B$331=13,Select!$B$331=14),Formular!T74&lt;800),800,IF(AND(OR(Select!$B$331=4,Select!$B$331=5,Select!$B$331=6,Select!$B$331=7,Select!$B$331=8,Select!$B$331=9,Select!$B$331=10,Select!$B$331=11),Formular!T74&lt;400),400,Formular!T74))</f>
        <v>0</v>
      </c>
      <c r="L321" s="922"/>
      <c r="M321" s="922"/>
      <c r="N321" s="922">
        <f t="shared" si="39"/>
        <v>0</v>
      </c>
      <c r="O321" s="922"/>
      <c r="P321" s="922"/>
      <c r="Q321" s="10">
        <f>Formular!Z74</f>
        <v>0</v>
      </c>
      <c r="R321" s="11">
        <f t="shared" si="40"/>
        <v>0</v>
      </c>
      <c r="S321" s="917">
        <f t="shared" si="34"/>
        <v>0</v>
      </c>
      <c r="T321" s="918"/>
      <c r="U321" s="353"/>
      <c r="V321" s="190">
        <f t="shared" si="35"/>
        <v>0</v>
      </c>
      <c r="W321" s="189"/>
      <c r="X321" s="189"/>
      <c r="Y321" s="189"/>
      <c r="Z321" s="5"/>
      <c r="AA321" s="5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144"/>
      <c r="AQ321" s="144"/>
      <c r="AR321" s="144"/>
      <c r="AS321" s="144"/>
      <c r="AT321" s="4"/>
    </row>
    <row r="322" spans="1:46" s="1" customFormat="1" ht="15" customHeight="1">
      <c r="A322" s="936">
        <f t="shared" si="36"/>
        <v>0</v>
      </c>
      <c r="B322" s="937"/>
      <c r="C322" s="937"/>
      <c r="D322" s="937"/>
      <c r="E322" s="937"/>
      <c r="F322" s="922">
        <f t="shared" si="42"/>
        <v>0</v>
      </c>
      <c r="G322" s="922"/>
      <c r="H322" s="922">
        <f t="shared" si="38"/>
        <v>0</v>
      </c>
      <c r="I322" s="922"/>
      <c r="J322" s="922"/>
      <c r="K322" s="922">
        <f>IF(AND(OR(Select!$B$331=2,Select!$B$331=3,Select!$B$331=12,Select!$B$331=13,Select!$B$331=14),Formular!T75&lt;800),800,IF(AND(OR(Select!$B$331=4,Select!$B$331=5,Select!$B$331=6,Select!$B$331=7,Select!$B$331=8,Select!$B$331=9,Select!$B$331=10,Select!$B$331=11),Formular!T75&lt;400),400,Formular!T75))</f>
        <v>0</v>
      </c>
      <c r="L322" s="922"/>
      <c r="M322" s="922"/>
      <c r="N322" s="922">
        <f t="shared" si="39"/>
        <v>0</v>
      </c>
      <c r="O322" s="922"/>
      <c r="P322" s="922"/>
      <c r="Q322" s="10">
        <f>Formular!Z75</f>
        <v>0</v>
      </c>
      <c r="R322" s="11">
        <f t="shared" si="40"/>
        <v>0</v>
      </c>
      <c r="S322" s="917">
        <f t="shared" si="34"/>
        <v>0</v>
      </c>
      <c r="T322" s="918"/>
      <c r="U322" s="353"/>
      <c r="V322" s="190">
        <f t="shared" si="35"/>
        <v>0</v>
      </c>
      <c r="W322" s="189"/>
      <c r="X322" s="189"/>
      <c r="Y322" s="189"/>
      <c r="Z322" s="5"/>
      <c r="AA322" s="5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144"/>
      <c r="AQ322" s="144"/>
      <c r="AR322" s="144"/>
      <c r="AS322" s="144"/>
      <c r="AT322" s="4"/>
    </row>
    <row r="323" spans="1:46" s="1" customFormat="1" ht="15" customHeight="1">
      <c r="A323" s="936">
        <f t="shared" si="36"/>
        <v>0</v>
      </c>
      <c r="B323" s="937"/>
      <c r="C323" s="937"/>
      <c r="D323" s="937"/>
      <c r="E323" s="937"/>
      <c r="F323" s="922">
        <f t="shared" si="42"/>
        <v>0</v>
      </c>
      <c r="G323" s="922"/>
      <c r="H323" s="922">
        <f t="shared" si="38"/>
        <v>0</v>
      </c>
      <c r="I323" s="922"/>
      <c r="J323" s="922"/>
      <c r="K323" s="922">
        <f>IF(AND(OR(Select!$B$331=2,Select!$B$331=3,Select!$B$331=12,Select!$B$331=13,Select!$B$331=14),Formular!T76&lt;800),800,IF(AND(OR(Select!$B$331=4,Select!$B$331=5,Select!$B$331=6,Select!$B$331=7,Select!$B$331=8,Select!$B$331=9,Select!$B$331=10,Select!$B$331=11),Formular!T76&lt;400),400,Formular!T76))</f>
        <v>0</v>
      </c>
      <c r="L323" s="922"/>
      <c r="M323" s="922"/>
      <c r="N323" s="922">
        <f t="shared" si="39"/>
        <v>0</v>
      </c>
      <c r="O323" s="922"/>
      <c r="P323" s="922"/>
      <c r="Q323" s="10">
        <f>Formular!Z76</f>
        <v>0</v>
      </c>
      <c r="R323" s="11">
        <f t="shared" si="40"/>
        <v>0</v>
      </c>
      <c r="S323" s="917">
        <f t="shared" ref="S323:S341" si="44">IF(ISERROR((K323*N323)/1000000*Q323*R323),"0",(K323*N323)/1000000*Q323*R323)</f>
        <v>0</v>
      </c>
      <c r="T323" s="918"/>
      <c r="U323" s="353"/>
      <c r="V323" s="190">
        <f t="shared" ref="V323:V343" si="45">IF(ISERROR((K323*N323)/1000000*Q323),"0",(K323*N323)/1000000*Q323)</f>
        <v>0</v>
      </c>
      <c r="W323" s="189"/>
      <c r="X323" s="189"/>
      <c r="Y323" s="189"/>
      <c r="Z323" s="5"/>
      <c r="AA323" s="5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144"/>
      <c r="AQ323" s="144"/>
      <c r="AR323" s="144"/>
      <c r="AS323" s="144"/>
      <c r="AT323" s="4"/>
    </row>
    <row r="324" spans="1:46" s="1" customFormat="1" ht="15" customHeight="1">
      <c r="A324" s="936">
        <f t="shared" ref="A324:A343" si="46">A323</f>
        <v>0</v>
      </c>
      <c r="B324" s="937"/>
      <c r="C324" s="937"/>
      <c r="D324" s="937"/>
      <c r="E324" s="937"/>
      <c r="F324" s="922">
        <f t="shared" si="42"/>
        <v>0</v>
      </c>
      <c r="G324" s="922"/>
      <c r="H324" s="922">
        <f t="shared" ref="H324:H343" si="47">H323</f>
        <v>0</v>
      </c>
      <c r="I324" s="922"/>
      <c r="J324" s="922"/>
      <c r="K324" s="922">
        <f>IF(AND(OR(Select!$B$331=2,Select!$B$331=3,Select!$B$331=12,Select!$B$331=13,Select!$B$331=14),Formular!T77&lt;800),800,IF(AND(OR(Select!$B$331=4,Select!$B$331=5,Select!$B$331=6,Select!$B$331=7,Select!$B$331=8,Select!$B$331=9,Select!$B$331=10,Select!$B$331=11),Formular!T77&lt;400),400,Formular!T77))</f>
        <v>0</v>
      </c>
      <c r="L324" s="922"/>
      <c r="M324" s="922"/>
      <c r="N324" s="922">
        <f t="shared" ref="N324:N343" si="48">N323</f>
        <v>0</v>
      </c>
      <c r="O324" s="922"/>
      <c r="P324" s="922"/>
      <c r="Q324" s="10">
        <f>Formular!Z77</f>
        <v>0</v>
      </c>
      <c r="R324" s="11">
        <f t="shared" ref="R324:R343" si="49">R323</f>
        <v>0</v>
      </c>
      <c r="S324" s="917">
        <f t="shared" si="44"/>
        <v>0</v>
      </c>
      <c r="T324" s="918"/>
      <c r="U324" s="353"/>
      <c r="V324" s="190">
        <f t="shared" si="45"/>
        <v>0</v>
      </c>
      <c r="W324" s="189"/>
      <c r="X324" s="189"/>
      <c r="Y324" s="189"/>
      <c r="Z324" s="5"/>
      <c r="AA324" s="5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144"/>
      <c r="AQ324" s="144"/>
      <c r="AR324" s="144"/>
      <c r="AS324" s="144"/>
      <c r="AT324" s="4"/>
    </row>
    <row r="325" spans="1:46" s="1" customFormat="1" ht="15" customHeight="1">
      <c r="A325" s="936">
        <f t="shared" si="46"/>
        <v>0</v>
      </c>
      <c r="B325" s="937"/>
      <c r="C325" s="937"/>
      <c r="D325" s="937"/>
      <c r="E325" s="937"/>
      <c r="F325" s="922">
        <f t="shared" si="42"/>
        <v>0</v>
      </c>
      <c r="G325" s="922"/>
      <c r="H325" s="922">
        <f t="shared" si="47"/>
        <v>0</v>
      </c>
      <c r="I325" s="922"/>
      <c r="J325" s="922"/>
      <c r="K325" s="922">
        <f>IF(AND(OR(Select!$B$331=2,Select!$B$331=3,Select!$B$331=12,Select!$B$331=13,Select!$B$331=14),Formular!T78&lt;800),800,IF(AND(OR(Select!$B$331=4,Select!$B$331=5,Select!$B$331=6,Select!$B$331=7,Select!$B$331=8,Select!$B$331=9,Select!$B$331=10,Select!$B$331=11),Formular!T78&lt;400),400,Formular!T78))</f>
        <v>0</v>
      </c>
      <c r="L325" s="922"/>
      <c r="M325" s="922"/>
      <c r="N325" s="922">
        <f t="shared" si="48"/>
        <v>0</v>
      </c>
      <c r="O325" s="922"/>
      <c r="P325" s="922"/>
      <c r="Q325" s="10">
        <f>Formular!Z78</f>
        <v>0</v>
      </c>
      <c r="R325" s="11">
        <f t="shared" si="49"/>
        <v>0</v>
      </c>
      <c r="S325" s="917">
        <f t="shared" si="44"/>
        <v>0</v>
      </c>
      <c r="T325" s="918"/>
      <c r="U325" s="353"/>
      <c r="V325" s="190">
        <f t="shared" si="45"/>
        <v>0</v>
      </c>
      <c r="W325" s="189"/>
      <c r="X325" s="189"/>
      <c r="Y325" s="189"/>
      <c r="Z325" s="5"/>
      <c r="AA325" s="5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144"/>
      <c r="AQ325" s="144"/>
      <c r="AR325" s="144"/>
      <c r="AS325" s="144"/>
      <c r="AT325" s="4"/>
    </row>
    <row r="326" spans="1:46" s="1" customFormat="1" ht="15" customHeight="1">
      <c r="A326" s="936">
        <f t="shared" si="46"/>
        <v>0</v>
      </c>
      <c r="B326" s="937"/>
      <c r="C326" s="937"/>
      <c r="D326" s="937"/>
      <c r="E326" s="937"/>
      <c r="F326" s="922">
        <f t="shared" si="42"/>
        <v>0</v>
      </c>
      <c r="G326" s="922"/>
      <c r="H326" s="922">
        <f t="shared" si="47"/>
        <v>0</v>
      </c>
      <c r="I326" s="922"/>
      <c r="J326" s="922"/>
      <c r="K326" s="922">
        <f>IF(AND(OR(Select!$B$331=2,Select!$B$331=3,Select!$B$331=12,Select!$B$331=13,Select!$B$331=14),Formular!T79&lt;800),800,IF(AND(OR(Select!$B$331=4,Select!$B$331=5,Select!$B$331=6,Select!$B$331=7,Select!$B$331=8,Select!$B$331=9,Select!$B$331=10,Select!$B$331=11),Formular!T79&lt;400),400,Formular!T79))</f>
        <v>0</v>
      </c>
      <c r="L326" s="922"/>
      <c r="M326" s="922"/>
      <c r="N326" s="922">
        <f t="shared" si="48"/>
        <v>0</v>
      </c>
      <c r="O326" s="922"/>
      <c r="P326" s="922"/>
      <c r="Q326" s="10">
        <f>Formular!Z79</f>
        <v>0</v>
      </c>
      <c r="R326" s="11">
        <f t="shared" si="49"/>
        <v>0</v>
      </c>
      <c r="S326" s="917">
        <f t="shared" si="44"/>
        <v>0</v>
      </c>
      <c r="T326" s="918"/>
      <c r="U326" s="353"/>
      <c r="V326" s="190">
        <f t="shared" si="45"/>
        <v>0</v>
      </c>
      <c r="W326" s="189"/>
      <c r="X326" s="189"/>
      <c r="Y326" s="189"/>
      <c r="Z326" s="5"/>
      <c r="AA326" s="5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144"/>
      <c r="AQ326" s="144"/>
      <c r="AR326" s="144"/>
      <c r="AS326" s="144"/>
      <c r="AT326" s="4"/>
    </row>
    <row r="327" spans="1:46" s="1" customFormat="1" ht="15" customHeight="1">
      <c r="A327" s="936">
        <f t="shared" si="46"/>
        <v>0</v>
      </c>
      <c r="B327" s="937"/>
      <c r="C327" s="937"/>
      <c r="D327" s="937"/>
      <c r="E327" s="937"/>
      <c r="F327" s="922">
        <f t="shared" si="42"/>
        <v>0</v>
      </c>
      <c r="G327" s="922"/>
      <c r="H327" s="922">
        <f t="shared" si="47"/>
        <v>0</v>
      </c>
      <c r="I327" s="922"/>
      <c r="J327" s="922"/>
      <c r="K327" s="922">
        <f>IF(AND(OR(Select!$B$331=2,Select!$B$331=3,Select!$B$331=12,Select!$B$331=13,Select!$B$331=14),Formular!T80&lt;800),800,IF(AND(OR(Select!$B$331=4,Select!$B$331=5,Select!$B$331=6,Select!$B$331=7,Select!$B$331=8,Select!$B$331=9,Select!$B$331=10,Select!$B$331=11),Formular!T80&lt;400),400,Formular!T80))</f>
        <v>0</v>
      </c>
      <c r="L327" s="922"/>
      <c r="M327" s="922"/>
      <c r="N327" s="922">
        <f t="shared" si="48"/>
        <v>0</v>
      </c>
      <c r="O327" s="922"/>
      <c r="P327" s="922"/>
      <c r="Q327" s="10">
        <f>Formular!Z80</f>
        <v>0</v>
      </c>
      <c r="R327" s="11">
        <f t="shared" si="49"/>
        <v>0</v>
      </c>
      <c r="S327" s="917">
        <f t="shared" si="44"/>
        <v>0</v>
      </c>
      <c r="T327" s="918"/>
      <c r="U327" s="353"/>
      <c r="V327" s="190">
        <f t="shared" si="45"/>
        <v>0</v>
      </c>
      <c r="W327" s="189"/>
      <c r="X327" s="189"/>
      <c r="Y327" s="189"/>
      <c r="Z327" s="5"/>
      <c r="AA327" s="5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144"/>
      <c r="AQ327" s="144"/>
      <c r="AR327" s="144"/>
      <c r="AS327" s="144"/>
      <c r="AT327" s="4"/>
    </row>
    <row r="328" spans="1:46" s="1" customFormat="1" ht="15" customHeight="1">
      <c r="A328" s="936">
        <f t="shared" si="46"/>
        <v>0</v>
      </c>
      <c r="B328" s="937"/>
      <c r="C328" s="937"/>
      <c r="D328" s="937"/>
      <c r="E328" s="937"/>
      <c r="F328" s="922">
        <f t="shared" si="42"/>
        <v>0</v>
      </c>
      <c r="G328" s="922"/>
      <c r="H328" s="922">
        <f t="shared" si="47"/>
        <v>0</v>
      </c>
      <c r="I328" s="922"/>
      <c r="J328" s="922"/>
      <c r="K328" s="922">
        <f>IF(AND(OR(Select!$B$331=2,Select!$B$331=3,Select!$B$331=12,Select!$B$331=13,Select!$B$331=14),Formular!T81&lt;800),800,IF(AND(OR(Select!$B$331=4,Select!$B$331=5,Select!$B$331=6,Select!$B$331=7,Select!$B$331=8,Select!$B$331=9,Select!$B$331=10,Select!$B$331=11),Formular!T81&lt;400),400,Formular!T81))</f>
        <v>0</v>
      </c>
      <c r="L328" s="922"/>
      <c r="M328" s="922"/>
      <c r="N328" s="922">
        <f t="shared" si="48"/>
        <v>0</v>
      </c>
      <c r="O328" s="922"/>
      <c r="P328" s="922"/>
      <c r="Q328" s="10">
        <f>Formular!Z81</f>
        <v>0</v>
      </c>
      <c r="R328" s="11">
        <f t="shared" si="49"/>
        <v>0</v>
      </c>
      <c r="S328" s="917">
        <f t="shared" si="44"/>
        <v>0</v>
      </c>
      <c r="T328" s="918"/>
      <c r="U328" s="353"/>
      <c r="V328" s="190">
        <f t="shared" si="45"/>
        <v>0</v>
      </c>
      <c r="W328" s="189"/>
      <c r="X328" s="189"/>
      <c r="Y328" s="189"/>
      <c r="Z328" s="5"/>
      <c r="AA328" s="5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144"/>
      <c r="AQ328" s="144"/>
      <c r="AR328" s="144"/>
      <c r="AS328" s="144"/>
      <c r="AT328" s="4"/>
    </row>
    <row r="329" spans="1:46" s="1" customFormat="1" ht="15" customHeight="1">
      <c r="A329" s="936">
        <f t="shared" si="46"/>
        <v>0</v>
      </c>
      <c r="B329" s="937"/>
      <c r="C329" s="937"/>
      <c r="D329" s="937"/>
      <c r="E329" s="937"/>
      <c r="F329" s="922">
        <f t="shared" si="42"/>
        <v>0</v>
      </c>
      <c r="G329" s="922"/>
      <c r="H329" s="922">
        <f t="shared" si="47"/>
        <v>0</v>
      </c>
      <c r="I329" s="922"/>
      <c r="J329" s="922"/>
      <c r="K329" s="922">
        <f>IF(AND(OR(Select!$B$331=2,Select!$B$331=3,Select!$B$331=12,Select!$B$331=13,Select!$B$331=14),Formular!T82&lt;800),800,IF(AND(OR(Select!$B$331=4,Select!$B$331=5,Select!$B$331=6,Select!$B$331=7,Select!$B$331=8,Select!$B$331=9,Select!$B$331=10,Select!$B$331=11),Formular!T82&lt;400),400,Formular!T82))</f>
        <v>0</v>
      </c>
      <c r="L329" s="922"/>
      <c r="M329" s="922"/>
      <c r="N329" s="922">
        <f t="shared" si="48"/>
        <v>0</v>
      </c>
      <c r="O329" s="922"/>
      <c r="P329" s="922"/>
      <c r="Q329" s="10">
        <f>Formular!Z82</f>
        <v>0</v>
      </c>
      <c r="R329" s="11">
        <f t="shared" si="49"/>
        <v>0</v>
      </c>
      <c r="S329" s="917">
        <f t="shared" si="44"/>
        <v>0</v>
      </c>
      <c r="T329" s="918"/>
      <c r="U329" s="353"/>
      <c r="V329" s="190">
        <f t="shared" si="45"/>
        <v>0</v>
      </c>
      <c r="W329" s="189"/>
      <c r="X329" s="189"/>
      <c r="Y329" s="189"/>
      <c r="Z329" s="5"/>
      <c r="AA329" s="5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144"/>
      <c r="AQ329" s="144"/>
      <c r="AR329" s="144"/>
      <c r="AS329" s="144"/>
      <c r="AT329" s="4"/>
    </row>
    <row r="330" spans="1:46" s="1" customFormat="1" ht="15" customHeight="1">
      <c r="A330" s="936">
        <f t="shared" si="46"/>
        <v>0</v>
      </c>
      <c r="B330" s="937"/>
      <c r="C330" s="937"/>
      <c r="D330" s="937"/>
      <c r="E330" s="937"/>
      <c r="F330" s="922">
        <f t="shared" si="42"/>
        <v>0</v>
      </c>
      <c r="G330" s="922"/>
      <c r="H330" s="922">
        <f t="shared" si="47"/>
        <v>0</v>
      </c>
      <c r="I330" s="922"/>
      <c r="J330" s="922"/>
      <c r="K330" s="922">
        <f>IF(AND(OR(Select!$B$331=2,Select!$B$331=3,Select!$B$331=12,Select!$B$331=13,Select!$B$331=14),Formular!T83&lt;800),800,IF(AND(OR(Select!$B$331=4,Select!$B$331=5,Select!$B$331=6,Select!$B$331=7,Select!$B$331=8,Select!$B$331=9,Select!$B$331=10,Select!$B$331=11),Formular!T83&lt;400),400,Formular!T83))</f>
        <v>0</v>
      </c>
      <c r="L330" s="922"/>
      <c r="M330" s="922"/>
      <c r="N330" s="922">
        <f t="shared" si="48"/>
        <v>0</v>
      </c>
      <c r="O330" s="922"/>
      <c r="P330" s="922"/>
      <c r="Q330" s="10">
        <f>Formular!Z83</f>
        <v>0</v>
      </c>
      <c r="R330" s="11">
        <f t="shared" si="49"/>
        <v>0</v>
      </c>
      <c r="S330" s="917">
        <f t="shared" si="44"/>
        <v>0</v>
      </c>
      <c r="T330" s="918"/>
      <c r="U330" s="353"/>
      <c r="V330" s="190">
        <f t="shared" si="45"/>
        <v>0</v>
      </c>
      <c r="W330" s="189"/>
      <c r="X330" s="189"/>
      <c r="Y330" s="189"/>
      <c r="Z330" s="5"/>
      <c r="AA330" s="5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144"/>
      <c r="AQ330" s="144"/>
      <c r="AR330" s="144"/>
      <c r="AS330" s="144"/>
      <c r="AT330" s="4"/>
    </row>
    <row r="331" spans="1:46" s="1" customFormat="1" ht="15" customHeight="1">
      <c r="A331" s="936">
        <f t="shared" si="46"/>
        <v>0</v>
      </c>
      <c r="B331" s="937"/>
      <c r="C331" s="937"/>
      <c r="D331" s="937"/>
      <c r="E331" s="937"/>
      <c r="F331" s="922">
        <f t="shared" si="42"/>
        <v>0</v>
      </c>
      <c r="G331" s="922"/>
      <c r="H331" s="922">
        <f t="shared" si="47"/>
        <v>0</v>
      </c>
      <c r="I331" s="922"/>
      <c r="J331" s="922"/>
      <c r="K331" s="922">
        <f>IF(AND(OR(Select!$B$331=2,Select!$B$331=3,Select!$B$331=12,Select!$B$331=13,Select!$B$331=14),Formular!T84&lt;800),800,IF(AND(OR(Select!$B$331=4,Select!$B$331=5,Select!$B$331=6,Select!$B$331=7,Select!$B$331=8,Select!$B$331=9,Select!$B$331=10,Select!$B$331=11),Formular!T84&lt;400),400,Formular!T84))</f>
        <v>0</v>
      </c>
      <c r="L331" s="922"/>
      <c r="M331" s="922"/>
      <c r="N331" s="922">
        <f t="shared" si="48"/>
        <v>0</v>
      </c>
      <c r="O331" s="922"/>
      <c r="P331" s="922"/>
      <c r="Q331" s="10">
        <f>Formular!Z84</f>
        <v>0</v>
      </c>
      <c r="R331" s="11">
        <f t="shared" si="49"/>
        <v>0</v>
      </c>
      <c r="S331" s="917">
        <f t="shared" si="44"/>
        <v>0</v>
      </c>
      <c r="T331" s="918"/>
      <c r="U331" s="353"/>
      <c r="V331" s="190">
        <f t="shared" si="45"/>
        <v>0</v>
      </c>
      <c r="W331" s="189"/>
      <c r="X331" s="189"/>
      <c r="Y331" s="189"/>
      <c r="Z331" s="5"/>
      <c r="AA331" s="5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144"/>
      <c r="AQ331" s="144"/>
      <c r="AR331" s="144"/>
      <c r="AS331" s="144"/>
      <c r="AT331" s="4"/>
    </row>
    <row r="332" spans="1:46" s="1" customFormat="1" ht="15" customHeight="1">
      <c r="A332" s="936">
        <f t="shared" si="46"/>
        <v>0</v>
      </c>
      <c r="B332" s="937"/>
      <c r="C332" s="937"/>
      <c r="D332" s="937"/>
      <c r="E332" s="937"/>
      <c r="F332" s="922">
        <f t="shared" si="42"/>
        <v>0</v>
      </c>
      <c r="G332" s="922"/>
      <c r="H332" s="922">
        <f t="shared" si="47"/>
        <v>0</v>
      </c>
      <c r="I332" s="922"/>
      <c r="J332" s="922"/>
      <c r="K332" s="922">
        <f>IF(AND(OR(Select!$B$331=2,Select!$B$331=3,Select!$B$331=12,Select!$B$331=13,Select!$B$331=14),Formular!T85&lt;800),800,IF(AND(OR(Select!$B$331=4,Select!$B$331=5,Select!$B$331=6,Select!$B$331=7,Select!$B$331=8,Select!$B$331=9,Select!$B$331=10,Select!$B$331=11),Formular!T85&lt;400),400,Formular!T85))</f>
        <v>0</v>
      </c>
      <c r="L332" s="922"/>
      <c r="M332" s="922"/>
      <c r="N332" s="922">
        <f t="shared" si="48"/>
        <v>0</v>
      </c>
      <c r="O332" s="922"/>
      <c r="P332" s="922"/>
      <c r="Q332" s="10">
        <f>Formular!Z85</f>
        <v>0</v>
      </c>
      <c r="R332" s="11">
        <f t="shared" si="49"/>
        <v>0</v>
      </c>
      <c r="S332" s="917">
        <f t="shared" si="44"/>
        <v>0</v>
      </c>
      <c r="T332" s="918"/>
      <c r="U332" s="353"/>
      <c r="V332" s="190">
        <f t="shared" si="45"/>
        <v>0</v>
      </c>
      <c r="W332" s="189"/>
      <c r="X332" s="189"/>
      <c r="Y332" s="189"/>
      <c r="Z332" s="5"/>
      <c r="AA332" s="5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144"/>
      <c r="AQ332" s="144"/>
      <c r="AR332" s="144"/>
      <c r="AS332" s="144"/>
      <c r="AT332" s="4"/>
    </row>
    <row r="333" spans="1:46" s="1" customFormat="1" ht="15" customHeight="1">
      <c r="A333" s="936">
        <f t="shared" si="46"/>
        <v>0</v>
      </c>
      <c r="B333" s="937"/>
      <c r="C333" s="937"/>
      <c r="D333" s="937"/>
      <c r="E333" s="937"/>
      <c r="F333" s="922">
        <f t="shared" si="42"/>
        <v>0</v>
      </c>
      <c r="G333" s="922"/>
      <c r="H333" s="922">
        <f t="shared" si="47"/>
        <v>0</v>
      </c>
      <c r="I333" s="922"/>
      <c r="J333" s="922"/>
      <c r="K333" s="922">
        <f>IF(AND(OR(Select!$B$331=2,Select!$B$331=3,Select!$B$331=12,Select!$B$331=13,Select!$B$331=14),Formular!T86&lt;800),800,IF(AND(OR(Select!$B$331=4,Select!$B$331=5,Select!$B$331=6,Select!$B$331=7,Select!$B$331=8,Select!$B$331=9,Select!$B$331=10,Select!$B$331=11),Formular!T86&lt;400),400,Formular!T86))</f>
        <v>0</v>
      </c>
      <c r="L333" s="922"/>
      <c r="M333" s="922"/>
      <c r="N333" s="922">
        <f t="shared" si="48"/>
        <v>0</v>
      </c>
      <c r="O333" s="922"/>
      <c r="P333" s="922"/>
      <c r="Q333" s="10">
        <f>Formular!Z86</f>
        <v>0</v>
      </c>
      <c r="R333" s="11">
        <f t="shared" si="49"/>
        <v>0</v>
      </c>
      <c r="S333" s="917">
        <f t="shared" si="44"/>
        <v>0</v>
      </c>
      <c r="T333" s="918"/>
      <c r="U333" s="353"/>
      <c r="V333" s="190">
        <f t="shared" si="45"/>
        <v>0</v>
      </c>
      <c r="W333" s="189"/>
      <c r="X333" s="189"/>
      <c r="Y333" s="189"/>
      <c r="Z333" s="5"/>
      <c r="AA333" s="5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144"/>
      <c r="AQ333" s="144"/>
      <c r="AR333" s="144"/>
      <c r="AS333" s="144"/>
      <c r="AT333" s="4"/>
    </row>
    <row r="334" spans="1:46" s="1" customFormat="1" ht="15" customHeight="1">
      <c r="A334" s="936">
        <f t="shared" si="46"/>
        <v>0</v>
      </c>
      <c r="B334" s="937"/>
      <c r="C334" s="937"/>
      <c r="D334" s="937"/>
      <c r="E334" s="937"/>
      <c r="F334" s="922">
        <f t="shared" si="42"/>
        <v>0</v>
      </c>
      <c r="G334" s="922"/>
      <c r="H334" s="922">
        <f t="shared" si="47"/>
        <v>0</v>
      </c>
      <c r="I334" s="922"/>
      <c r="J334" s="922"/>
      <c r="K334" s="922">
        <f>IF(AND(OR(Select!$B$331=2,Select!$B$331=3,Select!$B$331=12,Select!$B$331=13,Select!$B$331=14),Formular!T87&lt;800),800,IF(AND(OR(Select!$B$331=4,Select!$B$331=5,Select!$B$331=6,Select!$B$331=7,Select!$B$331=8,Select!$B$331=9,Select!$B$331=10,Select!$B$331=11),Formular!T87&lt;400),400,Formular!T87))</f>
        <v>0</v>
      </c>
      <c r="L334" s="922"/>
      <c r="M334" s="922"/>
      <c r="N334" s="922">
        <f t="shared" si="48"/>
        <v>0</v>
      </c>
      <c r="O334" s="922"/>
      <c r="P334" s="922"/>
      <c r="Q334" s="10">
        <f>Formular!Z87</f>
        <v>0</v>
      </c>
      <c r="R334" s="11">
        <f t="shared" si="49"/>
        <v>0</v>
      </c>
      <c r="S334" s="917">
        <f t="shared" si="44"/>
        <v>0</v>
      </c>
      <c r="T334" s="918"/>
      <c r="U334" s="353"/>
      <c r="V334" s="190">
        <f t="shared" si="45"/>
        <v>0</v>
      </c>
      <c r="W334" s="189"/>
      <c r="X334" s="189"/>
      <c r="Y334" s="189"/>
      <c r="Z334" s="5"/>
      <c r="AA334" s="5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144"/>
      <c r="AQ334" s="144"/>
      <c r="AR334" s="144"/>
      <c r="AS334" s="144"/>
      <c r="AT334" s="4"/>
    </row>
    <row r="335" spans="1:46" s="1" customFormat="1" ht="15" customHeight="1">
      <c r="A335" s="936">
        <f t="shared" si="46"/>
        <v>0</v>
      </c>
      <c r="B335" s="937"/>
      <c r="C335" s="937"/>
      <c r="D335" s="937"/>
      <c r="E335" s="937"/>
      <c r="F335" s="922">
        <f t="shared" si="42"/>
        <v>0</v>
      </c>
      <c r="G335" s="922"/>
      <c r="H335" s="922">
        <f t="shared" si="47"/>
        <v>0</v>
      </c>
      <c r="I335" s="922"/>
      <c r="J335" s="922"/>
      <c r="K335" s="922">
        <f>IF(AND(OR(Select!$B$331=2,Select!$B$331=3,Select!$B$331=12,Select!$B$331=13,Select!$B$331=14),Formular!T88&lt;800),800,IF(AND(OR(Select!$B$331=4,Select!$B$331=5,Select!$B$331=6,Select!$B$331=7,Select!$B$331=8,Select!$B$331=9,Select!$B$331=10,Select!$B$331=11),Formular!T88&lt;400),400,Formular!T88))</f>
        <v>0</v>
      </c>
      <c r="L335" s="922"/>
      <c r="M335" s="922"/>
      <c r="N335" s="922">
        <f t="shared" si="48"/>
        <v>0</v>
      </c>
      <c r="O335" s="922"/>
      <c r="P335" s="922"/>
      <c r="Q335" s="10">
        <f>Formular!Z88</f>
        <v>0</v>
      </c>
      <c r="R335" s="11">
        <f t="shared" si="49"/>
        <v>0</v>
      </c>
      <c r="S335" s="917">
        <f t="shared" si="44"/>
        <v>0</v>
      </c>
      <c r="T335" s="918"/>
      <c r="U335" s="353"/>
      <c r="V335" s="190">
        <f t="shared" si="45"/>
        <v>0</v>
      </c>
      <c r="W335" s="189"/>
      <c r="X335" s="189"/>
      <c r="Y335" s="189"/>
      <c r="Z335" s="5"/>
      <c r="AA335" s="5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144"/>
      <c r="AQ335" s="144"/>
      <c r="AR335" s="144"/>
      <c r="AS335" s="144"/>
      <c r="AT335" s="4"/>
    </row>
    <row r="336" spans="1:46" s="1" customFormat="1" ht="15" customHeight="1">
      <c r="A336" s="936">
        <f t="shared" si="46"/>
        <v>0</v>
      </c>
      <c r="B336" s="937"/>
      <c r="C336" s="937"/>
      <c r="D336" s="937"/>
      <c r="E336" s="937"/>
      <c r="F336" s="922">
        <f t="shared" si="42"/>
        <v>0</v>
      </c>
      <c r="G336" s="922"/>
      <c r="H336" s="922">
        <f t="shared" si="47"/>
        <v>0</v>
      </c>
      <c r="I336" s="922"/>
      <c r="J336" s="922"/>
      <c r="K336" s="922">
        <f>IF(AND(OR(Select!$B$331=2,Select!$B$331=3,Select!$B$331=12,Select!$B$331=13,Select!$B$331=14),Formular!T89&lt;800),800,IF(AND(OR(Select!$B$331=4,Select!$B$331=5,Select!$B$331=6,Select!$B$331=7,Select!$B$331=8,Select!$B$331=9,Select!$B$331=10,Select!$B$331=11),Formular!T89&lt;400),400,Formular!T89))</f>
        <v>0</v>
      </c>
      <c r="L336" s="922"/>
      <c r="M336" s="922"/>
      <c r="N336" s="922">
        <f t="shared" si="48"/>
        <v>0</v>
      </c>
      <c r="O336" s="922"/>
      <c r="P336" s="922"/>
      <c r="Q336" s="10">
        <f>Formular!Z89</f>
        <v>0</v>
      </c>
      <c r="R336" s="11">
        <f t="shared" si="49"/>
        <v>0</v>
      </c>
      <c r="S336" s="917">
        <f t="shared" si="44"/>
        <v>0</v>
      </c>
      <c r="T336" s="918"/>
      <c r="U336" s="353"/>
      <c r="V336" s="190">
        <f t="shared" si="45"/>
        <v>0</v>
      </c>
      <c r="W336" s="189"/>
      <c r="X336" s="189"/>
      <c r="Y336" s="189"/>
      <c r="Z336" s="5"/>
      <c r="AA336" s="5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144"/>
      <c r="AQ336" s="144"/>
      <c r="AR336" s="144"/>
      <c r="AS336" s="144"/>
      <c r="AT336" s="4"/>
    </row>
    <row r="337" spans="1:46" s="1" customFormat="1" ht="15" customHeight="1">
      <c r="A337" s="936">
        <f t="shared" si="46"/>
        <v>0</v>
      </c>
      <c r="B337" s="937"/>
      <c r="C337" s="937"/>
      <c r="D337" s="937"/>
      <c r="E337" s="937"/>
      <c r="F337" s="922">
        <f t="shared" si="42"/>
        <v>0</v>
      </c>
      <c r="G337" s="922"/>
      <c r="H337" s="922">
        <f t="shared" si="47"/>
        <v>0</v>
      </c>
      <c r="I337" s="922"/>
      <c r="J337" s="922"/>
      <c r="K337" s="922">
        <f>IF(AND(OR(Select!$B$331=2,Select!$B$331=3,Select!$B$331=12,Select!$B$331=13,Select!$B$331=14),Formular!T90&lt;800),800,IF(AND(OR(Select!$B$331=4,Select!$B$331=5,Select!$B$331=6,Select!$B$331=7,Select!$B$331=8,Select!$B$331=9,Select!$B$331=10,Select!$B$331=11),Formular!T90&lt;400),400,Formular!T90))</f>
        <v>0</v>
      </c>
      <c r="L337" s="922"/>
      <c r="M337" s="922"/>
      <c r="N337" s="922">
        <f t="shared" si="48"/>
        <v>0</v>
      </c>
      <c r="O337" s="922"/>
      <c r="P337" s="922"/>
      <c r="Q337" s="10">
        <f>Formular!Z90</f>
        <v>0</v>
      </c>
      <c r="R337" s="11">
        <f t="shared" si="49"/>
        <v>0</v>
      </c>
      <c r="S337" s="917">
        <f t="shared" si="44"/>
        <v>0</v>
      </c>
      <c r="T337" s="918"/>
      <c r="U337" s="353"/>
      <c r="V337" s="190">
        <f t="shared" si="45"/>
        <v>0</v>
      </c>
      <c r="W337" s="189"/>
      <c r="X337" s="189"/>
      <c r="Y337" s="189"/>
      <c r="Z337" s="5"/>
      <c r="AA337" s="5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144"/>
      <c r="AQ337" s="144"/>
      <c r="AR337" s="144"/>
      <c r="AS337" s="144"/>
      <c r="AT337" s="4"/>
    </row>
    <row r="338" spans="1:46" s="1" customFormat="1" ht="15" customHeight="1">
      <c r="A338" s="936">
        <f t="shared" si="46"/>
        <v>0</v>
      </c>
      <c r="B338" s="937"/>
      <c r="C338" s="937"/>
      <c r="D338" s="937"/>
      <c r="E338" s="937"/>
      <c r="F338" s="922">
        <f t="shared" si="42"/>
        <v>0</v>
      </c>
      <c r="G338" s="922"/>
      <c r="H338" s="922">
        <f t="shared" si="47"/>
        <v>0</v>
      </c>
      <c r="I338" s="922"/>
      <c r="J338" s="922"/>
      <c r="K338" s="922">
        <f>IF(AND(OR(Select!$B$331=2,Select!$B$331=3,Select!$B$331=12,Select!$B$331=13,Select!$B$331=14),Formular!T91&lt;800),800,IF(AND(OR(Select!$B$331=4,Select!$B$331=5,Select!$B$331=6,Select!$B$331=7,Select!$B$331=8,Select!$B$331=9,Select!$B$331=10,Select!$B$331=11),Formular!T91&lt;400),400,Formular!T91))</f>
        <v>0</v>
      </c>
      <c r="L338" s="922"/>
      <c r="M338" s="922"/>
      <c r="N338" s="922">
        <f t="shared" si="48"/>
        <v>0</v>
      </c>
      <c r="O338" s="922"/>
      <c r="P338" s="922"/>
      <c r="Q338" s="10">
        <f>Formular!Z91</f>
        <v>0</v>
      </c>
      <c r="R338" s="11">
        <f t="shared" si="49"/>
        <v>0</v>
      </c>
      <c r="S338" s="917">
        <f t="shared" si="44"/>
        <v>0</v>
      </c>
      <c r="T338" s="918"/>
      <c r="U338" s="353"/>
      <c r="V338" s="190">
        <f t="shared" si="45"/>
        <v>0</v>
      </c>
      <c r="W338" s="189"/>
      <c r="X338" s="189"/>
      <c r="Y338" s="189"/>
      <c r="Z338" s="5"/>
      <c r="AA338" s="5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144"/>
      <c r="AQ338" s="144"/>
      <c r="AR338" s="144"/>
      <c r="AS338" s="144"/>
      <c r="AT338" s="4"/>
    </row>
    <row r="339" spans="1:46" s="1" customFormat="1" ht="15" customHeight="1">
      <c r="A339" s="936">
        <f t="shared" si="46"/>
        <v>0</v>
      </c>
      <c r="B339" s="937"/>
      <c r="C339" s="937"/>
      <c r="D339" s="937"/>
      <c r="E339" s="937"/>
      <c r="F339" s="922">
        <f t="shared" si="42"/>
        <v>0</v>
      </c>
      <c r="G339" s="922"/>
      <c r="H339" s="922">
        <f t="shared" si="47"/>
        <v>0</v>
      </c>
      <c r="I339" s="922"/>
      <c r="J339" s="922"/>
      <c r="K339" s="922">
        <f>IF(AND(OR(Select!$B$331=2,Select!$B$331=3,Select!$B$331=12,Select!$B$331=13,Select!$B$331=14),Formular!T92&lt;800),800,IF(AND(OR(Select!$B$331=4,Select!$B$331=5,Select!$B$331=6,Select!$B$331=7,Select!$B$331=8,Select!$B$331=9,Select!$B$331=10,Select!$B$331=11),Formular!T92&lt;400),400,Formular!T92))</f>
        <v>0</v>
      </c>
      <c r="L339" s="922"/>
      <c r="M339" s="922"/>
      <c r="N339" s="922">
        <f t="shared" si="48"/>
        <v>0</v>
      </c>
      <c r="O339" s="922"/>
      <c r="P339" s="922"/>
      <c r="Q339" s="10">
        <f>Formular!Z92</f>
        <v>0</v>
      </c>
      <c r="R339" s="11">
        <f t="shared" si="49"/>
        <v>0</v>
      </c>
      <c r="S339" s="917">
        <f t="shared" si="44"/>
        <v>0</v>
      </c>
      <c r="T339" s="918"/>
      <c r="U339" s="353"/>
      <c r="V339" s="190">
        <f t="shared" si="45"/>
        <v>0</v>
      </c>
      <c r="W339" s="189"/>
      <c r="X339" s="189"/>
      <c r="Y339" s="189"/>
      <c r="Z339" s="5"/>
      <c r="AA339" s="5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144"/>
      <c r="AQ339" s="144"/>
      <c r="AR339" s="144"/>
      <c r="AS339" s="144"/>
      <c r="AT339" s="4"/>
    </row>
    <row r="340" spans="1:46" s="1" customFormat="1" ht="15" customHeight="1">
      <c r="A340" s="936">
        <f t="shared" si="46"/>
        <v>0</v>
      </c>
      <c r="B340" s="937"/>
      <c r="C340" s="937"/>
      <c r="D340" s="937"/>
      <c r="E340" s="937"/>
      <c r="F340" s="922">
        <f t="shared" si="42"/>
        <v>0</v>
      </c>
      <c r="G340" s="922"/>
      <c r="H340" s="922">
        <f t="shared" si="47"/>
        <v>0</v>
      </c>
      <c r="I340" s="922"/>
      <c r="J340" s="922"/>
      <c r="K340" s="922">
        <f>IF(AND(OR(Select!$B$331=2,Select!$B$331=3,Select!$B$331=12,Select!$B$331=13,Select!$B$331=14),Formular!T93&lt;800),800,IF(AND(OR(Select!$B$331=4,Select!$B$331=5,Select!$B$331=6,Select!$B$331=7,Select!$B$331=8,Select!$B$331=9,Select!$B$331=10,Select!$B$331=11),Formular!T93&lt;400),400,Formular!T93))</f>
        <v>0</v>
      </c>
      <c r="L340" s="922"/>
      <c r="M340" s="922"/>
      <c r="N340" s="922">
        <f t="shared" si="48"/>
        <v>0</v>
      </c>
      <c r="O340" s="922"/>
      <c r="P340" s="922"/>
      <c r="Q340" s="10">
        <f>Formular!Z93</f>
        <v>0</v>
      </c>
      <c r="R340" s="11">
        <f t="shared" si="49"/>
        <v>0</v>
      </c>
      <c r="S340" s="917">
        <f t="shared" si="44"/>
        <v>0</v>
      </c>
      <c r="T340" s="918"/>
      <c r="U340" s="353"/>
      <c r="V340" s="190">
        <f t="shared" si="45"/>
        <v>0</v>
      </c>
      <c r="W340" s="189"/>
      <c r="X340" s="189"/>
      <c r="Y340" s="189"/>
      <c r="Z340" s="5"/>
      <c r="AA340" s="5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144"/>
      <c r="AQ340" s="144"/>
      <c r="AR340" s="144"/>
      <c r="AS340" s="144"/>
      <c r="AT340" s="4"/>
    </row>
    <row r="341" spans="1:46" s="1" customFormat="1" ht="15" customHeight="1">
      <c r="A341" s="936">
        <f t="shared" si="46"/>
        <v>0</v>
      </c>
      <c r="B341" s="937"/>
      <c r="C341" s="937"/>
      <c r="D341" s="937"/>
      <c r="E341" s="937"/>
      <c r="F341" s="922">
        <f t="shared" si="42"/>
        <v>0</v>
      </c>
      <c r="G341" s="922"/>
      <c r="H341" s="922">
        <f t="shared" si="47"/>
        <v>0</v>
      </c>
      <c r="I341" s="922"/>
      <c r="J341" s="922"/>
      <c r="K341" s="922">
        <f>IF(AND(OR(Select!$B$331=2,Select!$B$331=3,Select!$B$331=12,Select!$B$331=13,Select!$B$331=14),Formular!T94&lt;800),800,IF(AND(OR(Select!$B$331=4,Select!$B$331=5,Select!$B$331=6,Select!$B$331=7,Select!$B$331=8,Select!$B$331=9,Select!$B$331=10,Select!$B$331=11),Formular!T94&lt;400),400,Formular!T94))</f>
        <v>0</v>
      </c>
      <c r="L341" s="922"/>
      <c r="M341" s="922"/>
      <c r="N341" s="922">
        <f t="shared" si="48"/>
        <v>0</v>
      </c>
      <c r="O341" s="922"/>
      <c r="P341" s="922"/>
      <c r="Q341" s="10">
        <f>Formular!Z94</f>
        <v>0</v>
      </c>
      <c r="R341" s="11">
        <f t="shared" si="49"/>
        <v>0</v>
      </c>
      <c r="S341" s="917">
        <f t="shared" si="44"/>
        <v>0</v>
      </c>
      <c r="T341" s="918"/>
      <c r="U341" s="353"/>
      <c r="V341" s="190">
        <f t="shared" si="45"/>
        <v>0</v>
      </c>
      <c r="W341" s="189"/>
      <c r="X341" s="189"/>
      <c r="Y341" s="189"/>
      <c r="Z341" s="5"/>
      <c r="AA341" s="5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144"/>
      <c r="AQ341" s="144"/>
      <c r="AR341" s="144"/>
      <c r="AS341" s="144"/>
      <c r="AT341" s="4"/>
    </row>
    <row r="342" spans="1:46" s="77" customFormat="1" ht="15" customHeight="1">
      <c r="A342" s="936">
        <f t="shared" si="46"/>
        <v>0</v>
      </c>
      <c r="B342" s="937"/>
      <c r="C342" s="937"/>
      <c r="D342" s="937"/>
      <c r="E342" s="937"/>
      <c r="F342" s="922">
        <f t="shared" si="42"/>
        <v>0</v>
      </c>
      <c r="G342" s="922"/>
      <c r="H342" s="922">
        <f t="shared" si="47"/>
        <v>0</v>
      </c>
      <c r="I342" s="922"/>
      <c r="J342" s="922"/>
      <c r="K342" s="922">
        <f>IF(AND(OR(Select!$B$331=2,Select!$B$331=3,Select!$B$331=12,Select!$B$331=13,Select!$B$331=14),Formular!T95&lt;800),800,IF(AND(OR(Select!$B$331=4,Select!$B$331=5,Select!$B$331=6,Select!$B$331=7,Select!$B$331=8,Select!$B$331=9,Select!$B$331=10,Select!$B$331=11),Formular!T95&lt;400),400,Formular!T95))</f>
        <v>0</v>
      </c>
      <c r="L342" s="922"/>
      <c r="M342" s="922"/>
      <c r="N342" s="922">
        <f t="shared" si="48"/>
        <v>0</v>
      </c>
      <c r="O342" s="922"/>
      <c r="P342" s="922"/>
      <c r="Q342" s="476">
        <f>Formular!Z95</f>
        <v>0</v>
      </c>
      <c r="R342" s="350">
        <f t="shared" si="49"/>
        <v>0</v>
      </c>
      <c r="S342" s="917">
        <f t="shared" ref="S342:S343" si="50">IF(ISERROR((K342*N342)/1000000*Q342*R342),"0",(K342*N342)/1000000*Q342*R342)</f>
        <v>0</v>
      </c>
      <c r="T342" s="918"/>
      <c r="U342" s="476"/>
      <c r="V342" s="190">
        <f t="shared" si="45"/>
        <v>0</v>
      </c>
      <c r="W342" s="189"/>
      <c r="X342" s="189"/>
      <c r="Y342" s="189"/>
      <c r="Z342" s="5"/>
      <c r="AA342" s="5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144"/>
      <c r="AQ342" s="144"/>
      <c r="AR342" s="144"/>
      <c r="AS342" s="144"/>
      <c r="AT342" s="4"/>
    </row>
    <row r="343" spans="1:46" s="77" customFormat="1" ht="15" customHeight="1">
      <c r="A343" s="936">
        <f t="shared" si="46"/>
        <v>0</v>
      </c>
      <c r="B343" s="937"/>
      <c r="C343" s="937"/>
      <c r="D343" s="937"/>
      <c r="E343" s="937"/>
      <c r="F343" s="922">
        <f t="shared" si="42"/>
        <v>0</v>
      </c>
      <c r="G343" s="922"/>
      <c r="H343" s="922">
        <f t="shared" si="47"/>
        <v>0</v>
      </c>
      <c r="I343" s="922"/>
      <c r="J343" s="922"/>
      <c r="K343" s="922">
        <f>IF(AND(OR(Select!$B$331=2,Select!$B$331=3,Select!$B$331=12,Select!$B$331=13,Select!$B$331=14),Formular!T96&lt;800),800,IF(AND(OR(Select!$B$331=4,Select!$B$331=5,Select!$B$331=6,Select!$B$331=7,Select!$B$331=8,Select!$B$331=9,Select!$B$331=10,Select!$B$331=11),Formular!T96&lt;400),400,Formular!T96))</f>
        <v>0</v>
      </c>
      <c r="L343" s="922"/>
      <c r="M343" s="922"/>
      <c r="N343" s="922">
        <f t="shared" si="48"/>
        <v>0</v>
      </c>
      <c r="O343" s="922"/>
      <c r="P343" s="922"/>
      <c r="Q343" s="476">
        <f>Formular!Z96</f>
        <v>0</v>
      </c>
      <c r="R343" s="350">
        <f t="shared" si="49"/>
        <v>0</v>
      </c>
      <c r="S343" s="917">
        <f t="shared" si="50"/>
        <v>0</v>
      </c>
      <c r="T343" s="918"/>
      <c r="U343" s="476"/>
      <c r="V343" s="190">
        <f t="shared" si="45"/>
        <v>0</v>
      </c>
      <c r="W343" s="189"/>
      <c r="X343" s="189"/>
      <c r="Y343" s="189"/>
      <c r="Z343" s="5"/>
      <c r="AA343" s="5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144"/>
      <c r="AQ343" s="144"/>
      <c r="AR343" s="144"/>
      <c r="AS343" s="144"/>
      <c r="AT343" s="4"/>
    </row>
    <row r="344" spans="1:46" s="77" customFormat="1" ht="15" customHeight="1">
      <c r="A344" s="929" t="str">
        <f>Lang!A409&amp;INDEX(Select!B350:B357,Select!B349)&amp;" "&amp;INDEX(Select!B362:B380,Select!B361)</f>
        <v xml:space="preserve">ACCESORII INVELITORI PLANE  </v>
      </c>
      <c r="B344" s="930"/>
      <c r="C344" s="930"/>
      <c r="D344" s="930"/>
      <c r="E344" s="930"/>
      <c r="F344" s="930"/>
      <c r="G344" s="930"/>
      <c r="H344" s="930"/>
      <c r="I344" s="930"/>
      <c r="J344" s="930"/>
      <c r="K344" s="930"/>
      <c r="L344" s="930"/>
      <c r="M344" s="930"/>
      <c r="N344" s="930"/>
      <c r="O344" s="930"/>
      <c r="P344" s="931"/>
      <c r="Q344" s="270">
        <f>IF(W346&gt;0,1,0)</f>
        <v>0</v>
      </c>
      <c r="R344" s="267"/>
      <c r="S344" s="268"/>
      <c r="T344" s="269"/>
      <c r="U344" s="365"/>
      <c r="V344" s="5"/>
      <c r="W344" s="5"/>
      <c r="X344" s="5"/>
      <c r="Y344" s="5"/>
      <c r="Z344" s="5"/>
      <c r="AA344" s="5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144"/>
      <c r="AQ344" s="144"/>
      <c r="AR344" s="144"/>
      <c r="AS344" s="144"/>
      <c r="AT344" s="4"/>
    </row>
    <row r="345" spans="1:46" s="77" customFormat="1" ht="15" customHeight="1">
      <c r="A345" s="932" t="str">
        <f>Lang!A403&amp;V346&amp;Lang!A404</f>
        <v xml:space="preserve">Valoare 0 euro fara tva </v>
      </c>
      <c r="B345" s="933"/>
      <c r="C345" s="933"/>
      <c r="D345" s="933"/>
      <c r="E345" s="933"/>
      <c r="F345" s="933"/>
      <c r="G345" s="933"/>
      <c r="H345" s="933"/>
      <c r="I345" s="933"/>
      <c r="J345" s="933"/>
      <c r="K345" s="933"/>
      <c r="L345" s="933"/>
      <c r="M345" s="933"/>
      <c r="N345" s="933"/>
      <c r="O345" s="933"/>
      <c r="P345" s="934"/>
      <c r="Q345" s="271">
        <f>Q344</f>
        <v>0</v>
      </c>
      <c r="R345" s="264"/>
      <c r="S345" s="265"/>
      <c r="T345" s="266"/>
      <c r="U345" s="366"/>
      <c r="V345" s="5"/>
      <c r="W345" s="5"/>
      <c r="X345" s="5"/>
      <c r="Y345" s="5"/>
      <c r="Z345" s="5"/>
      <c r="AA345" s="5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144"/>
      <c r="AQ345" s="144"/>
      <c r="AR345" s="144"/>
      <c r="AS345" s="144"/>
      <c r="AT345" s="4"/>
    </row>
    <row r="346" spans="1:46" s="1" customFormat="1" ht="15" customHeight="1">
      <c r="A346" s="919" t="str">
        <f>Formular!AC67</f>
        <v>Coama dreapta mare</v>
      </c>
      <c r="B346" s="920"/>
      <c r="C346" s="920"/>
      <c r="D346" s="920"/>
      <c r="E346" s="920"/>
      <c r="F346" s="920"/>
      <c r="G346" s="920"/>
      <c r="H346" s="920"/>
      <c r="I346" s="920"/>
      <c r="J346" s="920"/>
      <c r="K346" s="920"/>
      <c r="L346" s="920"/>
      <c r="M346" s="920"/>
      <c r="N346" s="920"/>
      <c r="O346" s="920"/>
      <c r="P346" s="921"/>
      <c r="Q346" s="10">
        <f>Formular!AK67</f>
        <v>0</v>
      </c>
      <c r="R346" s="11">
        <f>Select!D385</f>
        <v>0</v>
      </c>
      <c r="S346" s="917">
        <f>Q346*R346</f>
        <v>0</v>
      </c>
      <c r="T346" s="918"/>
      <c r="U346" s="353"/>
      <c r="V346" s="188">
        <f>SUM(S346:T366)</f>
        <v>0</v>
      </c>
      <c r="W346" s="189">
        <f>SUM(Q346:Q366)</f>
        <v>0</v>
      </c>
      <c r="X346" s="189"/>
      <c r="Y346" s="189"/>
      <c r="Z346" s="5"/>
      <c r="AA346" s="404" t="str">
        <f t="shared" ref="AA346:AA366" si="51">IF(Q346&gt;0,A346&amp;", ","")</f>
        <v/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144"/>
      <c r="AQ346" s="144"/>
      <c r="AR346" s="144"/>
      <c r="AS346" s="144"/>
      <c r="AT346" s="4"/>
    </row>
    <row r="347" spans="1:46" s="1" customFormat="1" ht="15" customHeight="1">
      <c r="A347" s="919" t="str">
        <f>Formular!AC68</f>
        <v xml:space="preserve">Racord calcan Click </v>
      </c>
      <c r="B347" s="920"/>
      <c r="C347" s="920"/>
      <c r="D347" s="920"/>
      <c r="E347" s="920"/>
      <c r="F347" s="920"/>
      <c r="G347" s="920"/>
      <c r="H347" s="920"/>
      <c r="I347" s="920"/>
      <c r="J347" s="920"/>
      <c r="K347" s="920"/>
      <c r="L347" s="920"/>
      <c r="M347" s="920"/>
      <c r="N347" s="920"/>
      <c r="O347" s="920"/>
      <c r="P347" s="921"/>
      <c r="Q347" s="75">
        <f>Formular!AK68</f>
        <v>0</v>
      </c>
      <c r="R347" s="350">
        <f>Select!D386</f>
        <v>0</v>
      </c>
      <c r="S347" s="917">
        <f t="shared" ref="S347:S364" si="52">Q347*R347</f>
        <v>0</v>
      </c>
      <c r="T347" s="918"/>
      <c r="U347" s="353"/>
      <c r="V347" s="188"/>
      <c r="W347" s="189"/>
      <c r="X347" s="189"/>
      <c r="Y347" s="189"/>
      <c r="Z347" s="5"/>
      <c r="AA347" s="404" t="str">
        <f t="shared" si="51"/>
        <v/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144"/>
      <c r="AQ347" s="144"/>
      <c r="AR347" s="144"/>
      <c r="AS347" s="144"/>
      <c r="AT347" s="4"/>
    </row>
    <row r="348" spans="1:46" s="1" customFormat="1" ht="15" customHeight="1">
      <c r="A348" s="919" t="str">
        <f>Formular!AC69</f>
        <v>Dolie</v>
      </c>
      <c r="B348" s="920"/>
      <c r="C348" s="920"/>
      <c r="D348" s="920"/>
      <c r="E348" s="920"/>
      <c r="F348" s="920"/>
      <c r="G348" s="920"/>
      <c r="H348" s="920"/>
      <c r="I348" s="920"/>
      <c r="J348" s="920"/>
      <c r="K348" s="920"/>
      <c r="L348" s="920"/>
      <c r="M348" s="920"/>
      <c r="N348" s="920"/>
      <c r="O348" s="920"/>
      <c r="P348" s="921"/>
      <c r="Q348" s="75">
        <f>Formular!AK69</f>
        <v>0</v>
      </c>
      <c r="R348" s="350">
        <f>Select!D387</f>
        <v>0</v>
      </c>
      <c r="S348" s="917">
        <f t="shared" si="52"/>
        <v>0</v>
      </c>
      <c r="T348" s="918"/>
      <c r="U348" s="353"/>
      <c r="V348" s="188"/>
      <c r="W348" s="189"/>
      <c r="X348" s="189"/>
      <c r="Y348" s="189"/>
      <c r="Z348" s="5"/>
      <c r="AA348" s="404" t="str">
        <f t="shared" si="51"/>
        <v/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144"/>
      <c r="AQ348" s="144"/>
      <c r="AR348" s="144"/>
      <c r="AS348" s="144"/>
      <c r="AT348" s="4"/>
    </row>
    <row r="349" spans="1:46" s="1" customFormat="1" ht="15" customHeight="1">
      <c r="A349" s="919" t="str">
        <f>Formular!AC70</f>
        <v>Pazie  Click</v>
      </c>
      <c r="B349" s="920"/>
      <c r="C349" s="920"/>
      <c r="D349" s="920"/>
      <c r="E349" s="920"/>
      <c r="F349" s="920"/>
      <c r="G349" s="920"/>
      <c r="H349" s="920"/>
      <c r="I349" s="920"/>
      <c r="J349" s="920"/>
      <c r="K349" s="920"/>
      <c r="L349" s="920"/>
      <c r="M349" s="920"/>
      <c r="N349" s="920"/>
      <c r="O349" s="920"/>
      <c r="P349" s="921"/>
      <c r="Q349" s="75">
        <f>Formular!AK70</f>
        <v>0</v>
      </c>
      <c r="R349" s="350">
        <f>Select!D388</f>
        <v>0</v>
      </c>
      <c r="S349" s="917">
        <f t="shared" si="52"/>
        <v>0</v>
      </c>
      <c r="T349" s="918"/>
      <c r="U349" s="353"/>
      <c r="V349" s="188"/>
      <c r="W349" s="189"/>
      <c r="X349" s="189"/>
      <c r="Y349" s="189"/>
      <c r="Z349" s="5"/>
      <c r="AA349" s="404" t="str">
        <f t="shared" si="51"/>
        <v/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144"/>
      <c r="AQ349" s="144"/>
      <c r="AR349" s="144"/>
      <c r="AS349" s="144"/>
      <c r="AT349" s="4"/>
    </row>
    <row r="350" spans="1:46" s="1" customFormat="1" ht="15" customHeight="1">
      <c r="A350" s="919" t="str">
        <f>Formular!AC71</f>
        <v>Racord Perete Click</v>
      </c>
      <c r="B350" s="920"/>
      <c r="C350" s="920"/>
      <c r="D350" s="920"/>
      <c r="E350" s="920"/>
      <c r="F350" s="920"/>
      <c r="G350" s="920"/>
      <c r="H350" s="920"/>
      <c r="I350" s="920"/>
      <c r="J350" s="920"/>
      <c r="K350" s="920"/>
      <c r="L350" s="920"/>
      <c r="M350" s="920"/>
      <c r="N350" s="920"/>
      <c r="O350" s="920"/>
      <c r="P350" s="921"/>
      <c r="Q350" s="75">
        <f>Formular!AK71</f>
        <v>0</v>
      </c>
      <c r="R350" s="350">
        <f>Select!D389</f>
        <v>0</v>
      </c>
      <c r="S350" s="917">
        <f t="shared" si="52"/>
        <v>0</v>
      </c>
      <c r="T350" s="918"/>
      <c r="U350" s="353"/>
      <c r="V350" s="188"/>
      <c r="W350" s="189"/>
      <c r="X350" s="189"/>
      <c r="Y350" s="189"/>
      <c r="Z350" s="5"/>
      <c r="AA350" s="404" t="str">
        <f t="shared" si="51"/>
        <v/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144"/>
      <c r="AQ350" s="144"/>
      <c r="AR350" s="144"/>
      <c r="AS350" s="144"/>
      <c r="AT350" s="4"/>
    </row>
    <row r="351" spans="1:46" s="1" customFormat="1" ht="15" customHeight="1">
      <c r="A351" s="919" t="str">
        <f>Formular!AC72</f>
        <v xml:space="preserve">Semicoama </v>
      </c>
      <c r="B351" s="920"/>
      <c r="C351" s="920"/>
      <c r="D351" s="920"/>
      <c r="E351" s="920"/>
      <c r="F351" s="920"/>
      <c r="G351" s="920"/>
      <c r="H351" s="920"/>
      <c r="I351" s="920"/>
      <c r="J351" s="920"/>
      <c r="K351" s="920"/>
      <c r="L351" s="920"/>
      <c r="M351" s="920"/>
      <c r="N351" s="920"/>
      <c r="O351" s="920"/>
      <c r="P351" s="921"/>
      <c r="Q351" s="75">
        <f>Formular!AK72</f>
        <v>0</v>
      </c>
      <c r="R351" s="350">
        <f>Select!D390</f>
        <v>0</v>
      </c>
      <c r="S351" s="917">
        <f t="shared" si="52"/>
        <v>0</v>
      </c>
      <c r="T351" s="918"/>
      <c r="U351" s="353"/>
      <c r="V351" s="188"/>
      <c r="W351" s="189"/>
      <c r="X351" s="189"/>
      <c r="Y351" s="189"/>
      <c r="Z351" s="5"/>
      <c r="AA351" s="404" t="str">
        <f t="shared" si="51"/>
        <v/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144"/>
      <c r="AQ351" s="144"/>
      <c r="AR351" s="144"/>
      <c r="AS351" s="144"/>
      <c r="AT351" s="4"/>
    </row>
    <row r="352" spans="1:46" s="1" customFormat="1" ht="15" customHeight="1">
      <c r="A352" s="919" t="str">
        <f>Formular!AC73</f>
        <v>Sort  Click streasina</v>
      </c>
      <c r="B352" s="920"/>
      <c r="C352" s="920"/>
      <c r="D352" s="920"/>
      <c r="E352" s="920"/>
      <c r="F352" s="920"/>
      <c r="G352" s="920"/>
      <c r="H352" s="920"/>
      <c r="I352" s="920"/>
      <c r="J352" s="920"/>
      <c r="K352" s="920"/>
      <c r="L352" s="920"/>
      <c r="M352" s="920"/>
      <c r="N352" s="920"/>
      <c r="O352" s="920"/>
      <c r="P352" s="921"/>
      <c r="Q352" s="75">
        <f>Formular!AK73</f>
        <v>0</v>
      </c>
      <c r="R352" s="350">
        <f>Select!D391</f>
        <v>0</v>
      </c>
      <c r="S352" s="917">
        <f t="shared" si="52"/>
        <v>0</v>
      </c>
      <c r="T352" s="918"/>
      <c r="U352" s="353"/>
      <c r="V352" s="188"/>
      <c r="W352" s="189"/>
      <c r="X352" s="189"/>
      <c r="Y352" s="189"/>
      <c r="Z352" s="5"/>
      <c r="AA352" s="404" t="str">
        <f t="shared" si="51"/>
        <v/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144"/>
      <c r="AQ352" s="144"/>
      <c r="AR352" s="144"/>
      <c r="AS352" s="144"/>
      <c r="AT352" s="4"/>
    </row>
    <row r="353" spans="1:46" s="1" customFormat="1" ht="15" customHeight="1">
      <c r="A353" s="919" t="str">
        <f>Formular!AC74</f>
        <v>Sort imbinare Click</v>
      </c>
      <c r="B353" s="920"/>
      <c r="C353" s="920"/>
      <c r="D353" s="920"/>
      <c r="E353" s="920"/>
      <c r="F353" s="920"/>
      <c r="G353" s="920"/>
      <c r="H353" s="920"/>
      <c r="I353" s="920"/>
      <c r="J353" s="920"/>
      <c r="K353" s="920"/>
      <c r="L353" s="920"/>
      <c r="M353" s="920"/>
      <c r="N353" s="920"/>
      <c r="O353" s="920"/>
      <c r="P353" s="921"/>
      <c r="Q353" s="75">
        <f>Formular!AK74</f>
        <v>0</v>
      </c>
      <c r="R353" s="350">
        <f>Select!D392</f>
        <v>0</v>
      </c>
      <c r="S353" s="917">
        <f t="shared" si="52"/>
        <v>0</v>
      </c>
      <c r="T353" s="918"/>
      <c r="U353" s="353"/>
      <c r="V353" s="188"/>
      <c r="W353" s="189"/>
      <c r="X353" s="189"/>
      <c r="Y353" s="189"/>
      <c r="Z353" s="5"/>
      <c r="AA353" s="404" t="str">
        <f t="shared" si="51"/>
        <v/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144"/>
      <c r="AQ353" s="144"/>
      <c r="AR353" s="144"/>
      <c r="AS353" s="144"/>
      <c r="AT353" s="4"/>
    </row>
    <row r="354" spans="1:46" s="1" customFormat="1" ht="15" customHeight="1">
      <c r="A354" s="919" t="str">
        <f>Formular!AC75</f>
        <v>Piesa imbinare Click</v>
      </c>
      <c r="B354" s="920"/>
      <c r="C354" s="920"/>
      <c r="D354" s="920"/>
      <c r="E354" s="920"/>
      <c r="F354" s="920"/>
      <c r="G354" s="920"/>
      <c r="H354" s="920"/>
      <c r="I354" s="920"/>
      <c r="J354" s="920"/>
      <c r="K354" s="920"/>
      <c r="L354" s="920"/>
      <c r="M354" s="920"/>
      <c r="N354" s="920"/>
      <c r="O354" s="920"/>
      <c r="P354" s="921"/>
      <c r="Q354" s="75">
        <f>Formular!AK75</f>
        <v>0</v>
      </c>
      <c r="R354" s="350">
        <f>Select!D393</f>
        <v>0</v>
      </c>
      <c r="S354" s="917">
        <f t="shared" si="52"/>
        <v>0</v>
      </c>
      <c r="T354" s="918"/>
      <c r="U354" s="353"/>
      <c r="V354" s="188"/>
      <c r="W354" s="189"/>
      <c r="X354" s="189"/>
      <c r="Y354" s="189"/>
      <c r="Z354" s="5"/>
      <c r="AA354" s="404" t="str">
        <f t="shared" si="51"/>
        <v/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144"/>
      <c r="AQ354" s="144"/>
      <c r="AR354" s="144"/>
      <c r="AS354" s="144"/>
      <c r="AT354" s="4"/>
    </row>
    <row r="355" spans="1:46" s="1" customFormat="1" ht="15" customHeight="1">
      <c r="A355" s="919" t="str">
        <f>Formular!AC76</f>
        <v>Rupere panta interior</v>
      </c>
      <c r="B355" s="920"/>
      <c r="C355" s="920"/>
      <c r="D355" s="920"/>
      <c r="E355" s="920"/>
      <c r="F355" s="920"/>
      <c r="G355" s="920"/>
      <c r="H355" s="920"/>
      <c r="I355" s="920"/>
      <c r="J355" s="920"/>
      <c r="K355" s="920"/>
      <c r="L355" s="920"/>
      <c r="M355" s="920"/>
      <c r="N355" s="920"/>
      <c r="O355" s="920"/>
      <c r="P355" s="921"/>
      <c r="Q355" s="75">
        <f>Formular!AK76</f>
        <v>0</v>
      </c>
      <c r="R355" s="350">
        <f>Select!D394</f>
        <v>0</v>
      </c>
      <c r="S355" s="917">
        <f t="shared" si="52"/>
        <v>0</v>
      </c>
      <c r="T355" s="918"/>
      <c r="U355" s="353"/>
      <c r="V355" s="188"/>
      <c r="W355" s="189"/>
      <c r="X355" s="189"/>
      <c r="Y355" s="189"/>
      <c r="Z355" s="5"/>
      <c r="AA355" s="404" t="str">
        <f t="shared" si="51"/>
        <v/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144"/>
      <c r="AQ355" s="144"/>
      <c r="AR355" s="144"/>
      <c r="AS355" s="144"/>
      <c r="AT355" s="4"/>
    </row>
    <row r="356" spans="1:46" s="1" customFormat="1" ht="15" customHeight="1">
      <c r="A356" s="919" t="str">
        <f>Formular!AC77</f>
        <v>Rupere panta exerior Click</v>
      </c>
      <c r="B356" s="920"/>
      <c r="C356" s="920"/>
      <c r="D356" s="920"/>
      <c r="E356" s="920"/>
      <c r="F356" s="920"/>
      <c r="G356" s="920"/>
      <c r="H356" s="920"/>
      <c r="I356" s="920"/>
      <c r="J356" s="920"/>
      <c r="K356" s="920"/>
      <c r="L356" s="920"/>
      <c r="M356" s="920"/>
      <c r="N356" s="920"/>
      <c r="O356" s="920"/>
      <c r="P356" s="921"/>
      <c r="Q356" s="75">
        <f>Formular!AK77</f>
        <v>0</v>
      </c>
      <c r="R356" s="350">
        <f>Select!D395</f>
        <v>0</v>
      </c>
      <c r="S356" s="917">
        <f t="shared" si="52"/>
        <v>0</v>
      </c>
      <c r="T356" s="918"/>
      <c r="U356" s="353"/>
      <c r="V356" s="188"/>
      <c r="W356" s="189"/>
      <c r="X356" s="189"/>
      <c r="Y356" s="189"/>
      <c r="Z356" s="5"/>
      <c r="AA356" s="404" t="str">
        <f t="shared" si="51"/>
        <v/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144"/>
      <c r="AQ356" s="144"/>
      <c r="AR356" s="144"/>
      <c r="AS356" s="144"/>
      <c r="AT356" s="4"/>
    </row>
    <row r="357" spans="1:46" s="1" customFormat="1" ht="15" customHeight="1">
      <c r="A357" s="919" t="str">
        <f>Formular!AC78</f>
        <v>Suport inchideri Click</v>
      </c>
      <c r="B357" s="920"/>
      <c r="C357" s="920"/>
      <c r="D357" s="920"/>
      <c r="E357" s="920"/>
      <c r="F357" s="920"/>
      <c r="G357" s="920"/>
      <c r="H357" s="920"/>
      <c r="I357" s="920"/>
      <c r="J357" s="920"/>
      <c r="K357" s="920"/>
      <c r="L357" s="920"/>
      <c r="M357" s="920"/>
      <c r="N357" s="920"/>
      <c r="O357" s="920"/>
      <c r="P357" s="921"/>
      <c r="Q357" s="75">
        <f>Formular!AK78</f>
        <v>0</v>
      </c>
      <c r="R357" s="350">
        <f>Select!D396</f>
        <v>0</v>
      </c>
      <c r="S357" s="917">
        <f t="shared" si="52"/>
        <v>0</v>
      </c>
      <c r="T357" s="918"/>
      <c r="U357" s="353"/>
      <c r="V357" s="188"/>
      <c r="W357" s="189"/>
      <c r="X357" s="189"/>
      <c r="Y357" s="189"/>
      <c r="Z357" s="5"/>
      <c r="AA357" s="404" t="str">
        <f t="shared" si="51"/>
        <v/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144"/>
      <c r="AQ357" s="144"/>
      <c r="AR357" s="144"/>
      <c r="AS357" s="144"/>
      <c r="AT357" s="4"/>
    </row>
    <row r="358" spans="1:46" s="1" customFormat="1" ht="15" customHeight="1">
      <c r="A358" s="919" t="str">
        <f>Formular!AC79</f>
        <v>Profil ventilatie coama Click(Negru/Gri)</v>
      </c>
      <c r="B358" s="920"/>
      <c r="C358" s="920"/>
      <c r="D358" s="920"/>
      <c r="E358" s="920"/>
      <c r="F358" s="920"/>
      <c r="G358" s="920"/>
      <c r="H358" s="920"/>
      <c r="I358" s="920"/>
      <c r="J358" s="920"/>
      <c r="K358" s="920"/>
      <c r="L358" s="920"/>
      <c r="M358" s="920"/>
      <c r="N358" s="920"/>
      <c r="O358" s="920"/>
      <c r="P358" s="921"/>
      <c r="Q358" s="75">
        <f>Formular!AK79</f>
        <v>0</v>
      </c>
      <c r="R358" s="350">
        <f>Select!D397</f>
        <v>0</v>
      </c>
      <c r="S358" s="917">
        <f t="shared" si="52"/>
        <v>0</v>
      </c>
      <c r="T358" s="918"/>
      <c r="U358" s="353"/>
      <c r="V358" s="188"/>
      <c r="W358" s="189"/>
      <c r="X358" s="189"/>
      <c r="Y358" s="189"/>
      <c r="Z358" s="5"/>
      <c r="AA358" s="404" t="str">
        <f t="shared" si="51"/>
        <v/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144"/>
      <c r="AQ358" s="144"/>
      <c r="AR358" s="144"/>
      <c r="AS358" s="144"/>
      <c r="AT358" s="4"/>
    </row>
    <row r="359" spans="1:46" s="1" customFormat="1" ht="15" customHeight="1">
      <c r="A359" s="919" t="str">
        <f>Formular!AC80</f>
        <v>Banda fonica Click</v>
      </c>
      <c r="B359" s="920"/>
      <c r="C359" s="920"/>
      <c r="D359" s="920"/>
      <c r="E359" s="920"/>
      <c r="F359" s="920"/>
      <c r="G359" s="920"/>
      <c r="H359" s="920"/>
      <c r="I359" s="920"/>
      <c r="J359" s="920"/>
      <c r="K359" s="920"/>
      <c r="L359" s="920"/>
      <c r="M359" s="920"/>
      <c r="N359" s="920"/>
      <c r="O359" s="920"/>
      <c r="P359" s="921"/>
      <c r="Q359" s="75">
        <f>Formular!AK80</f>
        <v>0</v>
      </c>
      <c r="R359" s="350">
        <f>Select!D398</f>
        <v>0</v>
      </c>
      <c r="S359" s="917">
        <f t="shared" si="52"/>
        <v>0</v>
      </c>
      <c r="T359" s="918"/>
      <c r="U359" s="353"/>
      <c r="V359" s="188"/>
      <c r="W359" s="189"/>
      <c r="X359" s="189"/>
      <c r="Y359" s="189"/>
      <c r="Z359" s="5"/>
      <c r="AA359" s="404" t="str">
        <f t="shared" si="51"/>
        <v/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144"/>
      <c r="AQ359" s="144"/>
      <c r="AR359" s="144"/>
      <c r="AS359" s="144"/>
      <c r="AT359" s="4"/>
    </row>
    <row r="360" spans="1:46" s="1" customFormat="1" ht="15" customHeight="1">
      <c r="A360" s="919" t="str">
        <f>Formular!AC81</f>
        <v>Suport Parazapada Click  ( Negru/Gri )</v>
      </c>
      <c r="B360" s="920"/>
      <c r="C360" s="920"/>
      <c r="D360" s="920"/>
      <c r="E360" s="920"/>
      <c r="F360" s="920"/>
      <c r="G360" s="920"/>
      <c r="H360" s="920"/>
      <c r="I360" s="920"/>
      <c r="J360" s="920"/>
      <c r="K360" s="920"/>
      <c r="L360" s="920"/>
      <c r="M360" s="920"/>
      <c r="N360" s="920"/>
      <c r="O360" s="920"/>
      <c r="P360" s="921"/>
      <c r="Q360" s="75">
        <f>Formular!AK81</f>
        <v>0</v>
      </c>
      <c r="R360" s="350">
        <f>Select!D399</f>
        <v>0</v>
      </c>
      <c r="S360" s="917">
        <f t="shared" si="52"/>
        <v>0</v>
      </c>
      <c r="T360" s="918"/>
      <c r="U360" s="353"/>
      <c r="V360" s="188"/>
      <c r="W360" s="189"/>
      <c r="X360" s="189"/>
      <c r="Y360" s="189"/>
      <c r="Z360" s="5"/>
      <c r="AA360" s="404" t="str">
        <f t="shared" si="51"/>
        <v/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144"/>
      <c r="AQ360" s="144"/>
      <c r="AR360" s="144"/>
      <c r="AS360" s="144"/>
      <c r="AT360" s="4"/>
    </row>
    <row r="361" spans="1:46" s="73" customFormat="1" ht="15" customHeight="1">
      <c r="A361" s="919" t="str">
        <f>Formular!AC82</f>
        <v>Bara parazapada click 2m ( Negru/Gri )</v>
      </c>
      <c r="B361" s="920"/>
      <c r="C361" s="920"/>
      <c r="D361" s="920"/>
      <c r="E361" s="920"/>
      <c r="F361" s="920"/>
      <c r="G361" s="920"/>
      <c r="H361" s="920"/>
      <c r="I361" s="920"/>
      <c r="J361" s="920"/>
      <c r="K361" s="920"/>
      <c r="L361" s="920"/>
      <c r="M361" s="920"/>
      <c r="N361" s="920"/>
      <c r="O361" s="920"/>
      <c r="P361" s="921"/>
      <c r="Q361" s="75">
        <f>Formular!AK82</f>
        <v>0</v>
      </c>
      <c r="R361" s="350">
        <f>Select!D400</f>
        <v>0</v>
      </c>
      <c r="S361" s="917">
        <f t="shared" si="52"/>
        <v>0</v>
      </c>
      <c r="T361" s="918"/>
      <c r="U361" s="353"/>
      <c r="V361" s="188"/>
      <c r="W361" s="189"/>
      <c r="X361" s="189"/>
      <c r="Y361" s="189"/>
      <c r="Z361" s="5"/>
      <c r="AA361" s="404" t="str">
        <f t="shared" si="51"/>
        <v/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144"/>
      <c r="AQ361" s="144"/>
      <c r="AR361" s="144"/>
      <c r="AS361" s="144"/>
      <c r="AT361" s="4"/>
    </row>
    <row r="362" spans="1:46" s="73" customFormat="1" ht="15" customHeight="1">
      <c r="A362" s="919" t="str">
        <f>Formular!AC83</f>
        <v>Conector bara ( Negru/Gri )</v>
      </c>
      <c r="B362" s="920"/>
      <c r="C362" s="920"/>
      <c r="D362" s="920"/>
      <c r="E362" s="920"/>
      <c r="F362" s="920"/>
      <c r="G362" s="920"/>
      <c r="H362" s="920"/>
      <c r="I362" s="920"/>
      <c r="J362" s="920"/>
      <c r="K362" s="920"/>
      <c r="L362" s="920"/>
      <c r="M362" s="920"/>
      <c r="N362" s="920"/>
      <c r="O362" s="920"/>
      <c r="P362" s="921"/>
      <c r="Q362" s="75">
        <f>Formular!AK83</f>
        <v>0</v>
      </c>
      <c r="R362" s="350">
        <f>Select!D401</f>
        <v>0</v>
      </c>
      <c r="S362" s="917">
        <f t="shared" si="52"/>
        <v>0</v>
      </c>
      <c r="T362" s="918"/>
      <c r="U362" s="353"/>
      <c r="V362" s="188"/>
      <c r="W362" s="189"/>
      <c r="X362" s="189"/>
      <c r="Y362" s="189"/>
      <c r="Z362" s="5"/>
      <c r="AA362" s="404" t="str">
        <f t="shared" si="51"/>
        <v/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144"/>
      <c r="AQ362" s="144"/>
      <c r="AR362" s="144"/>
      <c r="AS362" s="144"/>
      <c r="AT362" s="4"/>
    </row>
    <row r="363" spans="1:46" s="73" customFormat="1" ht="15" customHeight="1">
      <c r="A363" s="919" t="str">
        <f>Formular!AC84</f>
        <v>Capac bara ( Negru/Gri )</v>
      </c>
      <c r="B363" s="920"/>
      <c r="C363" s="920"/>
      <c r="D363" s="920"/>
      <c r="E363" s="920"/>
      <c r="F363" s="920"/>
      <c r="G363" s="920"/>
      <c r="H363" s="920"/>
      <c r="I363" s="920"/>
      <c r="J363" s="920"/>
      <c r="K363" s="920"/>
      <c r="L363" s="920"/>
      <c r="M363" s="920"/>
      <c r="N363" s="920"/>
      <c r="O363" s="920"/>
      <c r="P363" s="921"/>
      <c r="Q363" s="75">
        <f>Formular!AK84</f>
        <v>0</v>
      </c>
      <c r="R363" s="350">
        <f>Select!D402</f>
        <v>0</v>
      </c>
      <c r="S363" s="917">
        <f t="shared" si="52"/>
        <v>0</v>
      </c>
      <c r="T363" s="918"/>
      <c r="U363" s="353"/>
      <c r="V363" s="188"/>
      <c r="W363" s="189"/>
      <c r="X363" s="189"/>
      <c r="Y363" s="189"/>
      <c r="Z363" s="5"/>
      <c r="AA363" s="404" t="str">
        <f t="shared" si="51"/>
        <v/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144"/>
      <c r="AQ363" s="144"/>
      <c r="AR363" s="144"/>
      <c r="AS363" s="144"/>
      <c r="AT363" s="4"/>
    </row>
    <row r="364" spans="1:46" s="77" customFormat="1" ht="15" customHeight="1">
      <c r="A364" s="919" t="str">
        <f>Formular!AC85</f>
        <v>Blocator bara</v>
      </c>
      <c r="B364" s="920"/>
      <c r="C364" s="920"/>
      <c r="D364" s="920"/>
      <c r="E364" s="920"/>
      <c r="F364" s="920"/>
      <c r="G364" s="920"/>
      <c r="H364" s="920"/>
      <c r="I364" s="920"/>
      <c r="J364" s="920"/>
      <c r="K364" s="920"/>
      <c r="L364" s="920"/>
      <c r="M364" s="920"/>
      <c r="N364" s="920"/>
      <c r="O364" s="920"/>
      <c r="P364" s="921"/>
      <c r="Q364" s="180">
        <f>Formular!AK85</f>
        <v>0</v>
      </c>
      <c r="R364" s="350">
        <f>Select!D403</f>
        <v>0</v>
      </c>
      <c r="S364" s="917">
        <f t="shared" si="52"/>
        <v>0</v>
      </c>
      <c r="T364" s="918"/>
      <c r="U364" s="353"/>
      <c r="V364" s="188"/>
      <c r="W364" s="189"/>
      <c r="X364" s="189"/>
      <c r="Y364" s="189"/>
      <c r="Z364" s="5"/>
      <c r="AA364" s="404" t="str">
        <f t="shared" si="51"/>
        <v/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144"/>
      <c r="AQ364" s="144"/>
      <c r="AR364" s="144"/>
      <c r="AS364" s="144"/>
      <c r="AT364" s="4"/>
    </row>
    <row r="365" spans="1:46" s="77" customFormat="1" ht="15" customHeight="1">
      <c r="A365" s="919" t="str">
        <f>Formular!AC86</f>
        <v>Clema fixa inox 28 mm</v>
      </c>
      <c r="B365" s="920"/>
      <c r="C365" s="920"/>
      <c r="D365" s="920"/>
      <c r="E365" s="920"/>
      <c r="F365" s="920"/>
      <c r="G365" s="920"/>
      <c r="H365" s="920"/>
      <c r="I365" s="920"/>
      <c r="J365" s="920"/>
      <c r="K365" s="920"/>
      <c r="L365" s="920"/>
      <c r="M365" s="920"/>
      <c r="N365" s="920"/>
      <c r="O365" s="920"/>
      <c r="P365" s="921"/>
      <c r="Q365" s="409">
        <f>Formular!AK86</f>
        <v>0</v>
      </c>
      <c r="R365" s="350">
        <f>Select!D404</f>
        <v>0</v>
      </c>
      <c r="S365" s="917">
        <f t="shared" ref="S365:S366" si="53">Q365*R365</f>
        <v>0</v>
      </c>
      <c r="T365" s="918"/>
      <c r="U365" s="409"/>
      <c r="V365" s="188"/>
      <c r="W365" s="189"/>
      <c r="X365" s="189"/>
      <c r="Y365" s="189"/>
      <c r="Z365" s="5"/>
      <c r="AA365" s="404" t="str">
        <f t="shared" si="51"/>
        <v/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144"/>
      <c r="AQ365" s="144"/>
      <c r="AR365" s="144"/>
      <c r="AS365" s="144"/>
      <c r="AT365" s="4"/>
    </row>
    <row r="366" spans="1:46" s="77" customFormat="1" ht="15" customHeight="1">
      <c r="A366" s="919" t="str">
        <f>Formular!AC87</f>
        <v>Clema mobila inox 28 mm</v>
      </c>
      <c r="B366" s="920"/>
      <c r="C366" s="920"/>
      <c r="D366" s="920"/>
      <c r="E366" s="920"/>
      <c r="F366" s="920"/>
      <c r="G366" s="920"/>
      <c r="H366" s="920"/>
      <c r="I366" s="920"/>
      <c r="J366" s="920"/>
      <c r="K366" s="920"/>
      <c r="L366" s="920"/>
      <c r="M366" s="920"/>
      <c r="N366" s="920"/>
      <c r="O366" s="920"/>
      <c r="P366" s="921"/>
      <c r="Q366" s="409">
        <f>Formular!AK87</f>
        <v>0</v>
      </c>
      <c r="R366" s="350">
        <f>Select!D405</f>
        <v>0</v>
      </c>
      <c r="S366" s="917">
        <f t="shared" si="53"/>
        <v>0</v>
      </c>
      <c r="T366" s="918"/>
      <c r="U366" s="409"/>
      <c r="V366" s="188"/>
      <c r="W366" s="189"/>
      <c r="X366" s="189"/>
      <c r="Y366" s="189"/>
      <c r="Z366" s="5"/>
      <c r="AA366" s="404" t="str">
        <f t="shared" si="51"/>
        <v/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144"/>
      <c r="AQ366" s="144"/>
      <c r="AR366" s="144"/>
      <c r="AS366" s="144"/>
      <c r="AT366" s="4"/>
    </row>
    <row r="367" spans="1:46" s="77" customFormat="1" ht="15" customHeight="1">
      <c r="A367" s="929" t="str">
        <f>Lang!A410&amp;Select!C416&amp;" "&amp;INDEX(Select!B467:B485,Select!B466)</f>
        <v xml:space="preserve">TABLA CUTATA   </v>
      </c>
      <c r="B367" s="930"/>
      <c r="C367" s="930"/>
      <c r="D367" s="930"/>
      <c r="E367" s="930"/>
      <c r="F367" s="930"/>
      <c r="G367" s="930"/>
      <c r="H367" s="930"/>
      <c r="I367" s="930"/>
      <c r="J367" s="930"/>
      <c r="K367" s="930"/>
      <c r="L367" s="930"/>
      <c r="M367" s="930"/>
      <c r="N367" s="930"/>
      <c r="O367" s="930"/>
      <c r="P367" s="931"/>
      <c r="Q367" s="270">
        <f>IF(W369&gt;0,1,0)</f>
        <v>0</v>
      </c>
      <c r="R367" s="267"/>
      <c r="S367" s="268"/>
      <c r="T367" s="269"/>
      <c r="U367" s="365"/>
      <c r="V367" s="5"/>
      <c r="W367" s="5"/>
      <c r="X367" s="5"/>
      <c r="Y367" s="5"/>
      <c r="Z367" s="5"/>
      <c r="AA367" s="5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144"/>
      <c r="AQ367" s="144"/>
      <c r="AR367" s="144"/>
      <c r="AS367" s="144"/>
      <c r="AT367" s="4"/>
    </row>
    <row r="368" spans="1:46" s="77" customFormat="1" ht="15" customHeight="1">
      <c r="A368" s="932" t="str">
        <f>Lang!A23&amp;W369&amp;" |  "&amp;Lang!A403&amp;X369&amp;Lang!A404</f>
        <v xml:space="preserve">Total MP 0 |  Valoare 0 euro fara tva </v>
      </c>
      <c r="B368" s="933"/>
      <c r="C368" s="933"/>
      <c r="D368" s="933"/>
      <c r="E368" s="933"/>
      <c r="F368" s="933"/>
      <c r="G368" s="933"/>
      <c r="H368" s="933"/>
      <c r="I368" s="933"/>
      <c r="J368" s="933"/>
      <c r="K368" s="933"/>
      <c r="L368" s="933"/>
      <c r="M368" s="933"/>
      <c r="N368" s="933"/>
      <c r="O368" s="933"/>
      <c r="P368" s="934"/>
      <c r="Q368" s="271">
        <f>Q367</f>
        <v>0</v>
      </c>
      <c r="R368" s="264"/>
      <c r="S368" s="265"/>
      <c r="T368" s="266"/>
      <c r="U368" s="366"/>
      <c r="V368" s="5"/>
      <c r="W368" s="5"/>
      <c r="X368" s="5"/>
      <c r="Y368" s="5"/>
      <c r="Z368" s="5"/>
      <c r="AA368" s="5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144"/>
      <c r="AQ368" s="144"/>
      <c r="AR368" s="144"/>
      <c r="AS368" s="144"/>
      <c r="AT368" s="4"/>
    </row>
    <row r="369" spans="1:46" s="1" customFormat="1" ht="15" customHeight="1">
      <c r="A369" s="926" t="s">
        <v>1987</v>
      </c>
      <c r="B369" s="922"/>
      <c r="C369" s="922"/>
      <c r="D369" s="922"/>
      <c r="E369" s="922"/>
      <c r="F369" s="922"/>
      <c r="G369" s="922"/>
      <c r="H369" s="922"/>
      <c r="I369" s="922"/>
      <c r="J369" s="922"/>
      <c r="K369" s="939">
        <f>IF(Formular!AM71&lt;400,400,Formular!AM71)</f>
        <v>400</v>
      </c>
      <c r="L369" s="939"/>
      <c r="M369" s="939"/>
      <c r="N369" s="939">
        <f>Formular!AP71</f>
        <v>0</v>
      </c>
      <c r="O369" s="939"/>
      <c r="P369" s="939"/>
      <c r="Q369" s="10">
        <f>Formular!AS71</f>
        <v>0</v>
      </c>
      <c r="R369" s="11">
        <f>IF(AND(W369&gt;30,W369&lt;50),Z370,IF(W369&lt;31,Z371,Z369))</f>
        <v>0</v>
      </c>
      <c r="S369" s="917">
        <f>IF(ISERROR((K369*N369)/1000000*Q369*R369),"0",(K369*N369)/1000000*Q369*R369)</f>
        <v>0</v>
      </c>
      <c r="T369" s="918"/>
      <c r="U369" s="353"/>
      <c r="V369" s="188">
        <f>IF(ISERROR((K369*N369)/1000000*Q369),"0",(K369*N369)/1000000*Q369)</f>
        <v>0</v>
      </c>
      <c r="W369" s="188">
        <f>ROUND(SUM(V369:V400),2)</f>
        <v>0</v>
      </c>
      <c r="X369" s="188">
        <f>ROUND(SUM(S369:T400),2)</f>
        <v>0</v>
      </c>
      <c r="Y369" s="192"/>
      <c r="Z369" s="5">
        <f>Select!D416</f>
        <v>0</v>
      </c>
      <c r="AA369" s="5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144"/>
      <c r="AQ369" s="144"/>
      <c r="AR369" s="144"/>
      <c r="AS369" s="144"/>
      <c r="AT369" s="4"/>
    </row>
    <row r="370" spans="1:46" s="1" customFormat="1" ht="15" customHeight="1">
      <c r="A370" s="926" t="s">
        <v>1988</v>
      </c>
      <c r="B370" s="922"/>
      <c r="C370" s="922"/>
      <c r="D370" s="922"/>
      <c r="E370" s="922"/>
      <c r="F370" s="922"/>
      <c r="G370" s="922"/>
      <c r="H370" s="922"/>
      <c r="I370" s="922"/>
      <c r="J370" s="922"/>
      <c r="K370" s="939">
        <f>IF(Formular!AM72&lt;400,400,Formular!AM72)</f>
        <v>400</v>
      </c>
      <c r="L370" s="939"/>
      <c r="M370" s="939"/>
      <c r="N370" s="939">
        <f>Formular!AP72</f>
        <v>0</v>
      </c>
      <c r="O370" s="939"/>
      <c r="P370" s="939"/>
      <c r="Q370" s="10">
        <f>Formular!AS72</f>
        <v>0</v>
      </c>
      <c r="R370" s="11">
        <f>R369</f>
        <v>0</v>
      </c>
      <c r="S370" s="917">
        <f t="shared" ref="S370:S390" si="54">IF(ISERROR((K370*N370)/1000000*Q370*R370),"0",(K370*N370)/1000000*Q370*R370)</f>
        <v>0</v>
      </c>
      <c r="T370" s="918"/>
      <c r="U370" s="353"/>
      <c r="V370" s="188">
        <f t="shared" ref="V370:V424" si="55">IF(ISERROR((K370*N370)/1000000*Q370),"0",(K370*N370)/1000000*Q370)</f>
        <v>0</v>
      </c>
      <c r="W370" s="189"/>
      <c r="X370" s="189"/>
      <c r="Y370" s="192">
        <v>0.2</v>
      </c>
      <c r="Z370" s="5">
        <f>Z369*(1+Y370)</f>
        <v>0</v>
      </c>
      <c r="AA370" s="5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144"/>
      <c r="AQ370" s="144"/>
      <c r="AR370" s="144"/>
      <c r="AS370" s="144"/>
      <c r="AT370" s="4"/>
    </row>
    <row r="371" spans="1:46" s="1" customFormat="1" ht="15" customHeight="1">
      <c r="A371" s="926" t="s">
        <v>1989</v>
      </c>
      <c r="B371" s="922"/>
      <c r="C371" s="922"/>
      <c r="D371" s="922"/>
      <c r="E371" s="922"/>
      <c r="F371" s="922"/>
      <c r="G371" s="922"/>
      <c r="H371" s="922"/>
      <c r="I371" s="922"/>
      <c r="J371" s="922"/>
      <c r="K371" s="939">
        <f>IF(Formular!AM73&lt;400,400,Formular!AM73)</f>
        <v>400</v>
      </c>
      <c r="L371" s="939"/>
      <c r="M371" s="939"/>
      <c r="N371" s="939">
        <f>Formular!AP73</f>
        <v>0</v>
      </c>
      <c r="O371" s="939"/>
      <c r="P371" s="939"/>
      <c r="Q371" s="10">
        <f>Formular!AS73</f>
        <v>0</v>
      </c>
      <c r="R371" s="11">
        <f t="shared" ref="R371:R398" si="56">R370</f>
        <v>0</v>
      </c>
      <c r="S371" s="917">
        <f t="shared" si="54"/>
        <v>0</v>
      </c>
      <c r="T371" s="918"/>
      <c r="U371" s="353"/>
      <c r="V371" s="188">
        <f t="shared" si="55"/>
        <v>0</v>
      </c>
      <c r="W371" s="189"/>
      <c r="X371" s="189"/>
      <c r="Y371" s="192">
        <v>0.3</v>
      </c>
      <c r="Z371" s="5">
        <f>Z369*(1+Y371)</f>
        <v>0</v>
      </c>
      <c r="AA371" s="5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144"/>
      <c r="AQ371" s="144"/>
      <c r="AR371" s="144"/>
      <c r="AS371" s="144"/>
      <c r="AT371" s="4"/>
    </row>
    <row r="372" spans="1:46" s="1" customFormat="1" ht="15" customHeight="1">
      <c r="A372" s="926" t="s">
        <v>1990</v>
      </c>
      <c r="B372" s="922"/>
      <c r="C372" s="922"/>
      <c r="D372" s="922"/>
      <c r="E372" s="922"/>
      <c r="F372" s="922"/>
      <c r="G372" s="922"/>
      <c r="H372" s="922"/>
      <c r="I372" s="922"/>
      <c r="J372" s="922"/>
      <c r="K372" s="939">
        <f>IF(Formular!AM74&lt;400,400,Formular!AM74)</f>
        <v>400</v>
      </c>
      <c r="L372" s="939"/>
      <c r="M372" s="939"/>
      <c r="N372" s="939">
        <f>Formular!AP74</f>
        <v>0</v>
      </c>
      <c r="O372" s="939"/>
      <c r="P372" s="939"/>
      <c r="Q372" s="10">
        <f>Formular!AS74</f>
        <v>0</v>
      </c>
      <c r="R372" s="11">
        <f t="shared" si="56"/>
        <v>0</v>
      </c>
      <c r="S372" s="917">
        <f t="shared" si="54"/>
        <v>0</v>
      </c>
      <c r="T372" s="918"/>
      <c r="U372" s="353"/>
      <c r="V372" s="188">
        <f t="shared" si="55"/>
        <v>0</v>
      </c>
      <c r="W372" s="189"/>
      <c r="X372" s="189"/>
      <c r="Y372" s="189"/>
      <c r="Z372" s="5"/>
      <c r="AA372" s="5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144"/>
      <c r="AQ372" s="144"/>
      <c r="AR372" s="144"/>
      <c r="AS372" s="144"/>
      <c r="AT372" s="4"/>
    </row>
    <row r="373" spans="1:46" s="1" customFormat="1" ht="15" customHeight="1">
      <c r="A373" s="926" t="s">
        <v>1991</v>
      </c>
      <c r="B373" s="922"/>
      <c r="C373" s="922"/>
      <c r="D373" s="922"/>
      <c r="E373" s="922"/>
      <c r="F373" s="922"/>
      <c r="G373" s="922"/>
      <c r="H373" s="922"/>
      <c r="I373" s="922"/>
      <c r="J373" s="922"/>
      <c r="K373" s="939">
        <f>IF(Formular!AM75&lt;400,400,Formular!AM75)</f>
        <v>400</v>
      </c>
      <c r="L373" s="939"/>
      <c r="M373" s="939"/>
      <c r="N373" s="939">
        <f>Formular!AP75</f>
        <v>0</v>
      </c>
      <c r="O373" s="939"/>
      <c r="P373" s="939"/>
      <c r="Q373" s="10">
        <f>Formular!AS75</f>
        <v>0</v>
      </c>
      <c r="R373" s="11">
        <f t="shared" si="56"/>
        <v>0</v>
      </c>
      <c r="S373" s="917">
        <f t="shared" si="54"/>
        <v>0</v>
      </c>
      <c r="T373" s="918"/>
      <c r="U373" s="353"/>
      <c r="V373" s="188">
        <f t="shared" si="55"/>
        <v>0</v>
      </c>
      <c r="W373" s="189"/>
      <c r="X373" s="189"/>
      <c r="Y373" s="189"/>
      <c r="Z373" s="5"/>
      <c r="AA373" s="5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144"/>
      <c r="AQ373" s="144"/>
      <c r="AR373" s="144"/>
      <c r="AS373" s="144"/>
      <c r="AT373" s="4"/>
    </row>
    <row r="374" spans="1:46" s="1" customFormat="1" ht="15" customHeight="1">
      <c r="A374" s="926" t="s">
        <v>1992</v>
      </c>
      <c r="B374" s="922"/>
      <c r="C374" s="922"/>
      <c r="D374" s="922"/>
      <c r="E374" s="922"/>
      <c r="F374" s="922"/>
      <c r="G374" s="922"/>
      <c r="H374" s="922"/>
      <c r="I374" s="922"/>
      <c r="J374" s="922"/>
      <c r="K374" s="939">
        <f>IF(Formular!AM76&lt;400,400,Formular!AM76)</f>
        <v>400</v>
      </c>
      <c r="L374" s="939"/>
      <c r="M374" s="939"/>
      <c r="N374" s="939">
        <f>Formular!AP76</f>
        <v>0</v>
      </c>
      <c r="O374" s="939"/>
      <c r="P374" s="939"/>
      <c r="Q374" s="10">
        <f>Formular!AS76</f>
        <v>0</v>
      </c>
      <c r="R374" s="11">
        <f t="shared" si="56"/>
        <v>0</v>
      </c>
      <c r="S374" s="917">
        <f t="shared" si="54"/>
        <v>0</v>
      </c>
      <c r="T374" s="918"/>
      <c r="U374" s="353"/>
      <c r="V374" s="188">
        <f t="shared" si="55"/>
        <v>0</v>
      </c>
      <c r="W374" s="189"/>
      <c r="X374" s="189"/>
      <c r="Y374" s="189"/>
      <c r="Z374" s="5"/>
      <c r="AA374" s="5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144"/>
      <c r="AQ374" s="144"/>
      <c r="AR374" s="144"/>
      <c r="AS374" s="144"/>
      <c r="AT374" s="4"/>
    </row>
    <row r="375" spans="1:46" s="1" customFormat="1" ht="15" customHeight="1">
      <c r="A375" s="926" t="s">
        <v>1993</v>
      </c>
      <c r="B375" s="922"/>
      <c r="C375" s="922"/>
      <c r="D375" s="922"/>
      <c r="E375" s="922"/>
      <c r="F375" s="922"/>
      <c r="G375" s="922"/>
      <c r="H375" s="922"/>
      <c r="I375" s="922"/>
      <c r="J375" s="922"/>
      <c r="K375" s="939">
        <f>IF(Formular!AM77&lt;400,400,Formular!AM77)</f>
        <v>400</v>
      </c>
      <c r="L375" s="939"/>
      <c r="M375" s="939"/>
      <c r="N375" s="939">
        <f>Formular!AP77</f>
        <v>0</v>
      </c>
      <c r="O375" s="939"/>
      <c r="P375" s="939"/>
      <c r="Q375" s="10">
        <f>Formular!AS77</f>
        <v>0</v>
      </c>
      <c r="R375" s="11">
        <f t="shared" si="56"/>
        <v>0</v>
      </c>
      <c r="S375" s="917">
        <f t="shared" si="54"/>
        <v>0</v>
      </c>
      <c r="T375" s="918"/>
      <c r="U375" s="353"/>
      <c r="V375" s="188">
        <f t="shared" si="55"/>
        <v>0</v>
      </c>
      <c r="W375" s="189"/>
      <c r="X375" s="189"/>
      <c r="Y375" s="189"/>
      <c r="Z375" s="5"/>
      <c r="AA375" s="5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144"/>
      <c r="AQ375" s="144"/>
      <c r="AR375" s="144"/>
      <c r="AS375" s="144"/>
      <c r="AT375" s="4"/>
    </row>
    <row r="376" spans="1:46" s="1" customFormat="1" ht="15" customHeight="1">
      <c r="A376" s="926" t="s">
        <v>1994</v>
      </c>
      <c r="B376" s="922"/>
      <c r="C376" s="922"/>
      <c r="D376" s="922"/>
      <c r="E376" s="922"/>
      <c r="F376" s="922"/>
      <c r="G376" s="922"/>
      <c r="H376" s="922"/>
      <c r="I376" s="922"/>
      <c r="J376" s="922"/>
      <c r="K376" s="939">
        <f>IF(Formular!AM78&lt;400,400,Formular!AM78)</f>
        <v>400</v>
      </c>
      <c r="L376" s="939"/>
      <c r="M376" s="939"/>
      <c r="N376" s="939">
        <f>Formular!AP78</f>
        <v>0</v>
      </c>
      <c r="O376" s="939"/>
      <c r="P376" s="939"/>
      <c r="Q376" s="10">
        <f>Formular!AS78</f>
        <v>0</v>
      </c>
      <c r="R376" s="11">
        <f t="shared" si="56"/>
        <v>0</v>
      </c>
      <c r="S376" s="917">
        <f t="shared" si="54"/>
        <v>0</v>
      </c>
      <c r="T376" s="918"/>
      <c r="U376" s="353"/>
      <c r="V376" s="188">
        <f t="shared" si="55"/>
        <v>0</v>
      </c>
      <c r="W376" s="189"/>
      <c r="X376" s="189"/>
      <c r="Y376" s="189"/>
      <c r="Z376" s="5"/>
      <c r="AA376" s="5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144"/>
      <c r="AQ376" s="144"/>
      <c r="AR376" s="144"/>
      <c r="AS376" s="144"/>
      <c r="AT376" s="4"/>
    </row>
    <row r="377" spans="1:46" s="1" customFormat="1" ht="15" customHeight="1">
      <c r="A377" s="926" t="s">
        <v>1995</v>
      </c>
      <c r="B377" s="922"/>
      <c r="C377" s="922"/>
      <c r="D377" s="922"/>
      <c r="E377" s="922"/>
      <c r="F377" s="922"/>
      <c r="G377" s="922"/>
      <c r="H377" s="922"/>
      <c r="I377" s="922"/>
      <c r="J377" s="922"/>
      <c r="K377" s="939">
        <f>IF(Formular!AM79&lt;400,400,Formular!AM79)</f>
        <v>400</v>
      </c>
      <c r="L377" s="939"/>
      <c r="M377" s="939"/>
      <c r="N377" s="939">
        <f>Formular!AP79</f>
        <v>0</v>
      </c>
      <c r="O377" s="939"/>
      <c r="P377" s="939"/>
      <c r="Q377" s="10">
        <f>Formular!AS79</f>
        <v>0</v>
      </c>
      <c r="R377" s="11">
        <f t="shared" si="56"/>
        <v>0</v>
      </c>
      <c r="S377" s="917">
        <f t="shared" si="54"/>
        <v>0</v>
      </c>
      <c r="T377" s="918"/>
      <c r="U377" s="353"/>
      <c r="V377" s="188">
        <f t="shared" si="55"/>
        <v>0</v>
      </c>
      <c r="W377" s="189"/>
      <c r="X377" s="189"/>
      <c r="Y377" s="189"/>
      <c r="Z377" s="5"/>
      <c r="AA377" s="5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144"/>
      <c r="AQ377" s="144"/>
      <c r="AR377" s="144"/>
      <c r="AS377" s="144"/>
      <c r="AT377" s="4"/>
    </row>
    <row r="378" spans="1:46" s="1" customFormat="1" ht="15" customHeight="1">
      <c r="A378" s="926" t="s">
        <v>1996</v>
      </c>
      <c r="B378" s="922"/>
      <c r="C378" s="922"/>
      <c r="D378" s="922"/>
      <c r="E378" s="922"/>
      <c r="F378" s="922"/>
      <c r="G378" s="922"/>
      <c r="H378" s="922"/>
      <c r="I378" s="922"/>
      <c r="J378" s="922"/>
      <c r="K378" s="939">
        <f>IF(Formular!AM80&lt;400,400,Formular!AM80)</f>
        <v>400</v>
      </c>
      <c r="L378" s="939"/>
      <c r="M378" s="939"/>
      <c r="N378" s="939">
        <f>Formular!AP80</f>
        <v>0</v>
      </c>
      <c r="O378" s="939"/>
      <c r="P378" s="939"/>
      <c r="Q378" s="10">
        <f>Formular!AS80</f>
        <v>0</v>
      </c>
      <c r="R378" s="11">
        <f t="shared" si="56"/>
        <v>0</v>
      </c>
      <c r="S378" s="917">
        <f t="shared" si="54"/>
        <v>0</v>
      </c>
      <c r="T378" s="918"/>
      <c r="U378" s="353"/>
      <c r="V378" s="188">
        <f t="shared" si="55"/>
        <v>0</v>
      </c>
      <c r="W378" s="189"/>
      <c r="X378" s="189"/>
      <c r="Y378" s="189"/>
      <c r="Z378" s="5"/>
      <c r="AA378" s="5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144"/>
      <c r="AQ378" s="144"/>
      <c r="AR378" s="144"/>
      <c r="AS378" s="144"/>
      <c r="AT378" s="4"/>
    </row>
    <row r="379" spans="1:46" s="1" customFormat="1" ht="15" customHeight="1">
      <c r="A379" s="926" t="s">
        <v>1997</v>
      </c>
      <c r="B379" s="922"/>
      <c r="C379" s="922"/>
      <c r="D379" s="922"/>
      <c r="E379" s="922"/>
      <c r="F379" s="922"/>
      <c r="G379" s="922"/>
      <c r="H379" s="922"/>
      <c r="I379" s="922"/>
      <c r="J379" s="922"/>
      <c r="K379" s="939">
        <f>IF(Formular!AM81&lt;400,400,Formular!AM81)</f>
        <v>400</v>
      </c>
      <c r="L379" s="939"/>
      <c r="M379" s="939"/>
      <c r="N379" s="939">
        <f>Formular!AP81</f>
        <v>0</v>
      </c>
      <c r="O379" s="939"/>
      <c r="P379" s="939"/>
      <c r="Q379" s="10">
        <f>Formular!AS81</f>
        <v>0</v>
      </c>
      <c r="R379" s="11">
        <f t="shared" si="56"/>
        <v>0</v>
      </c>
      <c r="S379" s="917">
        <f t="shared" si="54"/>
        <v>0</v>
      </c>
      <c r="T379" s="918"/>
      <c r="U379" s="353"/>
      <c r="V379" s="188">
        <f t="shared" si="55"/>
        <v>0</v>
      </c>
      <c r="W379" s="189"/>
      <c r="X379" s="189"/>
      <c r="Y379" s="189"/>
      <c r="Z379" s="5"/>
      <c r="AA379" s="5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144"/>
      <c r="AQ379" s="144"/>
      <c r="AR379" s="144"/>
      <c r="AS379" s="144"/>
      <c r="AT379" s="4"/>
    </row>
    <row r="380" spans="1:46" s="1" customFormat="1" ht="15" customHeight="1">
      <c r="A380" s="926" t="s">
        <v>1998</v>
      </c>
      <c r="B380" s="922"/>
      <c r="C380" s="922"/>
      <c r="D380" s="922"/>
      <c r="E380" s="922"/>
      <c r="F380" s="922"/>
      <c r="G380" s="922"/>
      <c r="H380" s="922"/>
      <c r="I380" s="922"/>
      <c r="J380" s="922"/>
      <c r="K380" s="939">
        <f>IF(Formular!AM82&lt;400,400,Formular!AM82)</f>
        <v>400</v>
      </c>
      <c r="L380" s="939"/>
      <c r="M380" s="939"/>
      <c r="N380" s="939">
        <f>Formular!AP82</f>
        <v>0</v>
      </c>
      <c r="O380" s="939"/>
      <c r="P380" s="939"/>
      <c r="Q380" s="10">
        <f>Formular!AS82</f>
        <v>0</v>
      </c>
      <c r="R380" s="11">
        <f t="shared" si="56"/>
        <v>0</v>
      </c>
      <c r="S380" s="917">
        <f t="shared" si="54"/>
        <v>0</v>
      </c>
      <c r="T380" s="918"/>
      <c r="U380" s="353"/>
      <c r="V380" s="188">
        <f t="shared" si="55"/>
        <v>0</v>
      </c>
      <c r="W380" s="189"/>
      <c r="X380" s="189"/>
      <c r="Y380" s="189"/>
      <c r="Z380" s="5"/>
      <c r="AA380" s="5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144"/>
      <c r="AQ380" s="144"/>
      <c r="AR380" s="144"/>
      <c r="AS380" s="144"/>
      <c r="AT380" s="4"/>
    </row>
    <row r="381" spans="1:46" s="1" customFormat="1" ht="15" customHeight="1">
      <c r="A381" s="926" t="s">
        <v>1999</v>
      </c>
      <c r="B381" s="922"/>
      <c r="C381" s="922"/>
      <c r="D381" s="922"/>
      <c r="E381" s="922"/>
      <c r="F381" s="922"/>
      <c r="G381" s="922"/>
      <c r="H381" s="922"/>
      <c r="I381" s="922"/>
      <c r="J381" s="922"/>
      <c r="K381" s="939">
        <f>IF(Formular!AM83&lt;400,400,Formular!AM83)</f>
        <v>400</v>
      </c>
      <c r="L381" s="939"/>
      <c r="M381" s="939"/>
      <c r="N381" s="939">
        <f>Formular!AP83</f>
        <v>0</v>
      </c>
      <c r="O381" s="939"/>
      <c r="P381" s="939"/>
      <c r="Q381" s="10">
        <f>Formular!AS83</f>
        <v>0</v>
      </c>
      <c r="R381" s="11">
        <f t="shared" si="56"/>
        <v>0</v>
      </c>
      <c r="S381" s="917">
        <f t="shared" si="54"/>
        <v>0</v>
      </c>
      <c r="T381" s="918"/>
      <c r="U381" s="353"/>
      <c r="V381" s="188">
        <f t="shared" si="55"/>
        <v>0</v>
      </c>
      <c r="W381" s="189"/>
      <c r="X381" s="189"/>
      <c r="Y381" s="189"/>
      <c r="Z381" s="5"/>
      <c r="AA381" s="5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144"/>
      <c r="AQ381" s="144"/>
      <c r="AR381" s="144"/>
      <c r="AS381" s="144"/>
      <c r="AT381" s="4"/>
    </row>
    <row r="382" spans="1:46" s="1" customFormat="1" ht="15" customHeight="1">
      <c r="A382" s="926" t="s">
        <v>2000</v>
      </c>
      <c r="B382" s="922"/>
      <c r="C382" s="922"/>
      <c r="D382" s="922"/>
      <c r="E382" s="922"/>
      <c r="F382" s="922"/>
      <c r="G382" s="922"/>
      <c r="H382" s="922"/>
      <c r="I382" s="922"/>
      <c r="J382" s="922"/>
      <c r="K382" s="939">
        <f>IF(Formular!AM84&lt;400,400,Formular!AM84)</f>
        <v>400</v>
      </c>
      <c r="L382" s="939"/>
      <c r="M382" s="939"/>
      <c r="N382" s="939">
        <f>Formular!AP84</f>
        <v>0</v>
      </c>
      <c r="O382" s="939"/>
      <c r="P382" s="939"/>
      <c r="Q382" s="10">
        <f>Formular!AS84</f>
        <v>0</v>
      </c>
      <c r="R382" s="11">
        <f t="shared" si="56"/>
        <v>0</v>
      </c>
      <c r="S382" s="917">
        <f t="shared" si="54"/>
        <v>0</v>
      </c>
      <c r="T382" s="918"/>
      <c r="U382" s="353"/>
      <c r="V382" s="188">
        <f t="shared" si="55"/>
        <v>0</v>
      </c>
      <c r="W382" s="189"/>
      <c r="X382" s="189"/>
      <c r="Y382" s="189"/>
      <c r="Z382" s="5"/>
      <c r="AA382" s="5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144"/>
      <c r="AQ382" s="144"/>
      <c r="AR382" s="144"/>
      <c r="AS382" s="144"/>
      <c r="AT382" s="4"/>
    </row>
    <row r="383" spans="1:46" s="1" customFormat="1" ht="15" customHeight="1">
      <c r="A383" s="926" t="s">
        <v>2001</v>
      </c>
      <c r="B383" s="922"/>
      <c r="C383" s="922"/>
      <c r="D383" s="922"/>
      <c r="E383" s="922"/>
      <c r="F383" s="922"/>
      <c r="G383" s="922"/>
      <c r="H383" s="922"/>
      <c r="I383" s="922"/>
      <c r="J383" s="922"/>
      <c r="K383" s="939">
        <f>IF(Formular!AM85&lt;400,400,Formular!AM85)</f>
        <v>400</v>
      </c>
      <c r="L383" s="939"/>
      <c r="M383" s="939"/>
      <c r="N383" s="939">
        <f>Formular!AP85</f>
        <v>0</v>
      </c>
      <c r="O383" s="939"/>
      <c r="P383" s="939"/>
      <c r="Q383" s="10">
        <f>Formular!AS85</f>
        <v>0</v>
      </c>
      <c r="R383" s="11">
        <f t="shared" si="56"/>
        <v>0</v>
      </c>
      <c r="S383" s="917">
        <f t="shared" si="54"/>
        <v>0</v>
      </c>
      <c r="T383" s="918"/>
      <c r="U383" s="353"/>
      <c r="V383" s="188">
        <f t="shared" si="55"/>
        <v>0</v>
      </c>
      <c r="W383" s="189"/>
      <c r="X383" s="189"/>
      <c r="Y383" s="189"/>
      <c r="Z383" s="5"/>
      <c r="AA383" s="5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144"/>
      <c r="AQ383" s="144"/>
      <c r="AR383" s="144"/>
      <c r="AS383" s="144"/>
      <c r="AT383" s="4"/>
    </row>
    <row r="384" spans="1:46" s="1" customFormat="1" ht="15" customHeight="1">
      <c r="A384" s="926" t="s">
        <v>2002</v>
      </c>
      <c r="B384" s="922"/>
      <c r="C384" s="922"/>
      <c r="D384" s="922"/>
      <c r="E384" s="922"/>
      <c r="F384" s="922"/>
      <c r="G384" s="922"/>
      <c r="H384" s="922"/>
      <c r="I384" s="922"/>
      <c r="J384" s="922"/>
      <c r="K384" s="939">
        <f>IF(Formular!AM86&lt;400,400,Formular!AM86)</f>
        <v>400</v>
      </c>
      <c r="L384" s="939"/>
      <c r="M384" s="939"/>
      <c r="N384" s="939">
        <f>Formular!AP86</f>
        <v>0</v>
      </c>
      <c r="O384" s="939"/>
      <c r="P384" s="939"/>
      <c r="Q384" s="10">
        <f>Formular!AS86</f>
        <v>0</v>
      </c>
      <c r="R384" s="11">
        <f t="shared" si="56"/>
        <v>0</v>
      </c>
      <c r="S384" s="917">
        <f t="shared" si="54"/>
        <v>0</v>
      </c>
      <c r="T384" s="918"/>
      <c r="U384" s="353"/>
      <c r="V384" s="188">
        <f t="shared" si="55"/>
        <v>0</v>
      </c>
      <c r="W384" s="189"/>
      <c r="X384" s="189"/>
      <c r="Y384" s="189"/>
      <c r="Z384" s="5"/>
      <c r="AA384" s="5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144"/>
      <c r="AQ384" s="144"/>
      <c r="AR384" s="144"/>
      <c r="AS384" s="144"/>
      <c r="AT384" s="4"/>
    </row>
    <row r="385" spans="1:46" s="1" customFormat="1" ht="15" customHeight="1">
      <c r="A385" s="926" t="s">
        <v>2003</v>
      </c>
      <c r="B385" s="922"/>
      <c r="C385" s="922"/>
      <c r="D385" s="922"/>
      <c r="E385" s="922"/>
      <c r="F385" s="922"/>
      <c r="G385" s="922"/>
      <c r="H385" s="922"/>
      <c r="I385" s="922"/>
      <c r="J385" s="922"/>
      <c r="K385" s="939">
        <f>IF(Formular!AM87&lt;400,400,Formular!AM87)</f>
        <v>400</v>
      </c>
      <c r="L385" s="939"/>
      <c r="M385" s="939"/>
      <c r="N385" s="939">
        <f>Formular!AP87</f>
        <v>0</v>
      </c>
      <c r="O385" s="939"/>
      <c r="P385" s="939"/>
      <c r="Q385" s="10">
        <f>Formular!AS87</f>
        <v>0</v>
      </c>
      <c r="R385" s="11">
        <f t="shared" si="56"/>
        <v>0</v>
      </c>
      <c r="S385" s="917">
        <f t="shared" si="54"/>
        <v>0</v>
      </c>
      <c r="T385" s="918"/>
      <c r="U385" s="353"/>
      <c r="V385" s="188">
        <f t="shared" si="55"/>
        <v>0</v>
      </c>
      <c r="W385" s="189"/>
      <c r="X385" s="189"/>
      <c r="Y385" s="189"/>
      <c r="Z385" s="5"/>
      <c r="AA385" s="5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144"/>
      <c r="AQ385" s="144"/>
      <c r="AR385" s="144"/>
      <c r="AS385" s="144"/>
      <c r="AT385" s="4"/>
    </row>
    <row r="386" spans="1:46" s="1" customFormat="1" ht="15" customHeight="1">
      <c r="A386" s="926" t="s">
        <v>2004</v>
      </c>
      <c r="B386" s="922"/>
      <c r="C386" s="922"/>
      <c r="D386" s="922"/>
      <c r="E386" s="922"/>
      <c r="F386" s="922"/>
      <c r="G386" s="922"/>
      <c r="H386" s="922"/>
      <c r="I386" s="922"/>
      <c r="J386" s="922"/>
      <c r="K386" s="939">
        <f>IF(Formular!AM88&lt;400,400,Formular!AM88)</f>
        <v>400</v>
      </c>
      <c r="L386" s="939"/>
      <c r="M386" s="939"/>
      <c r="N386" s="939">
        <f>Formular!AP88</f>
        <v>0</v>
      </c>
      <c r="O386" s="939"/>
      <c r="P386" s="939"/>
      <c r="Q386" s="10">
        <f>Formular!AS88</f>
        <v>0</v>
      </c>
      <c r="R386" s="11">
        <f t="shared" si="56"/>
        <v>0</v>
      </c>
      <c r="S386" s="917">
        <f t="shared" si="54"/>
        <v>0</v>
      </c>
      <c r="T386" s="918"/>
      <c r="U386" s="353"/>
      <c r="V386" s="188">
        <f t="shared" si="55"/>
        <v>0</v>
      </c>
      <c r="W386" s="189"/>
      <c r="X386" s="189"/>
      <c r="Y386" s="189"/>
      <c r="Z386" s="5"/>
      <c r="AA386" s="5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144"/>
      <c r="AQ386" s="144"/>
      <c r="AR386" s="144"/>
      <c r="AS386" s="144"/>
      <c r="AT386" s="4"/>
    </row>
    <row r="387" spans="1:46" s="1" customFormat="1" ht="15" customHeight="1">
      <c r="A387" s="926" t="s">
        <v>2005</v>
      </c>
      <c r="B387" s="922"/>
      <c r="C387" s="922"/>
      <c r="D387" s="922"/>
      <c r="E387" s="922"/>
      <c r="F387" s="922"/>
      <c r="G387" s="922"/>
      <c r="H387" s="922"/>
      <c r="I387" s="922"/>
      <c r="J387" s="922"/>
      <c r="K387" s="939">
        <f>IF(Formular!AM89&lt;400,400,Formular!AM89)</f>
        <v>400</v>
      </c>
      <c r="L387" s="939"/>
      <c r="M387" s="939"/>
      <c r="N387" s="939">
        <f>Formular!AP89</f>
        <v>0</v>
      </c>
      <c r="O387" s="939"/>
      <c r="P387" s="939"/>
      <c r="Q387" s="10">
        <f>Formular!AS89</f>
        <v>0</v>
      </c>
      <c r="R387" s="11">
        <f t="shared" si="56"/>
        <v>0</v>
      </c>
      <c r="S387" s="917">
        <f t="shared" si="54"/>
        <v>0</v>
      </c>
      <c r="T387" s="918"/>
      <c r="U387" s="353"/>
      <c r="V387" s="188">
        <f t="shared" si="55"/>
        <v>0</v>
      </c>
      <c r="W387" s="189"/>
      <c r="X387" s="189"/>
      <c r="Y387" s="189"/>
      <c r="Z387" s="5"/>
      <c r="AA387" s="5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144"/>
      <c r="AQ387" s="144"/>
      <c r="AR387" s="144"/>
      <c r="AS387" s="144"/>
      <c r="AT387" s="4"/>
    </row>
    <row r="388" spans="1:46" s="1" customFormat="1" ht="15" customHeight="1">
      <c r="A388" s="926" t="s">
        <v>2006</v>
      </c>
      <c r="B388" s="922"/>
      <c r="C388" s="922"/>
      <c r="D388" s="922"/>
      <c r="E388" s="922"/>
      <c r="F388" s="922"/>
      <c r="G388" s="922"/>
      <c r="H388" s="922"/>
      <c r="I388" s="922"/>
      <c r="J388" s="922"/>
      <c r="K388" s="939">
        <f>IF(Formular!AM90&lt;400,400,Formular!AM90)</f>
        <v>400</v>
      </c>
      <c r="L388" s="939"/>
      <c r="M388" s="939"/>
      <c r="N388" s="939">
        <f>Formular!AP90</f>
        <v>0</v>
      </c>
      <c r="O388" s="939"/>
      <c r="P388" s="939"/>
      <c r="Q388" s="10">
        <f>Formular!AS90</f>
        <v>0</v>
      </c>
      <c r="R388" s="11">
        <f t="shared" si="56"/>
        <v>0</v>
      </c>
      <c r="S388" s="917">
        <f t="shared" si="54"/>
        <v>0</v>
      </c>
      <c r="T388" s="918"/>
      <c r="U388" s="353"/>
      <c r="V388" s="188">
        <f t="shared" si="55"/>
        <v>0</v>
      </c>
      <c r="W388" s="189"/>
      <c r="X388" s="189"/>
      <c r="Y388" s="189"/>
      <c r="Z388" s="5"/>
      <c r="AA388" s="5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  <c r="AO388" s="4"/>
      <c r="AP388" s="144"/>
      <c r="AQ388" s="144"/>
      <c r="AR388" s="144"/>
      <c r="AS388" s="144"/>
      <c r="AT388" s="4"/>
    </row>
    <row r="389" spans="1:46" s="1" customFormat="1" ht="15" customHeight="1">
      <c r="A389" s="926" t="s">
        <v>2007</v>
      </c>
      <c r="B389" s="922"/>
      <c r="C389" s="922"/>
      <c r="D389" s="922"/>
      <c r="E389" s="922"/>
      <c r="F389" s="922"/>
      <c r="G389" s="922"/>
      <c r="H389" s="922"/>
      <c r="I389" s="922"/>
      <c r="J389" s="922"/>
      <c r="K389" s="939">
        <f>IF(Formular!AM91&lt;400,400,Formular!AM91)</f>
        <v>400</v>
      </c>
      <c r="L389" s="939"/>
      <c r="M389" s="939"/>
      <c r="N389" s="939">
        <f>Formular!AP91</f>
        <v>0</v>
      </c>
      <c r="O389" s="939"/>
      <c r="P389" s="939"/>
      <c r="Q389" s="10">
        <f>Formular!AS91</f>
        <v>0</v>
      </c>
      <c r="R389" s="11">
        <f t="shared" si="56"/>
        <v>0</v>
      </c>
      <c r="S389" s="917">
        <f t="shared" si="54"/>
        <v>0</v>
      </c>
      <c r="T389" s="918"/>
      <c r="U389" s="353"/>
      <c r="V389" s="188">
        <f t="shared" si="55"/>
        <v>0</v>
      </c>
      <c r="W389" s="189"/>
      <c r="X389" s="189"/>
      <c r="Y389" s="189"/>
      <c r="Z389" s="5"/>
      <c r="AA389" s="5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  <c r="AO389" s="4"/>
      <c r="AP389" s="144"/>
      <c r="AQ389" s="144"/>
      <c r="AR389" s="144"/>
      <c r="AS389" s="144"/>
      <c r="AT389" s="4"/>
    </row>
    <row r="390" spans="1:46" s="1" customFormat="1" ht="15" customHeight="1">
      <c r="A390" s="926" t="s">
        <v>2008</v>
      </c>
      <c r="B390" s="922"/>
      <c r="C390" s="922"/>
      <c r="D390" s="922"/>
      <c r="E390" s="922"/>
      <c r="F390" s="922"/>
      <c r="G390" s="922"/>
      <c r="H390" s="922"/>
      <c r="I390" s="922"/>
      <c r="J390" s="922"/>
      <c r="K390" s="939">
        <f>IF(Formular!AM92&lt;400,400,Formular!AM92)</f>
        <v>400</v>
      </c>
      <c r="L390" s="939"/>
      <c r="M390" s="939"/>
      <c r="N390" s="939">
        <f>Formular!AP92</f>
        <v>0</v>
      </c>
      <c r="O390" s="939"/>
      <c r="P390" s="939"/>
      <c r="Q390" s="10">
        <f>Formular!AS92</f>
        <v>0</v>
      </c>
      <c r="R390" s="11">
        <f t="shared" si="56"/>
        <v>0</v>
      </c>
      <c r="S390" s="917">
        <f t="shared" si="54"/>
        <v>0</v>
      </c>
      <c r="T390" s="918"/>
      <c r="U390" s="353"/>
      <c r="V390" s="188">
        <f t="shared" si="55"/>
        <v>0</v>
      </c>
      <c r="W390" s="189"/>
      <c r="X390" s="189"/>
      <c r="Y390" s="189"/>
      <c r="Z390" s="5"/>
      <c r="AA390" s="5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/>
      <c r="AO390" s="4"/>
      <c r="AP390" s="144"/>
      <c r="AQ390" s="144"/>
      <c r="AR390" s="144"/>
      <c r="AS390" s="144"/>
      <c r="AT390" s="4"/>
    </row>
    <row r="391" spans="1:46" s="77" customFormat="1" ht="15" customHeight="1">
      <c r="A391" s="926" t="s">
        <v>2235</v>
      </c>
      <c r="B391" s="922"/>
      <c r="C391" s="922"/>
      <c r="D391" s="922"/>
      <c r="E391" s="922"/>
      <c r="F391" s="922"/>
      <c r="G391" s="922"/>
      <c r="H391" s="922"/>
      <c r="I391" s="922"/>
      <c r="J391" s="922"/>
      <c r="K391" s="939">
        <f>IF(Formular!AM93&lt;400,400,Formular!AM93)</f>
        <v>400</v>
      </c>
      <c r="L391" s="939"/>
      <c r="M391" s="939"/>
      <c r="N391" s="939">
        <f>Formular!AP93</f>
        <v>0</v>
      </c>
      <c r="O391" s="939"/>
      <c r="P391" s="939"/>
      <c r="Q391" s="476">
        <f>Formular!AS93</f>
        <v>0</v>
      </c>
      <c r="R391" s="350">
        <f t="shared" si="56"/>
        <v>0</v>
      </c>
      <c r="S391" s="917">
        <f t="shared" ref="S391:S398" si="57">IF(ISERROR((K391*N391)/1000000*Q391*R391),"0",(K391*N391)/1000000*Q391*R391)</f>
        <v>0</v>
      </c>
      <c r="T391" s="918"/>
      <c r="U391" s="476"/>
      <c r="V391" s="188">
        <f t="shared" si="55"/>
        <v>0</v>
      </c>
      <c r="W391" s="189"/>
      <c r="X391" s="189"/>
      <c r="Y391" s="189"/>
      <c r="Z391" s="5"/>
      <c r="AA391" s="5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/>
      <c r="AO391" s="4"/>
      <c r="AP391" s="144"/>
      <c r="AQ391" s="144"/>
      <c r="AR391" s="144"/>
      <c r="AS391" s="144"/>
      <c r="AT391" s="4"/>
    </row>
    <row r="392" spans="1:46" s="77" customFormat="1" ht="15" customHeight="1">
      <c r="A392" s="926" t="s">
        <v>2236</v>
      </c>
      <c r="B392" s="922"/>
      <c r="C392" s="922"/>
      <c r="D392" s="922"/>
      <c r="E392" s="922"/>
      <c r="F392" s="922"/>
      <c r="G392" s="922"/>
      <c r="H392" s="922"/>
      <c r="I392" s="922"/>
      <c r="J392" s="922"/>
      <c r="K392" s="939">
        <f>IF(Formular!AM94&lt;400,400,Formular!AM94)</f>
        <v>400</v>
      </c>
      <c r="L392" s="939"/>
      <c r="M392" s="939"/>
      <c r="N392" s="939">
        <f>Formular!AP94</f>
        <v>0</v>
      </c>
      <c r="O392" s="939"/>
      <c r="P392" s="939"/>
      <c r="Q392" s="476">
        <f>Formular!AS94</f>
        <v>0</v>
      </c>
      <c r="R392" s="350">
        <f t="shared" si="56"/>
        <v>0</v>
      </c>
      <c r="S392" s="917">
        <f t="shared" si="57"/>
        <v>0</v>
      </c>
      <c r="T392" s="918"/>
      <c r="U392" s="476"/>
      <c r="V392" s="188">
        <f t="shared" si="55"/>
        <v>0</v>
      </c>
      <c r="W392" s="189"/>
      <c r="X392" s="189"/>
      <c r="Y392" s="189"/>
      <c r="Z392" s="5"/>
      <c r="AA392" s="5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  <c r="AO392" s="4"/>
      <c r="AP392" s="144"/>
      <c r="AQ392" s="144"/>
      <c r="AR392" s="144"/>
      <c r="AS392" s="144"/>
      <c r="AT392" s="4"/>
    </row>
    <row r="393" spans="1:46" s="77" customFormat="1" ht="15" customHeight="1">
      <c r="A393" s="926" t="s">
        <v>2237</v>
      </c>
      <c r="B393" s="922"/>
      <c r="C393" s="922"/>
      <c r="D393" s="922"/>
      <c r="E393" s="922"/>
      <c r="F393" s="922"/>
      <c r="G393" s="922"/>
      <c r="H393" s="922"/>
      <c r="I393" s="922"/>
      <c r="J393" s="922"/>
      <c r="K393" s="939">
        <f>IF(Formular!AM95&lt;400,400,Formular!AM95)</f>
        <v>400</v>
      </c>
      <c r="L393" s="939"/>
      <c r="M393" s="939"/>
      <c r="N393" s="939">
        <f>Formular!AP95</f>
        <v>0</v>
      </c>
      <c r="O393" s="939"/>
      <c r="P393" s="939"/>
      <c r="Q393" s="476">
        <f>Formular!AS95</f>
        <v>0</v>
      </c>
      <c r="R393" s="350">
        <f t="shared" si="56"/>
        <v>0</v>
      </c>
      <c r="S393" s="917">
        <f t="shared" si="57"/>
        <v>0</v>
      </c>
      <c r="T393" s="918"/>
      <c r="U393" s="476"/>
      <c r="V393" s="188">
        <f t="shared" si="55"/>
        <v>0</v>
      </c>
      <c r="W393" s="189"/>
      <c r="X393" s="189"/>
      <c r="Y393" s="189"/>
      <c r="Z393" s="5"/>
      <c r="AA393" s="5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  <c r="AO393" s="4"/>
      <c r="AP393" s="144"/>
      <c r="AQ393" s="144"/>
      <c r="AR393" s="144"/>
      <c r="AS393" s="144"/>
      <c r="AT393" s="4"/>
    </row>
    <row r="394" spans="1:46" s="77" customFormat="1" ht="15" customHeight="1">
      <c r="A394" s="926" t="s">
        <v>2238</v>
      </c>
      <c r="B394" s="922"/>
      <c r="C394" s="922"/>
      <c r="D394" s="922"/>
      <c r="E394" s="922"/>
      <c r="F394" s="922"/>
      <c r="G394" s="922"/>
      <c r="H394" s="922"/>
      <c r="I394" s="922"/>
      <c r="J394" s="922"/>
      <c r="K394" s="939">
        <f>IF(Formular!AM96&lt;400,400,Formular!AM96)</f>
        <v>400</v>
      </c>
      <c r="L394" s="939"/>
      <c r="M394" s="939"/>
      <c r="N394" s="939">
        <f>Formular!AP96</f>
        <v>0</v>
      </c>
      <c r="O394" s="939"/>
      <c r="P394" s="939"/>
      <c r="Q394" s="476">
        <f>Formular!AS96</f>
        <v>0</v>
      </c>
      <c r="R394" s="350">
        <f t="shared" si="56"/>
        <v>0</v>
      </c>
      <c r="S394" s="917">
        <f t="shared" si="57"/>
        <v>0</v>
      </c>
      <c r="T394" s="918"/>
      <c r="U394" s="476"/>
      <c r="V394" s="188">
        <f t="shared" si="55"/>
        <v>0</v>
      </c>
      <c r="W394" s="189"/>
      <c r="X394" s="189"/>
      <c r="Y394" s="189"/>
      <c r="Z394" s="5"/>
      <c r="AA394" s="5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  <c r="AO394" s="4"/>
      <c r="AP394" s="144"/>
      <c r="AQ394" s="144"/>
      <c r="AR394" s="144"/>
      <c r="AS394" s="144"/>
      <c r="AT394" s="4"/>
    </row>
    <row r="395" spans="1:46" s="77" customFormat="1" ht="15" customHeight="1">
      <c r="A395" s="926" t="s">
        <v>2239</v>
      </c>
      <c r="B395" s="922"/>
      <c r="C395" s="922"/>
      <c r="D395" s="922"/>
      <c r="E395" s="922"/>
      <c r="F395" s="922"/>
      <c r="G395" s="922"/>
      <c r="H395" s="922"/>
      <c r="I395" s="922"/>
      <c r="J395" s="922"/>
      <c r="K395" s="939">
        <f>IF(Formular!AM97&lt;400,400,Formular!AM97)</f>
        <v>400</v>
      </c>
      <c r="L395" s="939"/>
      <c r="M395" s="939"/>
      <c r="N395" s="939">
        <f>Formular!AP97</f>
        <v>0</v>
      </c>
      <c r="O395" s="939"/>
      <c r="P395" s="939"/>
      <c r="Q395" s="476">
        <f>Formular!AS97</f>
        <v>0</v>
      </c>
      <c r="R395" s="350">
        <f t="shared" si="56"/>
        <v>0</v>
      </c>
      <c r="S395" s="917">
        <f t="shared" si="57"/>
        <v>0</v>
      </c>
      <c r="T395" s="918"/>
      <c r="U395" s="476"/>
      <c r="V395" s="188">
        <f t="shared" si="55"/>
        <v>0</v>
      </c>
      <c r="W395" s="189"/>
      <c r="X395" s="189"/>
      <c r="Y395" s="189"/>
      <c r="Z395" s="5"/>
      <c r="AA395" s="5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  <c r="AO395" s="4"/>
      <c r="AP395" s="144"/>
      <c r="AQ395" s="144"/>
      <c r="AR395" s="144"/>
      <c r="AS395" s="144"/>
      <c r="AT395" s="4"/>
    </row>
    <row r="396" spans="1:46" s="77" customFormat="1" ht="15" customHeight="1">
      <c r="A396" s="926" t="s">
        <v>2240</v>
      </c>
      <c r="B396" s="922"/>
      <c r="C396" s="922"/>
      <c r="D396" s="922"/>
      <c r="E396" s="922"/>
      <c r="F396" s="922"/>
      <c r="G396" s="922"/>
      <c r="H396" s="922"/>
      <c r="I396" s="922"/>
      <c r="J396" s="922"/>
      <c r="K396" s="939">
        <f>IF(Formular!AM98&lt;400,400,Formular!AM98)</f>
        <v>400</v>
      </c>
      <c r="L396" s="939"/>
      <c r="M396" s="939"/>
      <c r="N396" s="939">
        <f>Formular!AP98</f>
        <v>0</v>
      </c>
      <c r="O396" s="939"/>
      <c r="P396" s="939"/>
      <c r="Q396" s="476">
        <f>Formular!AS98</f>
        <v>0</v>
      </c>
      <c r="R396" s="350">
        <f t="shared" si="56"/>
        <v>0</v>
      </c>
      <c r="S396" s="917">
        <f t="shared" si="57"/>
        <v>0</v>
      </c>
      <c r="T396" s="918"/>
      <c r="U396" s="476"/>
      <c r="V396" s="188">
        <f t="shared" si="55"/>
        <v>0</v>
      </c>
      <c r="W396" s="189"/>
      <c r="X396" s="189"/>
      <c r="Y396" s="189"/>
      <c r="Z396" s="5"/>
      <c r="AA396" s="5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  <c r="AO396" s="4"/>
      <c r="AP396" s="144"/>
      <c r="AQ396" s="144"/>
      <c r="AR396" s="144"/>
      <c r="AS396" s="144"/>
      <c r="AT396" s="4"/>
    </row>
    <row r="397" spans="1:46" s="77" customFormat="1" ht="15" customHeight="1">
      <c r="A397" s="926" t="s">
        <v>2241</v>
      </c>
      <c r="B397" s="922"/>
      <c r="C397" s="922"/>
      <c r="D397" s="922"/>
      <c r="E397" s="922"/>
      <c r="F397" s="922"/>
      <c r="G397" s="922"/>
      <c r="H397" s="922"/>
      <c r="I397" s="922"/>
      <c r="J397" s="922"/>
      <c r="K397" s="939">
        <f>IF(Formular!AM99&lt;400,400,Formular!AM99)</f>
        <v>400</v>
      </c>
      <c r="L397" s="939"/>
      <c r="M397" s="939"/>
      <c r="N397" s="939">
        <f>Formular!AP99</f>
        <v>0</v>
      </c>
      <c r="O397" s="939"/>
      <c r="P397" s="939"/>
      <c r="Q397" s="476">
        <f>Formular!AS99</f>
        <v>0</v>
      </c>
      <c r="R397" s="350">
        <f t="shared" si="56"/>
        <v>0</v>
      </c>
      <c r="S397" s="917">
        <f t="shared" si="57"/>
        <v>0</v>
      </c>
      <c r="T397" s="918"/>
      <c r="U397" s="476"/>
      <c r="V397" s="188">
        <f t="shared" si="55"/>
        <v>0</v>
      </c>
      <c r="W397" s="189"/>
      <c r="X397" s="189"/>
      <c r="Y397" s="189"/>
      <c r="Z397" s="5"/>
      <c r="AA397" s="5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  <c r="AO397" s="4"/>
      <c r="AP397" s="144"/>
      <c r="AQ397" s="144"/>
      <c r="AR397" s="144"/>
      <c r="AS397" s="144"/>
      <c r="AT397" s="4"/>
    </row>
    <row r="398" spans="1:46" s="77" customFormat="1" ht="15" customHeight="1">
      <c r="A398" s="926" t="s">
        <v>2242</v>
      </c>
      <c r="B398" s="922"/>
      <c r="C398" s="922"/>
      <c r="D398" s="922"/>
      <c r="E398" s="922"/>
      <c r="F398" s="922"/>
      <c r="G398" s="922"/>
      <c r="H398" s="922"/>
      <c r="I398" s="922"/>
      <c r="J398" s="922"/>
      <c r="K398" s="939">
        <f>IF(Formular!AM100&lt;400,400,Formular!AM100)</f>
        <v>400</v>
      </c>
      <c r="L398" s="939"/>
      <c r="M398" s="939"/>
      <c r="N398" s="939">
        <f>Formular!AP100</f>
        <v>0</v>
      </c>
      <c r="O398" s="939"/>
      <c r="P398" s="939"/>
      <c r="Q398" s="476">
        <f>Formular!AS100</f>
        <v>0</v>
      </c>
      <c r="R398" s="350">
        <f t="shared" si="56"/>
        <v>0</v>
      </c>
      <c r="S398" s="917">
        <f t="shared" si="57"/>
        <v>0</v>
      </c>
      <c r="T398" s="918"/>
      <c r="U398" s="476"/>
      <c r="V398" s="188">
        <f t="shared" si="55"/>
        <v>0</v>
      </c>
      <c r="W398" s="189"/>
      <c r="X398" s="189"/>
      <c r="Y398" s="189"/>
      <c r="Z398" s="5"/>
      <c r="AA398" s="5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  <c r="AO398" s="4"/>
      <c r="AP398" s="144"/>
      <c r="AQ398" s="144"/>
      <c r="AR398" s="144"/>
      <c r="AS398" s="144"/>
      <c r="AT398" s="4"/>
    </row>
    <row r="399" spans="1:46" s="1" customFormat="1" ht="15" customHeight="1">
      <c r="A399" s="926" t="str">
        <f>Formular!AM101</f>
        <v>Calota W35 Aluminiu</v>
      </c>
      <c r="B399" s="922"/>
      <c r="C399" s="922"/>
      <c r="D399" s="922"/>
      <c r="E399" s="922"/>
      <c r="F399" s="922"/>
      <c r="G399" s="922"/>
      <c r="H399" s="922"/>
      <c r="I399" s="922"/>
      <c r="J399" s="922"/>
      <c r="K399" s="922"/>
      <c r="L399" s="922"/>
      <c r="M399" s="922"/>
      <c r="N399" s="922"/>
      <c r="O399" s="922"/>
      <c r="P399" s="923"/>
      <c r="Q399" s="476">
        <f>Formular!AS101</f>
        <v>0</v>
      </c>
      <c r="R399" s="11">
        <f>Info!C427</f>
        <v>35.35</v>
      </c>
      <c r="S399" s="917">
        <f>Q399*R399</f>
        <v>0</v>
      </c>
      <c r="T399" s="918"/>
      <c r="U399" s="353"/>
      <c r="V399" s="188"/>
      <c r="W399" s="189"/>
      <c r="X399" s="189"/>
      <c r="Y399" s="189"/>
      <c r="Z399" s="5"/>
      <c r="AA399" s="5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  <c r="AO399" s="4"/>
      <c r="AP399" s="144"/>
      <c r="AQ399" s="144"/>
      <c r="AR399" s="144"/>
      <c r="AS399" s="144"/>
      <c r="AT399" s="4"/>
    </row>
    <row r="400" spans="1:46" s="1" customFormat="1" ht="15" customHeight="1">
      <c r="A400" s="926" t="str">
        <f>Formular!AM102</f>
        <v>Calota W35 Ral</v>
      </c>
      <c r="B400" s="922"/>
      <c r="C400" s="922"/>
      <c r="D400" s="922"/>
      <c r="E400" s="922"/>
      <c r="F400" s="922"/>
      <c r="G400" s="922"/>
      <c r="H400" s="922"/>
      <c r="I400" s="922"/>
      <c r="J400" s="922"/>
      <c r="K400" s="922"/>
      <c r="L400" s="922"/>
      <c r="M400" s="922"/>
      <c r="N400" s="922"/>
      <c r="O400" s="922"/>
      <c r="P400" s="923"/>
      <c r="Q400" s="476">
        <f>Formular!AS102</f>
        <v>0</v>
      </c>
      <c r="R400" s="350">
        <f>Info!C428</f>
        <v>34.06</v>
      </c>
      <c r="S400" s="917">
        <f>Q400*R400</f>
        <v>0</v>
      </c>
      <c r="T400" s="918"/>
      <c r="U400" s="353"/>
      <c r="V400" s="188"/>
      <c r="W400" s="189"/>
      <c r="X400" s="189"/>
      <c r="Y400" s="189"/>
      <c r="Z400" s="5"/>
      <c r="AA400" s="5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  <c r="AO400" s="4"/>
      <c r="AP400" s="144"/>
      <c r="AQ400" s="144"/>
      <c r="AR400" s="144"/>
      <c r="AS400" s="144"/>
      <c r="AT400" s="4"/>
    </row>
    <row r="401" spans="1:46" s="77" customFormat="1" ht="15" customHeight="1">
      <c r="A401" s="929" t="str">
        <f>Formular!AU63&amp;" "&amp;INDEX(Select!B490:B508,Select!B489)&amp;" "&amp;INDEX(Select!D490:D509,Select!D489)</f>
        <v xml:space="preserve">MINIRULOU  </v>
      </c>
      <c r="B401" s="930"/>
      <c r="C401" s="930"/>
      <c r="D401" s="930"/>
      <c r="E401" s="930"/>
      <c r="F401" s="930"/>
      <c r="G401" s="930"/>
      <c r="H401" s="930"/>
      <c r="I401" s="930"/>
      <c r="J401" s="930"/>
      <c r="K401" s="930"/>
      <c r="L401" s="930"/>
      <c r="M401" s="930"/>
      <c r="N401" s="930"/>
      <c r="O401" s="930"/>
      <c r="P401" s="931"/>
      <c r="Q401" s="270">
        <f>IF(W403&gt;0,1,0)</f>
        <v>0</v>
      </c>
      <c r="R401" s="267"/>
      <c r="S401" s="268"/>
      <c r="T401" s="269"/>
      <c r="U401" s="365"/>
      <c r="V401" s="5"/>
      <c r="W401" s="5"/>
      <c r="X401" s="5"/>
      <c r="Y401" s="5"/>
      <c r="Z401" s="5"/>
      <c r="AA401" s="5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  <c r="AO401" s="4"/>
      <c r="AP401" s="144"/>
      <c r="AQ401" s="144"/>
      <c r="AR401" s="144"/>
      <c r="AS401" s="144"/>
      <c r="AT401" s="4"/>
    </row>
    <row r="402" spans="1:46" s="77" customFormat="1" ht="15" customHeight="1">
      <c r="A402" s="932" t="str">
        <f>Lang!A23&amp;W403&amp;" | "&amp;Lang!A403&amp;X403&amp;Lang!A404</f>
        <v xml:space="preserve">Total MP 0 | Valoare 0 euro fara tva </v>
      </c>
      <c r="B402" s="933"/>
      <c r="C402" s="933"/>
      <c r="D402" s="933"/>
      <c r="E402" s="933"/>
      <c r="F402" s="933"/>
      <c r="G402" s="933"/>
      <c r="H402" s="933"/>
      <c r="I402" s="933"/>
      <c r="J402" s="933"/>
      <c r="K402" s="933"/>
      <c r="L402" s="933"/>
      <c r="M402" s="933"/>
      <c r="N402" s="933"/>
      <c r="O402" s="933"/>
      <c r="P402" s="934"/>
      <c r="Q402" s="271">
        <f>Q401</f>
        <v>0</v>
      </c>
      <c r="R402" s="264"/>
      <c r="S402" s="265"/>
      <c r="T402" s="266"/>
      <c r="U402" s="366"/>
      <c r="V402" s="5"/>
      <c r="W402" s="5"/>
      <c r="X402" s="5"/>
      <c r="Y402" s="5"/>
      <c r="Z402" s="5"/>
      <c r="AA402" s="5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/>
      <c r="AO402" s="4"/>
      <c r="AP402" s="144"/>
      <c r="AQ402" s="144"/>
      <c r="AR402" s="144"/>
      <c r="AS402" s="144"/>
      <c r="AT402" s="4"/>
    </row>
    <row r="403" spans="1:46" s="1" customFormat="1" ht="15" customHeight="1">
      <c r="A403" s="926" t="s">
        <v>1987</v>
      </c>
      <c r="B403" s="922"/>
      <c r="C403" s="922"/>
      <c r="D403" s="922"/>
      <c r="E403" s="922"/>
      <c r="F403" s="922"/>
      <c r="G403" s="922"/>
      <c r="H403" s="922"/>
      <c r="I403" s="922"/>
      <c r="J403" s="922"/>
      <c r="K403" s="922">
        <f>Formular!AU71</f>
        <v>0</v>
      </c>
      <c r="L403" s="922"/>
      <c r="M403" s="922"/>
      <c r="N403" s="922">
        <f>Formular!AX71</f>
        <v>0</v>
      </c>
      <c r="O403" s="922"/>
      <c r="P403" s="923"/>
      <c r="Q403" s="10">
        <f>Formular!BA71</f>
        <v>0</v>
      </c>
      <c r="R403" s="11">
        <f>Z403</f>
        <v>0</v>
      </c>
      <c r="S403" s="917">
        <f t="shared" ref="S403:S424" si="58">IF(ISERROR((K403*N403)/1000000*Q403*R403),"0",(K403*N403)/1000000*Q403*R403)</f>
        <v>0</v>
      </c>
      <c r="T403" s="918"/>
      <c r="U403" s="353"/>
      <c r="V403" s="188">
        <f t="shared" si="55"/>
        <v>0</v>
      </c>
      <c r="W403" s="188">
        <f>ROUND(SUM(V403:V424),2)</f>
        <v>0</v>
      </c>
      <c r="X403" s="188">
        <f>ROUND(SUM(S403:T424),2)</f>
        <v>0</v>
      </c>
      <c r="Y403" s="191">
        <v>1</v>
      </c>
      <c r="Z403" s="5">
        <f>Select!D486</f>
        <v>0</v>
      </c>
      <c r="AA403" s="5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  <c r="AO403" s="4"/>
      <c r="AP403" s="144"/>
      <c r="AQ403" s="144"/>
      <c r="AR403" s="144"/>
      <c r="AS403" s="144"/>
      <c r="AT403" s="4"/>
    </row>
    <row r="404" spans="1:46" s="1" customFormat="1" ht="15" customHeight="1">
      <c r="A404" s="926" t="s">
        <v>1988</v>
      </c>
      <c r="B404" s="922"/>
      <c r="C404" s="922"/>
      <c r="D404" s="922"/>
      <c r="E404" s="922"/>
      <c r="F404" s="922"/>
      <c r="G404" s="922"/>
      <c r="H404" s="922"/>
      <c r="I404" s="922"/>
      <c r="J404" s="922"/>
      <c r="K404" s="922">
        <f>Formular!AU72</f>
        <v>0</v>
      </c>
      <c r="L404" s="922"/>
      <c r="M404" s="922"/>
      <c r="N404" s="922">
        <f>Formular!AX72</f>
        <v>0</v>
      </c>
      <c r="O404" s="922"/>
      <c r="P404" s="923"/>
      <c r="Q404" s="10">
        <f>Formular!BA72</f>
        <v>0</v>
      </c>
      <c r="R404" s="11">
        <f>R403</f>
        <v>0</v>
      </c>
      <c r="S404" s="917">
        <f t="shared" si="58"/>
        <v>0</v>
      </c>
      <c r="T404" s="918"/>
      <c r="U404" s="353"/>
      <c r="V404" s="188">
        <f t="shared" si="55"/>
        <v>0</v>
      </c>
      <c r="W404" s="189"/>
      <c r="X404" s="189"/>
      <c r="Y404" s="189"/>
      <c r="Z404" s="5"/>
      <c r="AA404" s="5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144"/>
      <c r="AQ404" s="144"/>
      <c r="AR404" s="144"/>
      <c r="AS404" s="144"/>
      <c r="AT404" s="4"/>
    </row>
    <row r="405" spans="1:46" s="1" customFormat="1" ht="15" customHeight="1">
      <c r="A405" s="926" t="s">
        <v>1989</v>
      </c>
      <c r="B405" s="922"/>
      <c r="C405" s="922"/>
      <c r="D405" s="922"/>
      <c r="E405" s="922"/>
      <c r="F405" s="922"/>
      <c r="G405" s="922"/>
      <c r="H405" s="922"/>
      <c r="I405" s="922"/>
      <c r="J405" s="922"/>
      <c r="K405" s="922">
        <f>Formular!AU73</f>
        <v>0</v>
      </c>
      <c r="L405" s="922"/>
      <c r="M405" s="922"/>
      <c r="N405" s="922">
        <f>Formular!AX73</f>
        <v>0</v>
      </c>
      <c r="O405" s="922"/>
      <c r="P405" s="923"/>
      <c r="Q405" s="10">
        <f>Formular!BA73</f>
        <v>0</v>
      </c>
      <c r="R405" s="11">
        <f t="shared" ref="R405:R424" si="59">R404</f>
        <v>0</v>
      </c>
      <c r="S405" s="917">
        <f t="shared" si="58"/>
        <v>0</v>
      </c>
      <c r="T405" s="918"/>
      <c r="U405" s="353"/>
      <c r="V405" s="188">
        <f t="shared" si="55"/>
        <v>0</v>
      </c>
      <c r="W405" s="189"/>
      <c r="X405" s="189"/>
      <c r="Y405" s="189"/>
      <c r="Z405" s="5"/>
      <c r="AA405" s="5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  <c r="AO405" s="4"/>
      <c r="AP405" s="144"/>
      <c r="AQ405" s="144"/>
      <c r="AR405" s="144"/>
      <c r="AS405" s="144"/>
      <c r="AT405" s="4"/>
    </row>
    <row r="406" spans="1:46" s="1" customFormat="1" ht="15" customHeight="1">
      <c r="A406" s="926" t="s">
        <v>1990</v>
      </c>
      <c r="B406" s="922"/>
      <c r="C406" s="922"/>
      <c r="D406" s="922"/>
      <c r="E406" s="922"/>
      <c r="F406" s="922"/>
      <c r="G406" s="922"/>
      <c r="H406" s="922"/>
      <c r="I406" s="922"/>
      <c r="J406" s="922"/>
      <c r="K406" s="922">
        <f>Formular!AU74</f>
        <v>0</v>
      </c>
      <c r="L406" s="922"/>
      <c r="M406" s="922"/>
      <c r="N406" s="922">
        <f>Formular!AX74</f>
        <v>0</v>
      </c>
      <c r="O406" s="922"/>
      <c r="P406" s="923"/>
      <c r="Q406" s="10">
        <f>Formular!BA74</f>
        <v>0</v>
      </c>
      <c r="R406" s="11">
        <f t="shared" si="59"/>
        <v>0</v>
      </c>
      <c r="S406" s="917">
        <f t="shared" si="58"/>
        <v>0</v>
      </c>
      <c r="T406" s="918"/>
      <c r="U406" s="353"/>
      <c r="V406" s="188">
        <f t="shared" si="55"/>
        <v>0</v>
      </c>
      <c r="W406" s="189"/>
      <c r="X406" s="189"/>
      <c r="Y406" s="189"/>
      <c r="Z406" s="5"/>
      <c r="AA406" s="5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  <c r="AO406" s="4"/>
      <c r="AP406" s="144"/>
      <c r="AQ406" s="144"/>
      <c r="AR406" s="144"/>
      <c r="AS406" s="144"/>
      <c r="AT406" s="4"/>
    </row>
    <row r="407" spans="1:46" s="1" customFormat="1" ht="15" customHeight="1">
      <c r="A407" s="926" t="s">
        <v>1991</v>
      </c>
      <c r="B407" s="922"/>
      <c r="C407" s="922"/>
      <c r="D407" s="922"/>
      <c r="E407" s="922"/>
      <c r="F407" s="922"/>
      <c r="G407" s="922"/>
      <c r="H407" s="922"/>
      <c r="I407" s="922"/>
      <c r="J407" s="922"/>
      <c r="K407" s="922">
        <f>Formular!AU75</f>
        <v>0</v>
      </c>
      <c r="L407" s="922"/>
      <c r="M407" s="922"/>
      <c r="N407" s="922">
        <f>Formular!AX75</f>
        <v>0</v>
      </c>
      <c r="O407" s="922"/>
      <c r="P407" s="923"/>
      <c r="Q407" s="10">
        <f>Formular!BA75</f>
        <v>0</v>
      </c>
      <c r="R407" s="11">
        <f t="shared" si="59"/>
        <v>0</v>
      </c>
      <c r="S407" s="917">
        <f t="shared" si="58"/>
        <v>0</v>
      </c>
      <c r="T407" s="918"/>
      <c r="U407" s="353"/>
      <c r="V407" s="188">
        <f t="shared" si="55"/>
        <v>0</v>
      </c>
      <c r="W407" s="189"/>
      <c r="X407" s="189"/>
      <c r="Y407" s="189"/>
      <c r="Z407" s="5"/>
      <c r="AA407" s="5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  <c r="AO407" s="4"/>
      <c r="AP407" s="144"/>
      <c r="AQ407" s="144"/>
      <c r="AR407" s="144"/>
      <c r="AS407" s="144"/>
      <c r="AT407" s="4"/>
    </row>
    <row r="408" spans="1:46" s="1" customFormat="1" ht="15" customHeight="1">
      <c r="A408" s="926" t="s">
        <v>1992</v>
      </c>
      <c r="B408" s="922"/>
      <c r="C408" s="922"/>
      <c r="D408" s="922"/>
      <c r="E408" s="922"/>
      <c r="F408" s="922"/>
      <c r="G408" s="922"/>
      <c r="H408" s="922"/>
      <c r="I408" s="922"/>
      <c r="J408" s="922"/>
      <c r="K408" s="922">
        <f>Formular!AU76</f>
        <v>0</v>
      </c>
      <c r="L408" s="922"/>
      <c r="M408" s="922"/>
      <c r="N408" s="922">
        <f>Formular!AX76</f>
        <v>0</v>
      </c>
      <c r="O408" s="922"/>
      <c r="P408" s="923"/>
      <c r="Q408" s="10">
        <f>Formular!BA76</f>
        <v>0</v>
      </c>
      <c r="R408" s="11">
        <f t="shared" si="59"/>
        <v>0</v>
      </c>
      <c r="S408" s="917">
        <f t="shared" si="58"/>
        <v>0</v>
      </c>
      <c r="T408" s="918"/>
      <c r="U408" s="353"/>
      <c r="V408" s="188">
        <f t="shared" si="55"/>
        <v>0</v>
      </c>
      <c r="W408" s="189"/>
      <c r="X408" s="189"/>
      <c r="Y408" s="189"/>
      <c r="Z408" s="5"/>
      <c r="AA408" s="5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/>
      <c r="AO408" s="4"/>
      <c r="AP408" s="144"/>
      <c r="AQ408" s="144"/>
      <c r="AR408" s="144"/>
      <c r="AS408" s="144"/>
      <c r="AT408" s="4"/>
    </row>
    <row r="409" spans="1:46" s="1" customFormat="1" ht="15" customHeight="1">
      <c r="A409" s="926" t="s">
        <v>1993</v>
      </c>
      <c r="B409" s="922"/>
      <c r="C409" s="922"/>
      <c r="D409" s="922"/>
      <c r="E409" s="922"/>
      <c r="F409" s="922"/>
      <c r="G409" s="922"/>
      <c r="H409" s="922"/>
      <c r="I409" s="922"/>
      <c r="J409" s="922"/>
      <c r="K409" s="922">
        <f>Formular!AU77</f>
        <v>0</v>
      </c>
      <c r="L409" s="922"/>
      <c r="M409" s="922"/>
      <c r="N409" s="922">
        <f>Formular!AX77</f>
        <v>0</v>
      </c>
      <c r="O409" s="922"/>
      <c r="P409" s="923"/>
      <c r="Q409" s="10">
        <f>Formular!BA77</f>
        <v>0</v>
      </c>
      <c r="R409" s="11">
        <f t="shared" si="59"/>
        <v>0</v>
      </c>
      <c r="S409" s="917">
        <f t="shared" si="58"/>
        <v>0</v>
      </c>
      <c r="T409" s="918"/>
      <c r="U409" s="353"/>
      <c r="V409" s="188">
        <f t="shared" si="55"/>
        <v>0</v>
      </c>
      <c r="W409" s="189"/>
      <c r="X409" s="189"/>
      <c r="Y409" s="189"/>
      <c r="Z409" s="5"/>
      <c r="AA409" s="5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  <c r="AO409" s="4"/>
      <c r="AP409" s="144"/>
      <c r="AQ409" s="144"/>
      <c r="AR409" s="144"/>
      <c r="AS409" s="144"/>
      <c r="AT409" s="4"/>
    </row>
    <row r="410" spans="1:46" s="1" customFormat="1" ht="15" customHeight="1">
      <c r="A410" s="926" t="s">
        <v>1994</v>
      </c>
      <c r="B410" s="922"/>
      <c r="C410" s="922"/>
      <c r="D410" s="922"/>
      <c r="E410" s="922"/>
      <c r="F410" s="922"/>
      <c r="G410" s="922"/>
      <c r="H410" s="922"/>
      <c r="I410" s="922"/>
      <c r="J410" s="922"/>
      <c r="K410" s="922">
        <f>Formular!AU78</f>
        <v>0</v>
      </c>
      <c r="L410" s="922"/>
      <c r="M410" s="922"/>
      <c r="N410" s="922">
        <f>Formular!AX78</f>
        <v>0</v>
      </c>
      <c r="O410" s="922"/>
      <c r="P410" s="923"/>
      <c r="Q410" s="10">
        <f>Formular!BA78</f>
        <v>0</v>
      </c>
      <c r="R410" s="11">
        <f t="shared" si="59"/>
        <v>0</v>
      </c>
      <c r="S410" s="917">
        <f t="shared" si="58"/>
        <v>0</v>
      </c>
      <c r="T410" s="918"/>
      <c r="U410" s="353"/>
      <c r="V410" s="188">
        <f t="shared" si="55"/>
        <v>0</v>
      </c>
      <c r="W410" s="189"/>
      <c r="X410" s="189"/>
      <c r="Y410" s="189"/>
      <c r="Z410" s="5"/>
      <c r="AA410" s="5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  <c r="AO410" s="4"/>
      <c r="AP410" s="144"/>
      <c r="AQ410" s="144"/>
      <c r="AR410" s="144"/>
      <c r="AS410" s="144"/>
      <c r="AT410" s="4"/>
    </row>
    <row r="411" spans="1:46" s="1" customFormat="1" ht="15" customHeight="1">
      <c r="A411" s="926" t="s">
        <v>1995</v>
      </c>
      <c r="B411" s="922"/>
      <c r="C411" s="922"/>
      <c r="D411" s="922"/>
      <c r="E411" s="922"/>
      <c r="F411" s="922"/>
      <c r="G411" s="922"/>
      <c r="H411" s="922"/>
      <c r="I411" s="922"/>
      <c r="J411" s="922"/>
      <c r="K411" s="922">
        <f>Formular!AU79</f>
        <v>0</v>
      </c>
      <c r="L411" s="922"/>
      <c r="M411" s="922"/>
      <c r="N411" s="922">
        <f>Formular!AX79</f>
        <v>0</v>
      </c>
      <c r="O411" s="922"/>
      <c r="P411" s="923"/>
      <c r="Q411" s="10">
        <f>Formular!BA79</f>
        <v>0</v>
      </c>
      <c r="R411" s="11">
        <f t="shared" si="59"/>
        <v>0</v>
      </c>
      <c r="S411" s="917">
        <f t="shared" si="58"/>
        <v>0</v>
      </c>
      <c r="T411" s="918"/>
      <c r="U411" s="353"/>
      <c r="V411" s="188">
        <f t="shared" si="55"/>
        <v>0</v>
      </c>
      <c r="W411" s="189"/>
      <c r="X411" s="189"/>
      <c r="Y411" s="189"/>
      <c r="Z411" s="5"/>
      <c r="AA411" s="5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  <c r="AO411" s="4"/>
      <c r="AP411" s="144"/>
      <c r="AQ411" s="144"/>
      <c r="AR411" s="144"/>
      <c r="AS411" s="144"/>
      <c r="AT411" s="4"/>
    </row>
    <row r="412" spans="1:46" s="1" customFormat="1" ht="15" customHeight="1">
      <c r="A412" s="926" t="s">
        <v>1996</v>
      </c>
      <c r="B412" s="922"/>
      <c r="C412" s="922"/>
      <c r="D412" s="922"/>
      <c r="E412" s="922"/>
      <c r="F412" s="922"/>
      <c r="G412" s="922"/>
      <c r="H412" s="922"/>
      <c r="I412" s="922"/>
      <c r="J412" s="922"/>
      <c r="K412" s="922">
        <f>Formular!AU80</f>
        <v>0</v>
      </c>
      <c r="L412" s="922"/>
      <c r="M412" s="922"/>
      <c r="N412" s="922">
        <f>Formular!AX80</f>
        <v>0</v>
      </c>
      <c r="O412" s="922"/>
      <c r="P412" s="923"/>
      <c r="Q412" s="10">
        <f>Formular!BA80</f>
        <v>0</v>
      </c>
      <c r="R412" s="11">
        <f t="shared" si="59"/>
        <v>0</v>
      </c>
      <c r="S412" s="917">
        <f t="shared" si="58"/>
        <v>0</v>
      </c>
      <c r="T412" s="918"/>
      <c r="U412" s="353"/>
      <c r="V412" s="188">
        <f t="shared" si="55"/>
        <v>0</v>
      </c>
      <c r="W412" s="189"/>
      <c r="X412" s="189"/>
      <c r="Y412" s="189"/>
      <c r="Z412" s="5"/>
      <c r="AA412" s="5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  <c r="AO412" s="4"/>
      <c r="AP412" s="144"/>
      <c r="AQ412" s="144"/>
      <c r="AR412" s="144"/>
      <c r="AS412" s="144"/>
      <c r="AT412" s="4"/>
    </row>
    <row r="413" spans="1:46" s="1" customFormat="1" ht="15" customHeight="1">
      <c r="A413" s="926" t="s">
        <v>1997</v>
      </c>
      <c r="B413" s="922"/>
      <c r="C413" s="922"/>
      <c r="D413" s="922"/>
      <c r="E413" s="922"/>
      <c r="F413" s="922"/>
      <c r="G413" s="922"/>
      <c r="H413" s="922"/>
      <c r="I413" s="922"/>
      <c r="J413" s="922"/>
      <c r="K413" s="922">
        <f>Formular!AU81</f>
        <v>0</v>
      </c>
      <c r="L413" s="922"/>
      <c r="M413" s="922"/>
      <c r="N413" s="922">
        <f>Formular!AX81</f>
        <v>0</v>
      </c>
      <c r="O413" s="922"/>
      <c r="P413" s="923"/>
      <c r="Q413" s="10">
        <f>Formular!BA81</f>
        <v>0</v>
      </c>
      <c r="R413" s="11">
        <f t="shared" si="59"/>
        <v>0</v>
      </c>
      <c r="S413" s="917">
        <f t="shared" si="58"/>
        <v>0</v>
      </c>
      <c r="T413" s="918"/>
      <c r="U413" s="353"/>
      <c r="V413" s="188">
        <f t="shared" si="55"/>
        <v>0</v>
      </c>
      <c r="W413" s="189"/>
      <c r="X413" s="189"/>
      <c r="Y413" s="189"/>
      <c r="Z413" s="5"/>
      <c r="AA413" s="5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  <c r="AO413" s="4"/>
      <c r="AP413" s="144"/>
      <c r="AQ413" s="144"/>
      <c r="AR413" s="144"/>
      <c r="AS413" s="144"/>
      <c r="AT413" s="4"/>
    </row>
    <row r="414" spans="1:46" s="1" customFormat="1" ht="15" customHeight="1">
      <c r="A414" s="926" t="s">
        <v>1998</v>
      </c>
      <c r="B414" s="922"/>
      <c r="C414" s="922"/>
      <c r="D414" s="922"/>
      <c r="E414" s="922"/>
      <c r="F414" s="922"/>
      <c r="G414" s="922"/>
      <c r="H414" s="922"/>
      <c r="I414" s="922"/>
      <c r="J414" s="922"/>
      <c r="K414" s="922">
        <f>Formular!AU82</f>
        <v>0</v>
      </c>
      <c r="L414" s="922"/>
      <c r="M414" s="922"/>
      <c r="N414" s="922">
        <f>Formular!AX82</f>
        <v>0</v>
      </c>
      <c r="O414" s="922"/>
      <c r="P414" s="923"/>
      <c r="Q414" s="10">
        <f>Formular!BA82</f>
        <v>0</v>
      </c>
      <c r="R414" s="11">
        <f t="shared" si="59"/>
        <v>0</v>
      </c>
      <c r="S414" s="917">
        <f t="shared" si="58"/>
        <v>0</v>
      </c>
      <c r="T414" s="918"/>
      <c r="U414" s="353"/>
      <c r="V414" s="188">
        <f t="shared" si="55"/>
        <v>0</v>
      </c>
      <c r="W414" s="189"/>
      <c r="X414" s="189"/>
      <c r="Y414" s="189"/>
      <c r="Z414" s="5"/>
      <c r="AA414" s="5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/>
      <c r="AO414" s="4"/>
      <c r="AP414" s="144"/>
      <c r="AQ414" s="144"/>
      <c r="AR414" s="144"/>
      <c r="AS414" s="144"/>
      <c r="AT414" s="4"/>
    </row>
    <row r="415" spans="1:46" s="1" customFormat="1" ht="15" customHeight="1">
      <c r="A415" s="926" t="s">
        <v>1999</v>
      </c>
      <c r="B415" s="922"/>
      <c r="C415" s="922"/>
      <c r="D415" s="922"/>
      <c r="E415" s="922"/>
      <c r="F415" s="922"/>
      <c r="G415" s="922"/>
      <c r="H415" s="922"/>
      <c r="I415" s="922"/>
      <c r="J415" s="922"/>
      <c r="K415" s="922">
        <f>Formular!AU83</f>
        <v>0</v>
      </c>
      <c r="L415" s="922"/>
      <c r="M415" s="922"/>
      <c r="N415" s="922">
        <f>Formular!AX83</f>
        <v>0</v>
      </c>
      <c r="O415" s="922"/>
      <c r="P415" s="923"/>
      <c r="Q415" s="10">
        <f>Formular!BA83</f>
        <v>0</v>
      </c>
      <c r="R415" s="11">
        <f t="shared" si="59"/>
        <v>0</v>
      </c>
      <c r="S415" s="917">
        <f t="shared" si="58"/>
        <v>0</v>
      </c>
      <c r="T415" s="918"/>
      <c r="U415" s="353"/>
      <c r="V415" s="188">
        <f t="shared" si="55"/>
        <v>0</v>
      </c>
      <c r="W415" s="189"/>
      <c r="X415" s="189"/>
      <c r="Y415" s="189"/>
      <c r="Z415" s="5"/>
      <c r="AA415" s="5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  <c r="AO415" s="4"/>
      <c r="AP415" s="144"/>
      <c r="AQ415" s="144"/>
      <c r="AR415" s="144"/>
      <c r="AS415" s="144"/>
      <c r="AT415" s="4"/>
    </row>
    <row r="416" spans="1:46" s="1" customFormat="1" ht="15" customHeight="1">
      <c r="A416" s="926" t="s">
        <v>2000</v>
      </c>
      <c r="B416" s="922"/>
      <c r="C416" s="922"/>
      <c r="D416" s="922"/>
      <c r="E416" s="922"/>
      <c r="F416" s="922"/>
      <c r="G416" s="922"/>
      <c r="H416" s="922"/>
      <c r="I416" s="922"/>
      <c r="J416" s="922"/>
      <c r="K416" s="922">
        <f>Formular!AU84</f>
        <v>0</v>
      </c>
      <c r="L416" s="922"/>
      <c r="M416" s="922"/>
      <c r="N416" s="922">
        <f>Formular!AX84</f>
        <v>0</v>
      </c>
      <c r="O416" s="922"/>
      <c r="P416" s="923"/>
      <c r="Q416" s="10">
        <f>Formular!BA84</f>
        <v>0</v>
      </c>
      <c r="R416" s="11">
        <f t="shared" si="59"/>
        <v>0</v>
      </c>
      <c r="S416" s="917">
        <f t="shared" si="58"/>
        <v>0</v>
      </c>
      <c r="T416" s="918"/>
      <c r="U416" s="353"/>
      <c r="V416" s="188">
        <f t="shared" si="55"/>
        <v>0</v>
      </c>
      <c r="W416" s="189"/>
      <c r="X416" s="189"/>
      <c r="Y416" s="189"/>
      <c r="Z416" s="5"/>
      <c r="AA416" s="5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  <c r="AO416" s="4"/>
      <c r="AP416" s="144"/>
      <c r="AQ416" s="144"/>
      <c r="AR416" s="144"/>
      <c r="AS416" s="144"/>
      <c r="AT416" s="4"/>
    </row>
    <row r="417" spans="1:46" s="1" customFormat="1" ht="15" customHeight="1">
      <c r="A417" s="926" t="s">
        <v>2001</v>
      </c>
      <c r="B417" s="922"/>
      <c r="C417" s="922"/>
      <c r="D417" s="922"/>
      <c r="E417" s="922"/>
      <c r="F417" s="922"/>
      <c r="G417" s="922"/>
      <c r="H417" s="922"/>
      <c r="I417" s="922"/>
      <c r="J417" s="922"/>
      <c r="K417" s="922">
        <f>Formular!AU85</f>
        <v>0</v>
      </c>
      <c r="L417" s="922"/>
      <c r="M417" s="922"/>
      <c r="N417" s="922">
        <f>Formular!AX85</f>
        <v>0</v>
      </c>
      <c r="O417" s="922"/>
      <c r="P417" s="923"/>
      <c r="Q417" s="10">
        <f>Formular!BA85</f>
        <v>0</v>
      </c>
      <c r="R417" s="11">
        <f t="shared" si="59"/>
        <v>0</v>
      </c>
      <c r="S417" s="917">
        <f t="shared" si="58"/>
        <v>0</v>
      </c>
      <c r="T417" s="918"/>
      <c r="U417" s="353"/>
      <c r="V417" s="188">
        <f t="shared" si="55"/>
        <v>0</v>
      </c>
      <c r="W417" s="189"/>
      <c r="X417" s="189"/>
      <c r="Y417" s="189"/>
      <c r="Z417" s="5"/>
      <c r="AA417" s="5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  <c r="AO417" s="4"/>
      <c r="AP417" s="144"/>
      <c r="AQ417" s="144"/>
      <c r="AR417" s="144"/>
      <c r="AS417" s="144"/>
      <c r="AT417" s="4"/>
    </row>
    <row r="418" spans="1:46" s="1" customFormat="1" ht="15" customHeight="1">
      <c r="A418" s="926" t="s">
        <v>2002</v>
      </c>
      <c r="B418" s="922"/>
      <c r="C418" s="922"/>
      <c r="D418" s="922"/>
      <c r="E418" s="922"/>
      <c r="F418" s="922"/>
      <c r="G418" s="922"/>
      <c r="H418" s="922"/>
      <c r="I418" s="922"/>
      <c r="J418" s="922"/>
      <c r="K418" s="922">
        <f>Formular!AU86</f>
        <v>0</v>
      </c>
      <c r="L418" s="922"/>
      <c r="M418" s="922"/>
      <c r="N418" s="922">
        <f>Formular!AX86</f>
        <v>0</v>
      </c>
      <c r="O418" s="922"/>
      <c r="P418" s="923"/>
      <c r="Q418" s="10">
        <f>Formular!BA86</f>
        <v>0</v>
      </c>
      <c r="R418" s="11">
        <f t="shared" si="59"/>
        <v>0</v>
      </c>
      <c r="S418" s="917">
        <f t="shared" si="58"/>
        <v>0</v>
      </c>
      <c r="T418" s="918"/>
      <c r="U418" s="353"/>
      <c r="V418" s="188">
        <f t="shared" si="55"/>
        <v>0</v>
      </c>
      <c r="W418" s="189"/>
      <c r="X418" s="189"/>
      <c r="Y418" s="189"/>
      <c r="Z418" s="5"/>
      <c r="AA418" s="5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  <c r="AO418" s="4"/>
      <c r="AP418" s="144"/>
      <c r="AQ418" s="144"/>
      <c r="AR418" s="144"/>
      <c r="AS418" s="144"/>
      <c r="AT418" s="4"/>
    </row>
    <row r="419" spans="1:46" s="1" customFormat="1" ht="15" customHeight="1">
      <c r="A419" s="926" t="s">
        <v>2003</v>
      </c>
      <c r="B419" s="922"/>
      <c r="C419" s="922"/>
      <c r="D419" s="922"/>
      <c r="E419" s="922"/>
      <c r="F419" s="922"/>
      <c r="G419" s="922"/>
      <c r="H419" s="922"/>
      <c r="I419" s="922"/>
      <c r="J419" s="922"/>
      <c r="K419" s="922">
        <f>Formular!AU87</f>
        <v>0</v>
      </c>
      <c r="L419" s="922"/>
      <c r="M419" s="922"/>
      <c r="N419" s="922">
        <f>Formular!AX87</f>
        <v>0</v>
      </c>
      <c r="O419" s="922"/>
      <c r="P419" s="923"/>
      <c r="Q419" s="10">
        <f>Formular!BA87</f>
        <v>0</v>
      </c>
      <c r="R419" s="11">
        <f t="shared" si="59"/>
        <v>0</v>
      </c>
      <c r="S419" s="917">
        <f t="shared" si="58"/>
        <v>0</v>
      </c>
      <c r="T419" s="918"/>
      <c r="U419" s="353"/>
      <c r="V419" s="188">
        <f t="shared" si="55"/>
        <v>0</v>
      </c>
      <c r="W419" s="189"/>
      <c r="X419" s="189"/>
      <c r="Y419" s="189"/>
      <c r="Z419" s="5"/>
      <c r="AA419" s="5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  <c r="AO419" s="4"/>
      <c r="AP419" s="144"/>
      <c r="AQ419" s="144"/>
      <c r="AR419" s="144"/>
      <c r="AS419" s="144"/>
      <c r="AT419" s="4"/>
    </row>
    <row r="420" spans="1:46" s="1" customFormat="1" ht="15" customHeight="1">
      <c r="A420" s="926" t="s">
        <v>2004</v>
      </c>
      <c r="B420" s="922"/>
      <c r="C420" s="922"/>
      <c r="D420" s="922"/>
      <c r="E420" s="922"/>
      <c r="F420" s="922"/>
      <c r="G420" s="922"/>
      <c r="H420" s="922"/>
      <c r="I420" s="922"/>
      <c r="J420" s="922"/>
      <c r="K420" s="922">
        <f>Formular!AU88</f>
        <v>0</v>
      </c>
      <c r="L420" s="922"/>
      <c r="M420" s="922"/>
      <c r="N420" s="922">
        <f>Formular!AX88</f>
        <v>0</v>
      </c>
      <c r="O420" s="922"/>
      <c r="P420" s="923"/>
      <c r="Q420" s="10">
        <f>Formular!BA88</f>
        <v>0</v>
      </c>
      <c r="R420" s="11">
        <f t="shared" si="59"/>
        <v>0</v>
      </c>
      <c r="S420" s="917">
        <f t="shared" si="58"/>
        <v>0</v>
      </c>
      <c r="T420" s="918"/>
      <c r="U420" s="353"/>
      <c r="V420" s="188">
        <f t="shared" si="55"/>
        <v>0</v>
      </c>
      <c r="W420" s="189"/>
      <c r="X420" s="189"/>
      <c r="Y420" s="189"/>
      <c r="Z420" s="5"/>
      <c r="AA420" s="5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/>
      <c r="AO420" s="4"/>
      <c r="AP420" s="144"/>
      <c r="AQ420" s="144"/>
      <c r="AR420" s="144"/>
      <c r="AS420" s="144"/>
      <c r="AT420" s="4"/>
    </row>
    <row r="421" spans="1:46" s="1" customFormat="1" ht="15" customHeight="1">
      <c r="A421" s="926" t="s">
        <v>2005</v>
      </c>
      <c r="B421" s="922"/>
      <c r="C421" s="922"/>
      <c r="D421" s="922"/>
      <c r="E421" s="922"/>
      <c r="F421" s="922"/>
      <c r="G421" s="922"/>
      <c r="H421" s="922"/>
      <c r="I421" s="922"/>
      <c r="J421" s="922"/>
      <c r="K421" s="922">
        <f>Formular!AU89</f>
        <v>0</v>
      </c>
      <c r="L421" s="922"/>
      <c r="M421" s="922"/>
      <c r="N421" s="922">
        <f>Formular!AX89</f>
        <v>0</v>
      </c>
      <c r="O421" s="922"/>
      <c r="P421" s="923"/>
      <c r="Q421" s="10">
        <f>Formular!BA89</f>
        <v>0</v>
      </c>
      <c r="R421" s="11">
        <f t="shared" si="59"/>
        <v>0</v>
      </c>
      <c r="S421" s="917">
        <f t="shared" si="58"/>
        <v>0</v>
      </c>
      <c r="T421" s="918"/>
      <c r="U421" s="353"/>
      <c r="V421" s="188">
        <f t="shared" si="55"/>
        <v>0</v>
      </c>
      <c r="W421" s="189"/>
      <c r="X421" s="189"/>
      <c r="Y421" s="189"/>
      <c r="Z421" s="5"/>
      <c r="AA421" s="5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  <c r="AO421" s="4"/>
      <c r="AP421" s="144"/>
      <c r="AQ421" s="144"/>
      <c r="AR421" s="144"/>
      <c r="AS421" s="144"/>
      <c r="AT421" s="4"/>
    </row>
    <row r="422" spans="1:46" s="1" customFormat="1" ht="15" customHeight="1">
      <c r="A422" s="926" t="s">
        <v>2006</v>
      </c>
      <c r="B422" s="922"/>
      <c r="C422" s="922"/>
      <c r="D422" s="922"/>
      <c r="E422" s="922"/>
      <c r="F422" s="922"/>
      <c r="G422" s="922"/>
      <c r="H422" s="922"/>
      <c r="I422" s="922"/>
      <c r="J422" s="922"/>
      <c r="K422" s="922">
        <f>Formular!AU90</f>
        <v>0</v>
      </c>
      <c r="L422" s="922"/>
      <c r="M422" s="922"/>
      <c r="N422" s="922">
        <f>Formular!AX90</f>
        <v>0</v>
      </c>
      <c r="O422" s="922"/>
      <c r="P422" s="923"/>
      <c r="Q422" s="10">
        <f>Formular!BA90</f>
        <v>0</v>
      </c>
      <c r="R422" s="11">
        <f t="shared" si="59"/>
        <v>0</v>
      </c>
      <c r="S422" s="917">
        <f t="shared" si="58"/>
        <v>0</v>
      </c>
      <c r="T422" s="918"/>
      <c r="U422" s="353"/>
      <c r="V422" s="188">
        <f t="shared" si="55"/>
        <v>0</v>
      </c>
      <c r="W422" s="189"/>
      <c r="X422" s="189"/>
      <c r="Y422" s="189"/>
      <c r="Z422" s="5"/>
      <c r="AA422" s="5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  <c r="AO422" s="4"/>
      <c r="AP422" s="144"/>
      <c r="AQ422" s="144"/>
      <c r="AR422" s="144"/>
      <c r="AS422" s="144"/>
      <c r="AT422" s="4"/>
    </row>
    <row r="423" spans="1:46" s="1" customFormat="1" ht="15" customHeight="1">
      <c r="A423" s="926" t="s">
        <v>2007</v>
      </c>
      <c r="B423" s="922"/>
      <c r="C423" s="922"/>
      <c r="D423" s="922"/>
      <c r="E423" s="922"/>
      <c r="F423" s="922"/>
      <c r="G423" s="922"/>
      <c r="H423" s="922"/>
      <c r="I423" s="922"/>
      <c r="J423" s="922"/>
      <c r="K423" s="922">
        <f>Formular!AU91</f>
        <v>0</v>
      </c>
      <c r="L423" s="922"/>
      <c r="M423" s="922"/>
      <c r="N423" s="922">
        <f>Formular!AX91</f>
        <v>0</v>
      </c>
      <c r="O423" s="922"/>
      <c r="P423" s="923"/>
      <c r="Q423" s="10">
        <f>Formular!BA91</f>
        <v>0</v>
      </c>
      <c r="R423" s="11">
        <f t="shared" si="59"/>
        <v>0</v>
      </c>
      <c r="S423" s="917">
        <f t="shared" si="58"/>
        <v>0</v>
      </c>
      <c r="T423" s="918"/>
      <c r="U423" s="353"/>
      <c r="V423" s="188">
        <f t="shared" si="55"/>
        <v>0</v>
      </c>
      <c r="W423" s="189"/>
      <c r="X423" s="189"/>
      <c r="Y423" s="189"/>
      <c r="Z423" s="5"/>
      <c r="AA423" s="5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  <c r="AO423" s="4"/>
      <c r="AP423" s="144"/>
      <c r="AQ423" s="144"/>
      <c r="AR423" s="144"/>
      <c r="AS423" s="144"/>
      <c r="AT423" s="4"/>
    </row>
    <row r="424" spans="1:46" s="1" customFormat="1" ht="15" customHeight="1">
      <c r="A424" s="926" t="s">
        <v>2008</v>
      </c>
      <c r="B424" s="922"/>
      <c r="C424" s="922"/>
      <c r="D424" s="922"/>
      <c r="E424" s="922"/>
      <c r="F424" s="922"/>
      <c r="G424" s="922"/>
      <c r="H424" s="922"/>
      <c r="I424" s="922"/>
      <c r="J424" s="922"/>
      <c r="K424" s="922">
        <f>Formular!AU92</f>
        <v>0</v>
      </c>
      <c r="L424" s="922"/>
      <c r="M424" s="922"/>
      <c r="N424" s="922">
        <f>Formular!AX92</f>
        <v>0</v>
      </c>
      <c r="O424" s="922"/>
      <c r="P424" s="923"/>
      <c r="Q424" s="10">
        <f>Formular!BA92</f>
        <v>0</v>
      </c>
      <c r="R424" s="11">
        <f t="shared" si="59"/>
        <v>0</v>
      </c>
      <c r="S424" s="917">
        <f t="shared" si="58"/>
        <v>0</v>
      </c>
      <c r="T424" s="918"/>
      <c r="U424" s="353"/>
      <c r="V424" s="188">
        <f t="shared" si="55"/>
        <v>0</v>
      </c>
      <c r="W424" s="189"/>
      <c r="X424" s="189"/>
      <c r="Y424" s="189"/>
      <c r="Z424" s="5"/>
      <c r="AA424" s="5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  <c r="AO424" s="4"/>
      <c r="AP424" s="144"/>
      <c r="AQ424" s="144"/>
      <c r="AR424" s="144"/>
      <c r="AS424" s="144"/>
      <c r="AT424" s="4"/>
    </row>
    <row r="425" spans="1:46" s="77" customFormat="1" ht="15" customHeight="1">
      <c r="A425" s="929" t="str">
        <f>SELNEW!F131</f>
        <v xml:space="preserve">0 0  </v>
      </c>
      <c r="B425" s="930"/>
      <c r="C425" s="930"/>
      <c r="D425" s="930"/>
      <c r="E425" s="930"/>
      <c r="F425" s="930"/>
      <c r="G425" s="930"/>
      <c r="H425" s="930"/>
      <c r="I425" s="930"/>
      <c r="J425" s="930"/>
      <c r="K425" s="930"/>
      <c r="L425" s="930"/>
      <c r="M425" s="930"/>
      <c r="N425" s="930"/>
      <c r="O425" s="930"/>
      <c r="P425" s="931"/>
      <c r="Q425" s="270">
        <f>IF(V427&gt;0,1,0)</f>
        <v>0</v>
      </c>
      <c r="R425" s="267"/>
      <c r="S425" s="268"/>
      <c r="T425" s="269"/>
      <c r="U425" s="365"/>
      <c r="V425" s="5"/>
      <c r="W425" s="5"/>
      <c r="X425" s="5"/>
      <c r="Y425" s="5"/>
      <c r="Z425" s="5"/>
      <c r="AA425" s="5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  <c r="AO425" s="4"/>
      <c r="AP425" s="144"/>
      <c r="AQ425" s="144"/>
      <c r="AR425" s="144"/>
      <c r="AS425" s="144"/>
      <c r="AT425" s="4"/>
    </row>
    <row r="426" spans="1:46" s="77" customFormat="1" ht="15" customHeight="1">
      <c r="A426" s="932" t="str">
        <f>Lang!A403&amp;V427&amp;Lang!A404</f>
        <v xml:space="preserve">Valoare 0 euro fara tva </v>
      </c>
      <c r="B426" s="933"/>
      <c r="C426" s="933"/>
      <c r="D426" s="933"/>
      <c r="E426" s="933"/>
      <c r="F426" s="933"/>
      <c r="G426" s="933"/>
      <c r="H426" s="933"/>
      <c r="I426" s="933"/>
      <c r="J426" s="933"/>
      <c r="K426" s="933"/>
      <c r="L426" s="933"/>
      <c r="M426" s="933"/>
      <c r="N426" s="933"/>
      <c r="O426" s="933"/>
      <c r="P426" s="934"/>
      <c r="Q426" s="271">
        <f>Q425</f>
        <v>0</v>
      </c>
      <c r="R426" s="264"/>
      <c r="S426" s="265"/>
      <c r="T426" s="266"/>
      <c r="U426" s="366"/>
      <c r="V426" s="5"/>
      <c r="W426" s="5"/>
      <c r="X426" s="5"/>
      <c r="Y426" s="5"/>
      <c r="Z426" s="5"/>
      <c r="AA426" s="5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/>
      <c r="AO426" s="4"/>
      <c r="AP426" s="144"/>
      <c r="AQ426" s="144"/>
      <c r="AR426" s="144"/>
      <c r="AS426" s="144"/>
      <c r="AT426" s="4"/>
    </row>
    <row r="427" spans="1:46" s="1" customFormat="1" ht="15" customHeight="1">
      <c r="A427" s="1002" t="str">
        <f>A425</f>
        <v xml:space="preserve">0 0  </v>
      </c>
      <c r="B427" s="947"/>
      <c r="C427" s="947"/>
      <c r="D427" s="947"/>
      <c r="E427" s="947"/>
      <c r="F427" s="947"/>
      <c r="G427" s="947"/>
      <c r="H427" s="947"/>
      <c r="I427" s="947"/>
      <c r="J427" s="922" t="str">
        <f>Formular!BD70</f>
        <v xml:space="preserve"> </v>
      </c>
      <c r="K427" s="922"/>
      <c r="L427" s="922"/>
      <c r="M427" s="922">
        <f>Formular!BF70</f>
        <v>1000</v>
      </c>
      <c r="N427" s="922"/>
      <c r="O427" s="922"/>
      <c r="P427" s="923"/>
      <c r="Q427" s="14">
        <f>Formular!BG70</f>
        <v>0</v>
      </c>
      <c r="R427" s="13">
        <f>SELNEW!E131</f>
        <v>0</v>
      </c>
      <c r="S427" s="917">
        <f>M427/1000*Q427*R427</f>
        <v>0</v>
      </c>
      <c r="T427" s="918"/>
      <c r="U427" s="353"/>
      <c r="V427" s="188">
        <f>SUM(S427:T451)</f>
        <v>0</v>
      </c>
      <c r="W427" s="189"/>
      <c r="X427" s="189"/>
      <c r="Y427" s="189"/>
      <c r="Z427" s="5"/>
      <c r="AA427" s="5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  <c r="AO427" s="4"/>
      <c r="AP427" s="144"/>
      <c r="AQ427" s="144"/>
      <c r="AR427" s="144"/>
      <c r="AS427" s="144"/>
      <c r="AT427" s="4"/>
    </row>
    <row r="428" spans="1:46" s="1" customFormat="1" ht="15" customHeight="1">
      <c r="A428" s="919" t="str">
        <f>A427</f>
        <v xml:space="preserve">0 0  </v>
      </c>
      <c r="B428" s="920"/>
      <c r="C428" s="920"/>
      <c r="D428" s="920"/>
      <c r="E428" s="920"/>
      <c r="F428" s="920"/>
      <c r="G428" s="920"/>
      <c r="H428" s="920"/>
      <c r="I428" s="920"/>
      <c r="J428" s="922" t="str">
        <f>Formular!BD71</f>
        <v xml:space="preserve"> </v>
      </c>
      <c r="K428" s="922"/>
      <c r="L428" s="922"/>
      <c r="M428" s="922">
        <f>Formular!BF71</f>
        <v>0</v>
      </c>
      <c r="N428" s="922"/>
      <c r="O428" s="922"/>
      <c r="P428" s="923"/>
      <c r="Q428" s="14">
        <f>Formular!BG71</f>
        <v>0</v>
      </c>
      <c r="R428" s="13">
        <f>R427</f>
        <v>0</v>
      </c>
      <c r="S428" s="917">
        <f t="shared" ref="S428:S451" si="60">M428/1000*Q428*R428</f>
        <v>0</v>
      </c>
      <c r="T428" s="918"/>
      <c r="U428" s="353"/>
      <c r="V428" s="188"/>
      <c r="W428" s="189"/>
      <c r="X428" s="189"/>
      <c r="Y428" s="189"/>
      <c r="Z428" s="5"/>
      <c r="AA428" s="5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  <c r="AO428" s="4"/>
      <c r="AP428" s="144"/>
      <c r="AQ428" s="144"/>
      <c r="AR428" s="144"/>
      <c r="AS428" s="144"/>
      <c r="AT428" s="4"/>
    </row>
    <row r="429" spans="1:46" s="1" customFormat="1" ht="15" customHeight="1">
      <c r="A429" s="919" t="str">
        <f t="shared" ref="A429:A451" si="61">A428</f>
        <v xml:space="preserve">0 0  </v>
      </c>
      <c r="B429" s="920"/>
      <c r="C429" s="920"/>
      <c r="D429" s="920"/>
      <c r="E429" s="920"/>
      <c r="F429" s="920"/>
      <c r="G429" s="920"/>
      <c r="H429" s="920"/>
      <c r="I429" s="920"/>
      <c r="J429" s="922" t="str">
        <f>Formular!BD72</f>
        <v xml:space="preserve"> </v>
      </c>
      <c r="K429" s="922"/>
      <c r="L429" s="922"/>
      <c r="M429" s="922">
        <f>Formular!BF72</f>
        <v>0</v>
      </c>
      <c r="N429" s="922"/>
      <c r="O429" s="922"/>
      <c r="P429" s="923"/>
      <c r="Q429" s="14">
        <f>Formular!BG72</f>
        <v>0</v>
      </c>
      <c r="R429" s="15">
        <f t="shared" ref="R429:R451" si="62">R428</f>
        <v>0</v>
      </c>
      <c r="S429" s="917">
        <f t="shared" si="60"/>
        <v>0</v>
      </c>
      <c r="T429" s="918"/>
      <c r="U429" s="353"/>
      <c r="V429" s="188"/>
      <c r="W429" s="189"/>
      <c r="X429" s="189"/>
      <c r="Y429" s="189"/>
      <c r="Z429" s="5"/>
      <c r="AA429" s="5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  <c r="AO429" s="4"/>
      <c r="AP429" s="144"/>
      <c r="AQ429" s="144"/>
      <c r="AR429" s="144"/>
      <c r="AS429" s="144"/>
      <c r="AT429" s="4"/>
    </row>
    <row r="430" spans="1:46" s="1" customFormat="1" ht="15" customHeight="1">
      <c r="A430" s="919" t="str">
        <f t="shared" si="61"/>
        <v xml:space="preserve">0 0  </v>
      </c>
      <c r="B430" s="920"/>
      <c r="C430" s="920"/>
      <c r="D430" s="920"/>
      <c r="E430" s="920"/>
      <c r="F430" s="920"/>
      <c r="G430" s="920"/>
      <c r="H430" s="920"/>
      <c r="I430" s="920"/>
      <c r="J430" s="922" t="str">
        <f>Formular!BD73</f>
        <v xml:space="preserve"> </v>
      </c>
      <c r="K430" s="922"/>
      <c r="L430" s="922"/>
      <c r="M430" s="922">
        <f>Formular!BF73</f>
        <v>0</v>
      </c>
      <c r="N430" s="922"/>
      <c r="O430" s="922"/>
      <c r="P430" s="923"/>
      <c r="Q430" s="14">
        <f>Formular!BG73</f>
        <v>0</v>
      </c>
      <c r="R430" s="15">
        <f t="shared" si="62"/>
        <v>0</v>
      </c>
      <c r="S430" s="917">
        <f t="shared" si="60"/>
        <v>0</v>
      </c>
      <c r="T430" s="918"/>
      <c r="U430" s="353"/>
      <c r="V430" s="188"/>
      <c r="W430" s="189"/>
      <c r="X430" s="189"/>
      <c r="Y430" s="189"/>
      <c r="Z430" s="5"/>
      <c r="AA430" s="5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  <c r="AO430" s="4"/>
      <c r="AP430" s="144"/>
      <c r="AQ430" s="144"/>
      <c r="AR430" s="144"/>
      <c r="AS430" s="144"/>
      <c r="AT430" s="4"/>
    </row>
    <row r="431" spans="1:46" s="1" customFormat="1" ht="15" customHeight="1">
      <c r="A431" s="919" t="str">
        <f t="shared" si="61"/>
        <v xml:space="preserve">0 0  </v>
      </c>
      <c r="B431" s="920"/>
      <c r="C431" s="920"/>
      <c r="D431" s="920"/>
      <c r="E431" s="920"/>
      <c r="F431" s="920"/>
      <c r="G431" s="920"/>
      <c r="H431" s="920"/>
      <c r="I431" s="920"/>
      <c r="J431" s="922" t="str">
        <f>Formular!BD74</f>
        <v xml:space="preserve"> </v>
      </c>
      <c r="K431" s="922"/>
      <c r="L431" s="922"/>
      <c r="M431" s="922">
        <f>Formular!BF74</f>
        <v>0</v>
      </c>
      <c r="N431" s="922"/>
      <c r="O431" s="922"/>
      <c r="P431" s="923"/>
      <c r="Q431" s="14">
        <f>Formular!BG74</f>
        <v>0</v>
      </c>
      <c r="R431" s="15">
        <f t="shared" si="62"/>
        <v>0</v>
      </c>
      <c r="S431" s="917">
        <f t="shared" si="60"/>
        <v>0</v>
      </c>
      <c r="T431" s="918"/>
      <c r="U431" s="353"/>
      <c r="V431" s="188"/>
      <c r="W431" s="189"/>
      <c r="X431" s="189"/>
      <c r="Y431" s="189"/>
      <c r="Z431" s="5"/>
      <c r="AA431" s="5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  <c r="AO431" s="4"/>
      <c r="AP431" s="144"/>
      <c r="AQ431" s="144"/>
      <c r="AR431" s="144"/>
      <c r="AS431" s="144"/>
      <c r="AT431" s="4"/>
    </row>
    <row r="432" spans="1:46" s="1" customFormat="1" ht="15" customHeight="1">
      <c r="A432" s="919" t="str">
        <f t="shared" si="61"/>
        <v xml:space="preserve">0 0  </v>
      </c>
      <c r="B432" s="920"/>
      <c r="C432" s="920"/>
      <c r="D432" s="920"/>
      <c r="E432" s="920"/>
      <c r="F432" s="920"/>
      <c r="G432" s="920"/>
      <c r="H432" s="920"/>
      <c r="I432" s="920"/>
      <c r="J432" s="922" t="str">
        <f>Formular!BD75</f>
        <v xml:space="preserve"> </v>
      </c>
      <c r="K432" s="922"/>
      <c r="L432" s="922"/>
      <c r="M432" s="922">
        <f>Formular!BF75</f>
        <v>0</v>
      </c>
      <c r="N432" s="922"/>
      <c r="O432" s="922"/>
      <c r="P432" s="923"/>
      <c r="Q432" s="14">
        <f>Formular!BG75</f>
        <v>0</v>
      </c>
      <c r="R432" s="15">
        <f t="shared" si="62"/>
        <v>0</v>
      </c>
      <c r="S432" s="917">
        <f t="shared" si="60"/>
        <v>0</v>
      </c>
      <c r="T432" s="918"/>
      <c r="U432" s="353"/>
      <c r="V432" s="188"/>
      <c r="W432" s="189"/>
      <c r="X432" s="189"/>
      <c r="Y432" s="189"/>
      <c r="Z432" s="5"/>
      <c r="AA432" s="5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/>
      <c r="AO432" s="4"/>
      <c r="AP432" s="144"/>
      <c r="AQ432" s="144"/>
      <c r="AR432" s="144"/>
      <c r="AS432" s="144"/>
      <c r="AT432" s="4"/>
    </row>
    <row r="433" spans="1:46" s="1" customFormat="1" ht="15" customHeight="1">
      <c r="A433" s="919" t="str">
        <f t="shared" si="61"/>
        <v xml:space="preserve">0 0  </v>
      </c>
      <c r="B433" s="920"/>
      <c r="C433" s="920"/>
      <c r="D433" s="920"/>
      <c r="E433" s="920"/>
      <c r="F433" s="920"/>
      <c r="G433" s="920"/>
      <c r="H433" s="920"/>
      <c r="I433" s="920"/>
      <c r="J433" s="922" t="str">
        <f>Formular!BD76</f>
        <v xml:space="preserve"> </v>
      </c>
      <c r="K433" s="922"/>
      <c r="L433" s="922"/>
      <c r="M433" s="922">
        <f>Formular!BF76</f>
        <v>0</v>
      </c>
      <c r="N433" s="922"/>
      <c r="O433" s="922"/>
      <c r="P433" s="923"/>
      <c r="Q433" s="14">
        <f>Formular!BG76</f>
        <v>0</v>
      </c>
      <c r="R433" s="15">
        <f t="shared" si="62"/>
        <v>0</v>
      </c>
      <c r="S433" s="917">
        <f t="shared" si="60"/>
        <v>0</v>
      </c>
      <c r="T433" s="918"/>
      <c r="U433" s="353"/>
      <c r="V433" s="188"/>
      <c r="W433" s="189"/>
      <c r="X433" s="189"/>
      <c r="Y433" s="189"/>
      <c r="Z433" s="5"/>
      <c r="AA433" s="5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  <c r="AO433" s="4"/>
      <c r="AP433" s="144"/>
      <c r="AQ433" s="144"/>
      <c r="AR433" s="144"/>
      <c r="AS433" s="144"/>
      <c r="AT433" s="4"/>
    </row>
    <row r="434" spans="1:46" s="1" customFormat="1" ht="15" customHeight="1">
      <c r="A434" s="919" t="str">
        <f t="shared" si="61"/>
        <v xml:space="preserve">0 0  </v>
      </c>
      <c r="B434" s="920"/>
      <c r="C434" s="920"/>
      <c r="D434" s="920"/>
      <c r="E434" s="920"/>
      <c r="F434" s="920"/>
      <c r="G434" s="920"/>
      <c r="H434" s="920"/>
      <c r="I434" s="920"/>
      <c r="J434" s="922" t="str">
        <f>Formular!BD77</f>
        <v xml:space="preserve"> </v>
      </c>
      <c r="K434" s="922"/>
      <c r="L434" s="922"/>
      <c r="M434" s="922">
        <f>Formular!BF77</f>
        <v>0</v>
      </c>
      <c r="N434" s="922"/>
      <c r="O434" s="922"/>
      <c r="P434" s="923"/>
      <c r="Q434" s="14">
        <f>Formular!BG77</f>
        <v>0</v>
      </c>
      <c r="R434" s="15">
        <f t="shared" si="62"/>
        <v>0</v>
      </c>
      <c r="S434" s="917">
        <f t="shared" si="60"/>
        <v>0</v>
      </c>
      <c r="T434" s="918"/>
      <c r="U434" s="353"/>
      <c r="V434" s="188"/>
      <c r="W434" s="189"/>
      <c r="X434" s="189"/>
      <c r="Y434" s="189"/>
      <c r="Z434" s="5"/>
      <c r="AA434" s="5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  <c r="AO434" s="4"/>
      <c r="AP434" s="144"/>
      <c r="AQ434" s="144"/>
      <c r="AR434" s="144"/>
      <c r="AS434" s="144"/>
      <c r="AT434" s="4"/>
    </row>
    <row r="435" spans="1:46" s="1" customFormat="1" ht="15" customHeight="1">
      <c r="A435" s="919" t="str">
        <f t="shared" si="61"/>
        <v xml:space="preserve">0 0  </v>
      </c>
      <c r="B435" s="920"/>
      <c r="C435" s="920"/>
      <c r="D435" s="920"/>
      <c r="E435" s="920"/>
      <c r="F435" s="920"/>
      <c r="G435" s="920"/>
      <c r="H435" s="920"/>
      <c r="I435" s="920"/>
      <c r="J435" s="922" t="str">
        <f>Formular!BD78</f>
        <v xml:space="preserve"> </v>
      </c>
      <c r="K435" s="922"/>
      <c r="L435" s="922"/>
      <c r="M435" s="922">
        <f>Formular!BF78</f>
        <v>0</v>
      </c>
      <c r="N435" s="922"/>
      <c r="O435" s="922"/>
      <c r="P435" s="923"/>
      <c r="Q435" s="14">
        <f>Formular!BG78</f>
        <v>0</v>
      </c>
      <c r="R435" s="15">
        <f t="shared" si="62"/>
        <v>0</v>
      </c>
      <c r="S435" s="917">
        <f t="shared" si="60"/>
        <v>0</v>
      </c>
      <c r="T435" s="918"/>
      <c r="U435" s="353"/>
      <c r="V435" s="188"/>
      <c r="W435" s="189"/>
      <c r="X435" s="189"/>
      <c r="Y435" s="189"/>
      <c r="Z435" s="5"/>
      <c r="AA435" s="5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  <c r="AO435" s="4"/>
      <c r="AP435" s="144"/>
      <c r="AQ435" s="144"/>
      <c r="AR435" s="144"/>
      <c r="AS435" s="144"/>
      <c r="AT435" s="4"/>
    </row>
    <row r="436" spans="1:46" s="1" customFormat="1" ht="15" customHeight="1">
      <c r="A436" s="919" t="str">
        <f t="shared" si="61"/>
        <v xml:space="preserve">0 0  </v>
      </c>
      <c r="B436" s="920"/>
      <c r="C436" s="920"/>
      <c r="D436" s="920"/>
      <c r="E436" s="920"/>
      <c r="F436" s="920"/>
      <c r="G436" s="920"/>
      <c r="H436" s="920"/>
      <c r="I436" s="920"/>
      <c r="J436" s="922" t="str">
        <f>Formular!BD79</f>
        <v xml:space="preserve"> </v>
      </c>
      <c r="K436" s="922"/>
      <c r="L436" s="922"/>
      <c r="M436" s="922">
        <f>Formular!BF79</f>
        <v>0</v>
      </c>
      <c r="N436" s="922"/>
      <c r="O436" s="922"/>
      <c r="P436" s="923"/>
      <c r="Q436" s="14">
        <f>Formular!BG79</f>
        <v>0</v>
      </c>
      <c r="R436" s="15">
        <f t="shared" si="62"/>
        <v>0</v>
      </c>
      <c r="S436" s="917">
        <f t="shared" si="60"/>
        <v>0</v>
      </c>
      <c r="T436" s="918"/>
      <c r="U436" s="353"/>
      <c r="V436" s="188"/>
      <c r="W436" s="189"/>
      <c r="X436" s="189"/>
      <c r="Y436" s="189"/>
      <c r="Z436" s="5"/>
      <c r="AA436" s="5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  <c r="AO436" s="4"/>
      <c r="AP436" s="144"/>
      <c r="AQ436" s="144"/>
      <c r="AR436" s="144"/>
      <c r="AS436" s="144"/>
      <c r="AT436" s="4"/>
    </row>
    <row r="437" spans="1:46" s="1" customFormat="1" ht="15" customHeight="1">
      <c r="A437" s="919" t="str">
        <f t="shared" si="61"/>
        <v xml:space="preserve">0 0  </v>
      </c>
      <c r="B437" s="920"/>
      <c r="C437" s="920"/>
      <c r="D437" s="920"/>
      <c r="E437" s="920"/>
      <c r="F437" s="920"/>
      <c r="G437" s="920"/>
      <c r="H437" s="920"/>
      <c r="I437" s="920"/>
      <c r="J437" s="922" t="str">
        <f>Formular!BD80</f>
        <v xml:space="preserve"> </v>
      </c>
      <c r="K437" s="922"/>
      <c r="L437" s="922"/>
      <c r="M437" s="922">
        <f>Formular!BF80</f>
        <v>0</v>
      </c>
      <c r="N437" s="922"/>
      <c r="O437" s="922"/>
      <c r="P437" s="923"/>
      <c r="Q437" s="14">
        <f>Formular!BG80</f>
        <v>0</v>
      </c>
      <c r="R437" s="15">
        <f t="shared" si="62"/>
        <v>0</v>
      </c>
      <c r="S437" s="917">
        <f t="shared" si="60"/>
        <v>0</v>
      </c>
      <c r="T437" s="918"/>
      <c r="U437" s="353"/>
      <c r="V437" s="188"/>
      <c r="W437" s="189"/>
      <c r="X437" s="189"/>
      <c r="Y437" s="189"/>
      <c r="Z437" s="5"/>
      <c r="AA437" s="5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  <c r="AO437" s="4"/>
      <c r="AP437" s="144"/>
      <c r="AQ437" s="144"/>
      <c r="AR437" s="144"/>
      <c r="AS437" s="144"/>
      <c r="AT437" s="4"/>
    </row>
    <row r="438" spans="1:46" s="1" customFormat="1" ht="15" customHeight="1">
      <c r="A438" s="919" t="str">
        <f t="shared" si="61"/>
        <v xml:space="preserve">0 0  </v>
      </c>
      <c r="B438" s="920"/>
      <c r="C438" s="920"/>
      <c r="D438" s="920"/>
      <c r="E438" s="920"/>
      <c r="F438" s="920"/>
      <c r="G438" s="920"/>
      <c r="H438" s="920"/>
      <c r="I438" s="920"/>
      <c r="J438" s="922" t="str">
        <f>Formular!BD81</f>
        <v xml:space="preserve"> </v>
      </c>
      <c r="K438" s="922"/>
      <c r="L438" s="922"/>
      <c r="M438" s="922">
        <f>Formular!BF81</f>
        <v>0</v>
      </c>
      <c r="N438" s="922"/>
      <c r="O438" s="922"/>
      <c r="P438" s="923"/>
      <c r="Q438" s="14">
        <f>Formular!BG81</f>
        <v>0</v>
      </c>
      <c r="R438" s="15">
        <f t="shared" si="62"/>
        <v>0</v>
      </c>
      <c r="S438" s="917">
        <f t="shared" si="60"/>
        <v>0</v>
      </c>
      <c r="T438" s="918"/>
      <c r="U438" s="353"/>
      <c r="V438" s="188"/>
      <c r="W438" s="189"/>
      <c r="X438" s="189"/>
      <c r="Y438" s="189"/>
      <c r="Z438" s="5"/>
      <c r="AA438" s="5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/>
      <c r="AO438" s="4"/>
      <c r="AP438" s="144"/>
      <c r="AQ438" s="144"/>
      <c r="AR438" s="144"/>
      <c r="AS438" s="144"/>
      <c r="AT438" s="4"/>
    </row>
    <row r="439" spans="1:46" s="1" customFormat="1" ht="15" customHeight="1">
      <c r="A439" s="919" t="str">
        <f t="shared" si="61"/>
        <v xml:space="preserve">0 0  </v>
      </c>
      <c r="B439" s="920"/>
      <c r="C439" s="920"/>
      <c r="D439" s="920"/>
      <c r="E439" s="920"/>
      <c r="F439" s="920"/>
      <c r="G439" s="920"/>
      <c r="H439" s="920"/>
      <c r="I439" s="920"/>
      <c r="J439" s="922" t="str">
        <f>Formular!BD82</f>
        <v xml:space="preserve"> </v>
      </c>
      <c r="K439" s="922"/>
      <c r="L439" s="922"/>
      <c r="M439" s="922">
        <f>Formular!BF82</f>
        <v>0</v>
      </c>
      <c r="N439" s="922"/>
      <c r="O439" s="922"/>
      <c r="P439" s="923"/>
      <c r="Q439" s="14">
        <f>Formular!BG82</f>
        <v>0</v>
      </c>
      <c r="R439" s="15">
        <f t="shared" si="62"/>
        <v>0</v>
      </c>
      <c r="S439" s="917">
        <f t="shared" si="60"/>
        <v>0</v>
      </c>
      <c r="T439" s="918"/>
      <c r="U439" s="353"/>
      <c r="V439" s="188"/>
      <c r="W439" s="189"/>
      <c r="X439" s="189"/>
      <c r="Y439" s="189"/>
      <c r="Z439" s="5"/>
      <c r="AA439" s="5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  <c r="AO439" s="4"/>
      <c r="AP439" s="144"/>
      <c r="AQ439" s="144"/>
      <c r="AR439" s="144"/>
      <c r="AS439" s="144"/>
      <c r="AT439" s="4"/>
    </row>
    <row r="440" spans="1:46" s="1" customFormat="1" ht="15" customHeight="1">
      <c r="A440" s="919" t="str">
        <f t="shared" si="61"/>
        <v xml:space="preserve">0 0  </v>
      </c>
      <c r="B440" s="920"/>
      <c r="C440" s="920"/>
      <c r="D440" s="920"/>
      <c r="E440" s="920"/>
      <c r="F440" s="920"/>
      <c r="G440" s="920"/>
      <c r="H440" s="920"/>
      <c r="I440" s="920"/>
      <c r="J440" s="922" t="str">
        <f>Formular!BD83</f>
        <v xml:space="preserve"> </v>
      </c>
      <c r="K440" s="922"/>
      <c r="L440" s="922"/>
      <c r="M440" s="922">
        <f>Formular!BF83</f>
        <v>0</v>
      </c>
      <c r="N440" s="922"/>
      <c r="O440" s="922"/>
      <c r="P440" s="923"/>
      <c r="Q440" s="14">
        <f>Formular!BG83</f>
        <v>0</v>
      </c>
      <c r="R440" s="15">
        <f t="shared" si="62"/>
        <v>0</v>
      </c>
      <c r="S440" s="917">
        <f t="shared" si="60"/>
        <v>0</v>
      </c>
      <c r="T440" s="918"/>
      <c r="U440" s="353"/>
      <c r="V440" s="188"/>
      <c r="W440" s="189"/>
      <c r="X440" s="189"/>
      <c r="Y440" s="189"/>
      <c r="Z440" s="5"/>
      <c r="AA440" s="5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  <c r="AO440" s="4"/>
      <c r="AP440" s="144"/>
      <c r="AQ440" s="144"/>
      <c r="AR440" s="144"/>
      <c r="AS440" s="144"/>
      <c r="AT440" s="4"/>
    </row>
    <row r="441" spans="1:46" s="1" customFormat="1" ht="15" customHeight="1">
      <c r="A441" s="919" t="str">
        <f t="shared" si="61"/>
        <v xml:space="preserve">0 0  </v>
      </c>
      <c r="B441" s="920"/>
      <c r="C441" s="920"/>
      <c r="D441" s="920"/>
      <c r="E441" s="920"/>
      <c r="F441" s="920"/>
      <c r="G441" s="920"/>
      <c r="H441" s="920"/>
      <c r="I441" s="920"/>
      <c r="J441" s="922" t="str">
        <f>Formular!BD84</f>
        <v xml:space="preserve"> </v>
      </c>
      <c r="K441" s="922"/>
      <c r="L441" s="922"/>
      <c r="M441" s="922">
        <f>Formular!BF84</f>
        <v>0</v>
      </c>
      <c r="N441" s="922"/>
      <c r="O441" s="922"/>
      <c r="P441" s="923"/>
      <c r="Q441" s="14">
        <f>Formular!BG84</f>
        <v>0</v>
      </c>
      <c r="R441" s="15">
        <f t="shared" si="62"/>
        <v>0</v>
      </c>
      <c r="S441" s="917">
        <f t="shared" si="60"/>
        <v>0</v>
      </c>
      <c r="T441" s="918"/>
      <c r="U441" s="353"/>
      <c r="V441" s="188"/>
      <c r="W441" s="189"/>
      <c r="X441" s="189"/>
      <c r="Y441" s="189"/>
      <c r="Z441" s="5"/>
      <c r="AA441" s="5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  <c r="AO441" s="4"/>
      <c r="AP441" s="144"/>
      <c r="AQ441" s="144"/>
      <c r="AR441" s="144"/>
      <c r="AS441" s="144"/>
      <c r="AT441" s="4"/>
    </row>
    <row r="442" spans="1:46" s="1" customFormat="1" ht="15" customHeight="1">
      <c r="A442" s="919" t="str">
        <f t="shared" si="61"/>
        <v xml:space="preserve">0 0  </v>
      </c>
      <c r="B442" s="920"/>
      <c r="C442" s="920"/>
      <c r="D442" s="920"/>
      <c r="E442" s="920"/>
      <c r="F442" s="920"/>
      <c r="G442" s="920"/>
      <c r="H442" s="920"/>
      <c r="I442" s="920"/>
      <c r="J442" s="922" t="str">
        <f>Formular!BD85</f>
        <v xml:space="preserve"> </v>
      </c>
      <c r="K442" s="922"/>
      <c r="L442" s="922"/>
      <c r="M442" s="922">
        <f>Formular!BF85</f>
        <v>0</v>
      </c>
      <c r="N442" s="922"/>
      <c r="O442" s="922"/>
      <c r="P442" s="923"/>
      <c r="Q442" s="14">
        <f>Formular!BG85</f>
        <v>0</v>
      </c>
      <c r="R442" s="15">
        <f t="shared" si="62"/>
        <v>0</v>
      </c>
      <c r="S442" s="917">
        <f t="shared" si="60"/>
        <v>0</v>
      </c>
      <c r="T442" s="918"/>
      <c r="U442" s="353"/>
      <c r="V442" s="188"/>
      <c r="W442" s="189"/>
      <c r="X442" s="189"/>
      <c r="Y442" s="189"/>
      <c r="Z442" s="5"/>
      <c r="AA442" s="5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  <c r="AO442" s="4"/>
      <c r="AP442" s="144"/>
      <c r="AQ442" s="144"/>
      <c r="AR442" s="144"/>
      <c r="AS442" s="144"/>
      <c r="AT442" s="4"/>
    </row>
    <row r="443" spans="1:46" s="1" customFormat="1" ht="15" customHeight="1">
      <c r="A443" s="919" t="str">
        <f t="shared" si="61"/>
        <v xml:space="preserve">0 0  </v>
      </c>
      <c r="B443" s="920"/>
      <c r="C443" s="920"/>
      <c r="D443" s="920"/>
      <c r="E443" s="920"/>
      <c r="F443" s="920"/>
      <c r="G443" s="920"/>
      <c r="H443" s="920"/>
      <c r="I443" s="920"/>
      <c r="J443" s="922" t="str">
        <f>Formular!BD86</f>
        <v xml:space="preserve"> </v>
      </c>
      <c r="K443" s="922"/>
      <c r="L443" s="922"/>
      <c r="M443" s="922">
        <f>Formular!BF86</f>
        <v>0</v>
      </c>
      <c r="N443" s="922"/>
      <c r="O443" s="922"/>
      <c r="P443" s="923"/>
      <c r="Q443" s="14">
        <f>Formular!BG86</f>
        <v>0</v>
      </c>
      <c r="R443" s="15">
        <f t="shared" si="62"/>
        <v>0</v>
      </c>
      <c r="S443" s="917">
        <f t="shared" si="60"/>
        <v>0</v>
      </c>
      <c r="T443" s="918"/>
      <c r="U443" s="353"/>
      <c r="V443" s="188"/>
      <c r="W443" s="189"/>
      <c r="X443" s="189"/>
      <c r="Y443" s="189"/>
      <c r="Z443" s="5"/>
      <c r="AA443" s="5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  <c r="AO443" s="4"/>
      <c r="AP443" s="144"/>
      <c r="AQ443" s="144"/>
      <c r="AR443" s="144"/>
      <c r="AS443" s="144"/>
      <c r="AT443" s="4"/>
    </row>
    <row r="444" spans="1:46" s="1" customFormat="1" ht="15" customHeight="1">
      <c r="A444" s="919" t="str">
        <f t="shared" si="61"/>
        <v xml:space="preserve">0 0  </v>
      </c>
      <c r="B444" s="920"/>
      <c r="C444" s="920"/>
      <c r="D444" s="920"/>
      <c r="E444" s="920"/>
      <c r="F444" s="920"/>
      <c r="G444" s="920"/>
      <c r="H444" s="920"/>
      <c r="I444" s="920"/>
      <c r="J444" s="922" t="str">
        <f>Formular!BD87</f>
        <v xml:space="preserve"> </v>
      </c>
      <c r="K444" s="922"/>
      <c r="L444" s="922"/>
      <c r="M444" s="922">
        <f>Formular!BF87</f>
        <v>0</v>
      </c>
      <c r="N444" s="922"/>
      <c r="O444" s="922"/>
      <c r="P444" s="923"/>
      <c r="Q444" s="14">
        <f>Formular!BG87</f>
        <v>0</v>
      </c>
      <c r="R444" s="15">
        <f t="shared" si="62"/>
        <v>0</v>
      </c>
      <c r="S444" s="917">
        <f t="shared" si="60"/>
        <v>0</v>
      </c>
      <c r="T444" s="918"/>
      <c r="U444" s="353"/>
      <c r="V444" s="188"/>
      <c r="W444" s="189"/>
      <c r="X444" s="189"/>
      <c r="Y444" s="189"/>
      <c r="Z444" s="5"/>
      <c r="AA444" s="5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/>
      <c r="AO444" s="4"/>
      <c r="AP444" s="144"/>
      <c r="AQ444" s="144"/>
      <c r="AR444" s="144"/>
      <c r="AS444" s="144"/>
      <c r="AT444" s="4"/>
    </row>
    <row r="445" spans="1:46" s="1" customFormat="1" ht="15" customHeight="1">
      <c r="A445" s="919" t="str">
        <f t="shared" si="61"/>
        <v xml:space="preserve">0 0  </v>
      </c>
      <c r="B445" s="920"/>
      <c r="C445" s="920"/>
      <c r="D445" s="920"/>
      <c r="E445" s="920"/>
      <c r="F445" s="920"/>
      <c r="G445" s="920"/>
      <c r="H445" s="920"/>
      <c r="I445" s="920"/>
      <c r="J445" s="922" t="str">
        <f>Formular!BD88</f>
        <v xml:space="preserve"> </v>
      </c>
      <c r="K445" s="922"/>
      <c r="L445" s="922"/>
      <c r="M445" s="922">
        <f>Formular!BF88</f>
        <v>0</v>
      </c>
      <c r="N445" s="922"/>
      <c r="O445" s="922"/>
      <c r="P445" s="923"/>
      <c r="Q445" s="14">
        <f>Formular!BG88</f>
        <v>0</v>
      </c>
      <c r="R445" s="15">
        <f t="shared" si="62"/>
        <v>0</v>
      </c>
      <c r="S445" s="917">
        <f t="shared" si="60"/>
        <v>0</v>
      </c>
      <c r="T445" s="918"/>
      <c r="U445" s="353"/>
      <c r="V445" s="188"/>
      <c r="W445" s="189"/>
      <c r="X445" s="189"/>
      <c r="Y445" s="189"/>
      <c r="Z445" s="5"/>
      <c r="AA445" s="5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  <c r="AO445" s="4"/>
      <c r="AP445" s="144"/>
      <c r="AQ445" s="144"/>
      <c r="AR445" s="144"/>
      <c r="AS445" s="144"/>
      <c r="AT445" s="4"/>
    </row>
    <row r="446" spans="1:46" s="1" customFormat="1" ht="15" customHeight="1">
      <c r="A446" s="919" t="str">
        <f t="shared" si="61"/>
        <v xml:space="preserve">0 0  </v>
      </c>
      <c r="B446" s="920"/>
      <c r="C446" s="920"/>
      <c r="D446" s="920"/>
      <c r="E446" s="920"/>
      <c r="F446" s="920"/>
      <c r="G446" s="920"/>
      <c r="H446" s="920"/>
      <c r="I446" s="920"/>
      <c r="J446" s="922" t="str">
        <f>Formular!BD89</f>
        <v xml:space="preserve"> </v>
      </c>
      <c r="K446" s="922"/>
      <c r="L446" s="922"/>
      <c r="M446" s="922">
        <f>Formular!BF89</f>
        <v>0</v>
      </c>
      <c r="N446" s="922"/>
      <c r="O446" s="922"/>
      <c r="P446" s="923"/>
      <c r="Q446" s="14">
        <f>Formular!BG89</f>
        <v>0</v>
      </c>
      <c r="R446" s="15">
        <f t="shared" si="62"/>
        <v>0</v>
      </c>
      <c r="S446" s="917">
        <f t="shared" si="60"/>
        <v>0</v>
      </c>
      <c r="T446" s="918"/>
      <c r="U446" s="353"/>
      <c r="V446" s="188"/>
      <c r="W446" s="189"/>
      <c r="X446" s="189"/>
      <c r="Y446" s="189"/>
      <c r="Z446" s="5"/>
      <c r="AA446" s="5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  <c r="AO446" s="4"/>
      <c r="AP446" s="144"/>
      <c r="AQ446" s="144"/>
      <c r="AR446" s="144"/>
      <c r="AS446" s="144"/>
      <c r="AT446" s="4"/>
    </row>
    <row r="447" spans="1:46" s="1" customFormat="1" ht="15" customHeight="1">
      <c r="A447" s="919" t="str">
        <f t="shared" si="61"/>
        <v xml:space="preserve">0 0  </v>
      </c>
      <c r="B447" s="920"/>
      <c r="C447" s="920"/>
      <c r="D447" s="920"/>
      <c r="E447" s="920"/>
      <c r="F447" s="920"/>
      <c r="G447" s="920"/>
      <c r="H447" s="920"/>
      <c r="I447" s="920"/>
      <c r="J447" s="922" t="str">
        <f>Formular!BD90</f>
        <v xml:space="preserve"> </v>
      </c>
      <c r="K447" s="922"/>
      <c r="L447" s="922"/>
      <c r="M447" s="922">
        <f>Formular!BF90</f>
        <v>0</v>
      </c>
      <c r="N447" s="922"/>
      <c r="O447" s="922"/>
      <c r="P447" s="923"/>
      <c r="Q447" s="14">
        <f>Formular!BG90</f>
        <v>0</v>
      </c>
      <c r="R447" s="15">
        <f t="shared" si="62"/>
        <v>0</v>
      </c>
      <c r="S447" s="917">
        <f t="shared" si="60"/>
        <v>0</v>
      </c>
      <c r="T447" s="918"/>
      <c r="U447" s="353"/>
      <c r="V447" s="188"/>
      <c r="W447" s="189"/>
      <c r="X447" s="189"/>
      <c r="Y447" s="189"/>
      <c r="Z447" s="5"/>
      <c r="AA447" s="5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  <c r="AO447" s="4"/>
      <c r="AP447" s="144"/>
      <c r="AQ447" s="144"/>
      <c r="AR447" s="144"/>
      <c r="AS447" s="144"/>
      <c r="AT447" s="4"/>
    </row>
    <row r="448" spans="1:46" s="1" customFormat="1" ht="15" customHeight="1">
      <c r="A448" s="919" t="str">
        <f t="shared" si="61"/>
        <v xml:space="preserve">0 0  </v>
      </c>
      <c r="B448" s="920"/>
      <c r="C448" s="920"/>
      <c r="D448" s="920"/>
      <c r="E448" s="920"/>
      <c r="F448" s="920"/>
      <c r="G448" s="920"/>
      <c r="H448" s="920"/>
      <c r="I448" s="920"/>
      <c r="J448" s="922" t="str">
        <f>Formular!BD91</f>
        <v xml:space="preserve"> </v>
      </c>
      <c r="K448" s="922"/>
      <c r="L448" s="922"/>
      <c r="M448" s="922">
        <f>Formular!BF91</f>
        <v>0</v>
      </c>
      <c r="N448" s="922"/>
      <c r="O448" s="922"/>
      <c r="P448" s="923"/>
      <c r="Q448" s="14">
        <f>Formular!BG91</f>
        <v>0</v>
      </c>
      <c r="R448" s="15">
        <f t="shared" si="62"/>
        <v>0</v>
      </c>
      <c r="S448" s="917">
        <f t="shared" si="60"/>
        <v>0</v>
      </c>
      <c r="T448" s="918"/>
      <c r="U448" s="353"/>
      <c r="V448" s="188"/>
      <c r="W448" s="189"/>
      <c r="X448" s="189"/>
      <c r="Y448" s="189"/>
      <c r="Z448" s="5"/>
      <c r="AA448" s="5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  <c r="AO448" s="4"/>
      <c r="AP448" s="144"/>
      <c r="AQ448" s="144"/>
      <c r="AR448" s="144"/>
      <c r="AS448" s="144"/>
      <c r="AT448" s="4"/>
    </row>
    <row r="449" spans="1:54" s="1" customFormat="1" ht="15" customHeight="1">
      <c r="A449" s="919" t="str">
        <f t="shared" si="61"/>
        <v xml:space="preserve">0 0  </v>
      </c>
      <c r="B449" s="920"/>
      <c r="C449" s="920"/>
      <c r="D449" s="920"/>
      <c r="E449" s="920"/>
      <c r="F449" s="920"/>
      <c r="G449" s="920"/>
      <c r="H449" s="920"/>
      <c r="I449" s="920"/>
      <c r="J449" s="922" t="str">
        <f>Formular!BD92</f>
        <v xml:space="preserve"> </v>
      </c>
      <c r="K449" s="922"/>
      <c r="L449" s="922"/>
      <c r="M449" s="922">
        <f>Formular!BF92</f>
        <v>0</v>
      </c>
      <c r="N449" s="922"/>
      <c r="O449" s="922"/>
      <c r="P449" s="923"/>
      <c r="Q449" s="14">
        <f>Formular!BG92</f>
        <v>0</v>
      </c>
      <c r="R449" s="15">
        <f t="shared" si="62"/>
        <v>0</v>
      </c>
      <c r="S449" s="917">
        <f t="shared" si="60"/>
        <v>0</v>
      </c>
      <c r="T449" s="918"/>
      <c r="U449" s="353"/>
      <c r="V449" s="188"/>
      <c r="W449" s="189"/>
      <c r="X449" s="189"/>
      <c r="Y449" s="189"/>
      <c r="Z449" s="5"/>
      <c r="AA449" s="5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  <c r="AO449" s="4"/>
      <c r="AP449" s="144"/>
      <c r="AQ449" s="144"/>
      <c r="AR449" s="144"/>
      <c r="AS449" s="144"/>
      <c r="AT449" s="4"/>
    </row>
    <row r="450" spans="1:54" s="1" customFormat="1" ht="15" customHeight="1">
      <c r="A450" s="919" t="str">
        <f t="shared" si="61"/>
        <v xml:space="preserve">0 0  </v>
      </c>
      <c r="B450" s="920"/>
      <c r="C450" s="920"/>
      <c r="D450" s="920"/>
      <c r="E450" s="920"/>
      <c r="F450" s="920"/>
      <c r="G450" s="920"/>
      <c r="H450" s="920"/>
      <c r="I450" s="920"/>
      <c r="J450" s="922" t="str">
        <f>Formular!BD93</f>
        <v xml:space="preserve"> </v>
      </c>
      <c r="K450" s="922"/>
      <c r="L450" s="922"/>
      <c r="M450" s="922">
        <f>Formular!BF93</f>
        <v>0</v>
      </c>
      <c r="N450" s="922"/>
      <c r="O450" s="922"/>
      <c r="P450" s="923"/>
      <c r="Q450" s="14">
        <f>Formular!BG93</f>
        <v>0</v>
      </c>
      <c r="R450" s="15">
        <f t="shared" si="62"/>
        <v>0</v>
      </c>
      <c r="S450" s="917">
        <f t="shared" si="60"/>
        <v>0</v>
      </c>
      <c r="T450" s="918"/>
      <c r="U450" s="353"/>
      <c r="V450" s="188"/>
      <c r="W450" s="189"/>
      <c r="X450" s="189"/>
      <c r="Y450" s="189"/>
      <c r="Z450" s="5"/>
      <c r="AA450" s="5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/>
      <c r="AO450" s="4"/>
      <c r="AP450" s="144"/>
      <c r="AQ450" s="144"/>
      <c r="AR450" s="144"/>
      <c r="AS450" s="144"/>
      <c r="AT450" s="4"/>
    </row>
    <row r="451" spans="1:54" s="1" customFormat="1" ht="15" customHeight="1">
      <c r="A451" s="919" t="str">
        <f t="shared" si="61"/>
        <v xml:space="preserve">0 0  </v>
      </c>
      <c r="B451" s="920"/>
      <c r="C451" s="920"/>
      <c r="D451" s="920"/>
      <c r="E451" s="920"/>
      <c r="F451" s="920"/>
      <c r="G451" s="920"/>
      <c r="H451" s="920"/>
      <c r="I451" s="920"/>
      <c r="J451" s="922" t="str">
        <f>Formular!BD94</f>
        <v xml:space="preserve"> </v>
      </c>
      <c r="K451" s="922"/>
      <c r="L451" s="922"/>
      <c r="M451" s="922">
        <f>Formular!BF94</f>
        <v>0</v>
      </c>
      <c r="N451" s="922"/>
      <c r="O451" s="922"/>
      <c r="P451" s="923"/>
      <c r="Q451" s="14">
        <f>Formular!BG94</f>
        <v>0</v>
      </c>
      <c r="R451" s="15">
        <f t="shared" si="62"/>
        <v>0</v>
      </c>
      <c r="S451" s="917">
        <f t="shared" si="60"/>
        <v>0</v>
      </c>
      <c r="T451" s="918"/>
      <c r="U451" s="353"/>
      <c r="V451" s="188"/>
      <c r="W451" s="189"/>
      <c r="X451" s="189"/>
      <c r="Y451" s="189"/>
      <c r="Z451" s="5"/>
      <c r="AA451" s="5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  <c r="AO451" s="4"/>
      <c r="AP451" s="144"/>
      <c r="AQ451" s="144"/>
      <c r="AR451" s="144"/>
      <c r="AS451" s="144"/>
      <c r="AT451" s="4"/>
    </row>
    <row r="452" spans="1:54" ht="15" customHeight="1">
      <c r="A452" s="926" t="str">
        <f>Formular!AU25</f>
        <v>materiale diverse</v>
      </c>
      <c r="B452" s="922"/>
      <c r="C452" s="922"/>
      <c r="D452" s="922">
        <f>Formular!AV28</f>
        <v>0</v>
      </c>
      <c r="E452" s="922"/>
      <c r="F452" s="922"/>
      <c r="G452" s="922"/>
      <c r="H452" s="922"/>
      <c r="I452" s="922"/>
      <c r="J452" s="922"/>
      <c r="K452" s="922"/>
      <c r="L452" s="922"/>
      <c r="M452" s="922"/>
      <c r="N452" s="922"/>
      <c r="O452" s="922"/>
      <c r="P452" s="923"/>
      <c r="Q452" s="40">
        <f>IF(Formular!$A$52=2,Formular!BG28,IF(Formular!$A$52=3,Formular!BG28,IF(Formular!$A$52=1,0)))</f>
        <v>0</v>
      </c>
      <c r="R452" s="39">
        <f>Formular!BF28</f>
        <v>0</v>
      </c>
      <c r="S452" s="917">
        <f>R452*Q452</f>
        <v>0</v>
      </c>
      <c r="T452" s="918"/>
      <c r="U452" s="353"/>
      <c r="V452" s="186">
        <f>SUM(S452:T456)</f>
        <v>0</v>
      </c>
      <c r="W452" s="5"/>
      <c r="X452" s="5"/>
      <c r="Y452" s="5"/>
      <c r="Z452" s="5"/>
      <c r="AA452" s="5"/>
      <c r="AC452" s="4"/>
      <c r="AD452" s="4"/>
      <c r="AE452" s="4"/>
      <c r="AF452" s="4"/>
      <c r="AG452" s="4"/>
      <c r="AP452" s="144"/>
      <c r="AQ452" s="144"/>
      <c r="AR452" s="144"/>
      <c r="AS452" s="144"/>
      <c r="AU452"/>
      <c r="AV452"/>
      <c r="AW452"/>
      <c r="AX452"/>
      <c r="AY452"/>
      <c r="AZ452"/>
      <c r="BA452"/>
      <c r="BB452"/>
    </row>
    <row r="453" spans="1:54" ht="15" customHeight="1">
      <c r="A453" s="926" t="str">
        <f>A452</f>
        <v>materiale diverse</v>
      </c>
      <c r="B453" s="922"/>
      <c r="C453" s="922"/>
      <c r="D453" s="922">
        <f>Formular!AV29</f>
        <v>0</v>
      </c>
      <c r="E453" s="922"/>
      <c r="F453" s="922"/>
      <c r="G453" s="922"/>
      <c r="H453" s="922"/>
      <c r="I453" s="922"/>
      <c r="J453" s="922"/>
      <c r="K453" s="922"/>
      <c r="L453" s="922"/>
      <c r="M453" s="922"/>
      <c r="N453" s="922"/>
      <c r="O453" s="922"/>
      <c r="P453" s="923"/>
      <c r="Q453" s="140">
        <f>IF(Formular!$A$52=2,Formular!BG29,IF(Formular!$A$52=3,Formular!BG29,IF(Formular!$A$52=1,0)))</f>
        <v>0</v>
      </c>
      <c r="R453" s="39">
        <f>Formular!BF29</f>
        <v>0</v>
      </c>
      <c r="S453" s="917">
        <f t="shared" ref="S453:S458" si="63">R453*Q453</f>
        <v>0</v>
      </c>
      <c r="T453" s="918"/>
      <c r="U453" s="353"/>
      <c r="V453" s="5"/>
      <c r="W453" s="5"/>
      <c r="X453" s="5"/>
      <c r="Y453" s="5"/>
      <c r="Z453" s="5"/>
      <c r="AA453" s="5"/>
      <c r="AC453" s="4"/>
      <c r="AD453" s="4"/>
      <c r="AE453" s="4"/>
      <c r="AF453" s="4"/>
      <c r="AG453" s="4"/>
      <c r="AP453" s="144"/>
      <c r="AQ453" s="144"/>
      <c r="AR453" s="144"/>
      <c r="AS453" s="144"/>
      <c r="AU453"/>
      <c r="AV453"/>
      <c r="AW453"/>
      <c r="AX453"/>
      <c r="AY453"/>
      <c r="AZ453"/>
      <c r="BA453"/>
      <c r="BB453"/>
    </row>
    <row r="454" spans="1:54" ht="15" customHeight="1">
      <c r="A454" s="926" t="str">
        <f>A453</f>
        <v>materiale diverse</v>
      </c>
      <c r="B454" s="922"/>
      <c r="C454" s="922"/>
      <c r="D454" s="922">
        <f>Formular!AV30</f>
        <v>0</v>
      </c>
      <c r="E454" s="922"/>
      <c r="F454" s="922"/>
      <c r="G454" s="922"/>
      <c r="H454" s="922"/>
      <c r="I454" s="922"/>
      <c r="J454" s="922"/>
      <c r="K454" s="922"/>
      <c r="L454" s="922"/>
      <c r="M454" s="922"/>
      <c r="N454" s="922"/>
      <c r="O454" s="922"/>
      <c r="P454" s="923"/>
      <c r="Q454" s="140">
        <f>IF(Formular!$A$52=2,Formular!BG30,IF(Formular!$A$52=3,Formular!BG30,IF(Formular!$A$52=1,0)))</f>
        <v>0</v>
      </c>
      <c r="R454" s="39">
        <f>Formular!BF30</f>
        <v>0</v>
      </c>
      <c r="S454" s="917">
        <f t="shared" si="63"/>
        <v>0</v>
      </c>
      <c r="T454" s="918"/>
      <c r="U454" s="353"/>
      <c r="V454" s="5"/>
      <c r="W454" s="5"/>
      <c r="X454" s="5"/>
      <c r="Y454" s="5"/>
      <c r="Z454" s="5"/>
      <c r="AA454" s="5"/>
      <c r="AC454" s="4"/>
      <c r="AD454" s="4"/>
      <c r="AE454" s="4"/>
      <c r="AF454" s="4"/>
      <c r="AG454" s="4"/>
      <c r="AP454" s="144"/>
      <c r="AQ454" s="144"/>
      <c r="AR454" s="144"/>
      <c r="AS454" s="144"/>
      <c r="AU454"/>
      <c r="AV454"/>
      <c r="AW454"/>
      <c r="AX454"/>
      <c r="AY454"/>
      <c r="AZ454"/>
      <c r="BA454"/>
      <c r="BB454"/>
    </row>
    <row r="455" spans="1:54" ht="15" customHeight="1">
      <c r="A455" s="926" t="str">
        <f>A454</f>
        <v>materiale diverse</v>
      </c>
      <c r="B455" s="922"/>
      <c r="C455" s="922"/>
      <c r="D455" s="922">
        <f>Formular!AV31</f>
        <v>0</v>
      </c>
      <c r="E455" s="922"/>
      <c r="F455" s="922"/>
      <c r="G455" s="922"/>
      <c r="H455" s="922"/>
      <c r="I455" s="922"/>
      <c r="J455" s="922"/>
      <c r="K455" s="922"/>
      <c r="L455" s="922"/>
      <c r="M455" s="922"/>
      <c r="N455" s="922"/>
      <c r="O455" s="922"/>
      <c r="P455" s="923"/>
      <c r="Q455" s="140">
        <f>IF(Formular!$A$52=2,Formular!BG31,IF(Formular!$A$52=3,Formular!BG31,IF(Formular!$A$52=1,0)))</f>
        <v>0</v>
      </c>
      <c r="R455" s="39">
        <f>Formular!BF31</f>
        <v>0</v>
      </c>
      <c r="S455" s="917">
        <f t="shared" si="63"/>
        <v>0</v>
      </c>
      <c r="T455" s="918"/>
      <c r="U455" s="353"/>
      <c r="V455" s="5"/>
      <c r="W455" s="5"/>
      <c r="X455" s="5"/>
      <c r="Y455" s="5"/>
      <c r="Z455" s="5"/>
      <c r="AA455" s="5"/>
      <c r="AC455" s="4"/>
      <c r="AD455" s="4"/>
      <c r="AE455" s="4"/>
      <c r="AF455" s="4"/>
      <c r="AG455" s="4"/>
      <c r="AP455" s="144"/>
      <c r="AQ455" s="144"/>
      <c r="AR455" s="144"/>
      <c r="AS455" s="144"/>
      <c r="AU455"/>
      <c r="AV455"/>
      <c r="AW455"/>
      <c r="AX455"/>
      <c r="AY455"/>
      <c r="AZ455"/>
      <c r="BA455"/>
      <c r="BB455"/>
    </row>
    <row r="456" spans="1:54" ht="15" customHeight="1">
      <c r="A456" s="926" t="str">
        <f>A455</f>
        <v>materiale diverse</v>
      </c>
      <c r="B456" s="922"/>
      <c r="C456" s="922"/>
      <c r="D456" s="922">
        <f>Formular!AV32</f>
        <v>0</v>
      </c>
      <c r="E456" s="922"/>
      <c r="F456" s="922"/>
      <c r="G456" s="922"/>
      <c r="H456" s="922"/>
      <c r="I456" s="922"/>
      <c r="J456" s="922"/>
      <c r="K456" s="922"/>
      <c r="L456" s="922"/>
      <c r="M456" s="922"/>
      <c r="N456" s="922"/>
      <c r="O456" s="922"/>
      <c r="P456" s="923"/>
      <c r="Q456" s="140">
        <f>IF(Formular!$A$52=2,Formular!BG32,IF(Formular!$A$52=3,Formular!BG32,IF(Formular!$A$52=1,0)))</f>
        <v>0</v>
      </c>
      <c r="R456" s="39">
        <f>Formular!BF32</f>
        <v>0</v>
      </c>
      <c r="S456" s="917">
        <f t="shared" si="63"/>
        <v>0</v>
      </c>
      <c r="T456" s="918"/>
      <c r="U456" s="353"/>
      <c r="V456" s="5"/>
      <c r="W456" s="5"/>
      <c r="X456" s="5"/>
      <c r="Y456" s="5"/>
      <c r="Z456" s="5"/>
      <c r="AA456" s="5"/>
      <c r="AC456" s="4"/>
      <c r="AD456" s="4"/>
      <c r="AE456" s="4"/>
      <c r="AF456" s="4"/>
      <c r="AG456" s="4"/>
      <c r="AP456" s="144"/>
      <c r="AQ456" s="144"/>
      <c r="AR456" s="144"/>
      <c r="AS456" s="144"/>
      <c r="AU456"/>
      <c r="AV456"/>
      <c r="AW456"/>
      <c r="AX456"/>
      <c r="AY456"/>
      <c r="AZ456"/>
      <c r="BA456"/>
      <c r="BB456"/>
    </row>
    <row r="457" spans="1:54" ht="15" customHeight="1">
      <c r="A457" s="919" t="str">
        <f>Formular!AV35</f>
        <v>Modul PANORAMA 1195*740mm (bucăți)</v>
      </c>
      <c r="B457" s="920"/>
      <c r="C457" s="920"/>
      <c r="D457" s="920"/>
      <c r="E457" s="920"/>
      <c r="F457" s="920"/>
      <c r="G457" s="220" t="s">
        <v>167</v>
      </c>
      <c r="H457" s="938">
        <f>Formular!BB34</f>
        <v>0</v>
      </c>
      <c r="I457" s="920"/>
      <c r="J457" s="922">
        <f>INDEX(Select!CE2:CE6,Select!CE1)</f>
        <v>0</v>
      </c>
      <c r="K457" s="922"/>
      <c r="L457" s="922"/>
      <c r="M457" s="922"/>
      <c r="N457" s="922"/>
      <c r="O457" s="922"/>
      <c r="P457" s="923"/>
      <c r="Q457" s="140">
        <f>Formular!BG35</f>
        <v>0</v>
      </c>
      <c r="R457" s="39">
        <f>IF(V457&lt;35,Info!C128,Info!C128)</f>
        <v>6.59</v>
      </c>
      <c r="S457" s="917">
        <f t="shared" si="63"/>
        <v>0</v>
      </c>
      <c r="T457" s="918"/>
      <c r="U457" s="353"/>
      <c r="V457" s="186">
        <f>1195*740/1000000*Q457</f>
        <v>0</v>
      </c>
      <c r="W457" s="186">
        <f>1140*740/1000000*Q457</f>
        <v>0</v>
      </c>
    </row>
    <row r="458" spans="1:54" ht="15" customHeight="1">
      <c r="A458" s="919" t="str">
        <f>Formular!AV36</f>
        <v>Tabla plană PANORAMA 1240*2000</v>
      </c>
      <c r="B458" s="920"/>
      <c r="C458" s="920"/>
      <c r="D458" s="920"/>
      <c r="E458" s="920"/>
      <c r="F458" s="920"/>
      <c r="G458" s="920"/>
      <c r="H458" s="920"/>
      <c r="I458" s="920"/>
      <c r="J458" s="922">
        <f>J457</f>
        <v>0</v>
      </c>
      <c r="K458" s="922"/>
      <c r="L458" s="922"/>
      <c r="M458" s="922"/>
      <c r="N458" s="922"/>
      <c r="O458" s="922"/>
      <c r="P458" s="923"/>
      <c r="Q458" s="206">
        <f>Formular!BG36</f>
        <v>0</v>
      </c>
      <c r="R458" s="205">
        <f>Info!C129</f>
        <v>18.63</v>
      </c>
      <c r="S458" s="917">
        <f t="shared" si="63"/>
        <v>0</v>
      </c>
      <c r="T458" s="918"/>
      <c r="U458" s="353"/>
    </row>
    <row r="459" spans="1:54" ht="15" customHeight="1">
      <c r="A459" s="919" t="str">
        <f>Formular!AV37</f>
        <v>Bordură specială calcan PANORAMA</v>
      </c>
      <c r="B459" s="920"/>
      <c r="C459" s="920"/>
      <c r="D459" s="920"/>
      <c r="E459" s="920"/>
      <c r="F459" s="920"/>
      <c r="G459" s="920"/>
      <c r="H459" s="920"/>
      <c r="I459" s="920"/>
      <c r="J459" s="922">
        <f t="shared" ref="J459:J480" si="64">J458</f>
        <v>0</v>
      </c>
      <c r="K459" s="922"/>
      <c r="L459" s="922"/>
      <c r="M459" s="922"/>
      <c r="N459" s="922"/>
      <c r="O459" s="922"/>
      <c r="P459" s="923"/>
      <c r="Q459" s="223">
        <f>Formular!BG37</f>
        <v>0</v>
      </c>
      <c r="R459" s="224">
        <f>Info!C130</f>
        <v>5.46</v>
      </c>
      <c r="S459" s="917">
        <f t="shared" ref="S459:S480" si="65">R459*Q459</f>
        <v>0</v>
      </c>
      <c r="T459" s="918"/>
      <c r="U459" s="353"/>
    </row>
    <row r="460" spans="1:54" ht="15" customHeight="1">
      <c r="A460" s="919" t="str">
        <f>Formular!AV38</f>
        <v>Coamă dreaptă mare PANORAMA</v>
      </c>
      <c r="B460" s="920"/>
      <c r="C460" s="920"/>
      <c r="D460" s="920"/>
      <c r="E460" s="920"/>
      <c r="F460" s="920"/>
      <c r="G460" s="920"/>
      <c r="H460" s="920"/>
      <c r="I460" s="920"/>
      <c r="J460" s="922">
        <f t="shared" si="64"/>
        <v>0</v>
      </c>
      <c r="K460" s="922"/>
      <c r="L460" s="922"/>
      <c r="M460" s="922"/>
      <c r="N460" s="922"/>
      <c r="O460" s="922"/>
      <c r="P460" s="923"/>
      <c r="Q460" s="223">
        <f>Formular!BG38</f>
        <v>0</v>
      </c>
      <c r="R460" s="224">
        <f>Info!C131</f>
        <v>7.28</v>
      </c>
      <c r="S460" s="917">
        <f t="shared" si="65"/>
        <v>0</v>
      </c>
      <c r="T460" s="918"/>
      <c r="U460" s="353"/>
    </row>
    <row r="461" spans="1:54" ht="15" customHeight="1">
      <c r="A461" s="919" t="str">
        <f>Formular!AV39</f>
        <v>Coamă dreaptă mică PANORAMA</v>
      </c>
      <c r="B461" s="920"/>
      <c r="C461" s="920"/>
      <c r="D461" s="920"/>
      <c r="E461" s="920"/>
      <c r="F461" s="920"/>
      <c r="G461" s="920"/>
      <c r="H461" s="920"/>
      <c r="I461" s="920"/>
      <c r="J461" s="922">
        <f t="shared" si="64"/>
        <v>0</v>
      </c>
      <c r="K461" s="922"/>
      <c r="L461" s="922"/>
      <c r="M461" s="922"/>
      <c r="N461" s="922"/>
      <c r="O461" s="922"/>
      <c r="P461" s="923"/>
      <c r="Q461" s="223">
        <f>Formular!BG39</f>
        <v>0</v>
      </c>
      <c r="R461" s="224">
        <f>Info!C132</f>
        <v>5.46</v>
      </c>
      <c r="S461" s="917">
        <f t="shared" si="65"/>
        <v>0</v>
      </c>
      <c r="T461" s="918"/>
      <c r="U461" s="353"/>
    </row>
    <row r="462" spans="1:54" ht="15" customHeight="1">
      <c r="A462" s="919" t="str">
        <f>Formular!AV40</f>
        <v>Coamă rotundă mică PANORAMA</v>
      </c>
      <c r="B462" s="920"/>
      <c r="C462" s="920"/>
      <c r="D462" s="920"/>
      <c r="E462" s="920"/>
      <c r="F462" s="920"/>
      <c r="G462" s="920"/>
      <c r="H462" s="920"/>
      <c r="I462" s="920"/>
      <c r="J462" s="922">
        <f t="shared" si="64"/>
        <v>0</v>
      </c>
      <c r="K462" s="922"/>
      <c r="L462" s="922"/>
      <c r="M462" s="922"/>
      <c r="N462" s="922"/>
      <c r="O462" s="922"/>
      <c r="P462" s="923"/>
      <c r="Q462" s="223">
        <f>Formular!BG40</f>
        <v>0</v>
      </c>
      <c r="R462" s="224">
        <f>Info!C133</f>
        <v>5.46</v>
      </c>
      <c r="S462" s="917">
        <f t="shared" si="65"/>
        <v>0</v>
      </c>
      <c r="T462" s="918"/>
      <c r="U462" s="353"/>
    </row>
    <row r="463" spans="1:54" ht="15" customHeight="1">
      <c r="A463" s="919" t="str">
        <f>Formular!AV41</f>
        <v>Coamă modulară PANORAMA 0,385mm</v>
      </c>
      <c r="B463" s="920"/>
      <c r="C463" s="920"/>
      <c r="D463" s="920"/>
      <c r="E463" s="920"/>
      <c r="F463" s="920"/>
      <c r="G463" s="920"/>
      <c r="H463" s="920"/>
      <c r="I463" s="920"/>
      <c r="J463" s="922">
        <f t="shared" si="64"/>
        <v>0</v>
      </c>
      <c r="K463" s="922"/>
      <c r="L463" s="922"/>
      <c r="M463" s="922"/>
      <c r="N463" s="922"/>
      <c r="O463" s="922"/>
      <c r="P463" s="923"/>
      <c r="Q463" s="223">
        <f>Formular!BG41</f>
        <v>0</v>
      </c>
      <c r="R463" s="224">
        <f>Info!C134</f>
        <v>2.42</v>
      </c>
      <c r="S463" s="917">
        <f t="shared" si="65"/>
        <v>0</v>
      </c>
      <c r="T463" s="918"/>
      <c r="U463" s="353"/>
    </row>
    <row r="464" spans="1:54" ht="15" customHeight="1">
      <c r="A464" s="919" t="str">
        <f>Formular!AV42</f>
        <v>Coamă rotundă mare PANORAMA</v>
      </c>
      <c r="B464" s="920"/>
      <c r="C464" s="920"/>
      <c r="D464" s="920"/>
      <c r="E464" s="920"/>
      <c r="F464" s="920"/>
      <c r="G464" s="920"/>
      <c r="H464" s="920"/>
      <c r="I464" s="920"/>
      <c r="J464" s="922">
        <f t="shared" si="64"/>
        <v>0</v>
      </c>
      <c r="K464" s="922"/>
      <c r="L464" s="922"/>
      <c r="M464" s="922"/>
      <c r="N464" s="922"/>
      <c r="O464" s="922"/>
      <c r="P464" s="923"/>
      <c r="Q464" s="223">
        <f>Formular!BG42</f>
        <v>0</v>
      </c>
      <c r="R464" s="224">
        <f>Info!C135</f>
        <v>7.28</v>
      </c>
      <c r="S464" s="917">
        <f t="shared" si="65"/>
        <v>0</v>
      </c>
      <c r="T464" s="918"/>
      <c r="U464" s="353"/>
    </row>
    <row r="465" spans="1:54" ht="15" customHeight="1">
      <c r="A465" s="919" t="str">
        <f>Formular!AV43</f>
        <v>Capac coamă PANORAMA</v>
      </c>
      <c r="B465" s="920"/>
      <c r="C465" s="920"/>
      <c r="D465" s="920"/>
      <c r="E465" s="920"/>
      <c r="F465" s="920"/>
      <c r="G465" s="920"/>
      <c r="H465" s="920"/>
      <c r="I465" s="920"/>
      <c r="J465" s="922">
        <f t="shared" si="64"/>
        <v>0</v>
      </c>
      <c r="K465" s="922"/>
      <c r="L465" s="922"/>
      <c r="M465" s="922"/>
      <c r="N465" s="922"/>
      <c r="O465" s="922"/>
      <c r="P465" s="923"/>
      <c r="Q465" s="223">
        <f>Formular!BG43</f>
        <v>0</v>
      </c>
      <c r="R465" s="224">
        <f>Info!C136</f>
        <v>1.89</v>
      </c>
      <c r="S465" s="917">
        <f t="shared" si="65"/>
        <v>0</v>
      </c>
      <c r="T465" s="918"/>
      <c r="U465" s="353"/>
    </row>
    <row r="466" spans="1:54" ht="15" customHeight="1">
      <c r="A466" s="919" t="str">
        <f>Formular!AV44</f>
        <v>Colector fronton PANORAMA</v>
      </c>
      <c r="B466" s="920"/>
      <c r="C466" s="920"/>
      <c r="D466" s="920"/>
      <c r="E466" s="920"/>
      <c r="F466" s="920"/>
      <c r="G466" s="920"/>
      <c r="H466" s="920"/>
      <c r="I466" s="920"/>
      <c r="J466" s="922">
        <f t="shared" si="64"/>
        <v>0</v>
      </c>
      <c r="K466" s="922"/>
      <c r="L466" s="922"/>
      <c r="M466" s="922"/>
      <c r="N466" s="922"/>
      <c r="O466" s="922"/>
      <c r="P466" s="923"/>
      <c r="Q466" s="223">
        <f>Formular!BG44</f>
        <v>0</v>
      </c>
      <c r="R466" s="224">
        <f>Info!C137</f>
        <v>2.73</v>
      </c>
      <c r="S466" s="917">
        <f t="shared" si="65"/>
        <v>0</v>
      </c>
      <c r="T466" s="918"/>
      <c r="U466" s="353"/>
    </row>
    <row r="467" spans="1:54" ht="15" customHeight="1">
      <c r="A467" s="919" t="str">
        <f>Formular!AV45</f>
        <v>Racord calcan PANORAMA</v>
      </c>
      <c r="B467" s="920"/>
      <c r="C467" s="920"/>
      <c r="D467" s="920"/>
      <c r="E467" s="920"/>
      <c r="F467" s="920"/>
      <c r="G467" s="920"/>
      <c r="H467" s="920"/>
      <c r="I467" s="920"/>
      <c r="J467" s="922">
        <f t="shared" si="64"/>
        <v>0</v>
      </c>
      <c r="K467" s="922"/>
      <c r="L467" s="922"/>
      <c r="M467" s="922"/>
      <c r="N467" s="922"/>
      <c r="O467" s="922"/>
      <c r="P467" s="923"/>
      <c r="Q467" s="223">
        <f>Formular!BG45</f>
        <v>0</v>
      </c>
      <c r="R467" s="224">
        <f>Info!C138</f>
        <v>3.64</v>
      </c>
      <c r="S467" s="917">
        <f t="shared" si="65"/>
        <v>0</v>
      </c>
      <c r="T467" s="918"/>
      <c r="U467" s="353"/>
    </row>
    <row r="468" spans="1:54" ht="15" customHeight="1">
      <c r="A468" s="919" t="str">
        <f>Formular!AV46</f>
        <v>Dolie PANORAMA</v>
      </c>
      <c r="B468" s="920"/>
      <c r="C468" s="920"/>
      <c r="D468" s="920"/>
      <c r="E468" s="920"/>
      <c r="F468" s="920"/>
      <c r="G468" s="920"/>
      <c r="H468" s="920"/>
      <c r="I468" s="920"/>
      <c r="J468" s="922">
        <f t="shared" si="64"/>
        <v>0</v>
      </c>
      <c r="K468" s="922"/>
      <c r="L468" s="922"/>
      <c r="M468" s="922"/>
      <c r="N468" s="922"/>
      <c r="O468" s="922"/>
      <c r="P468" s="923"/>
      <c r="Q468" s="223">
        <f>Formular!BG46</f>
        <v>0</v>
      </c>
      <c r="R468" s="224">
        <f>Info!C139</f>
        <v>7.28</v>
      </c>
      <c r="S468" s="917">
        <f t="shared" si="65"/>
        <v>0</v>
      </c>
      <c r="T468" s="918"/>
      <c r="U468" s="353"/>
    </row>
    <row r="469" spans="1:54" ht="15" customHeight="1">
      <c r="A469" s="919" t="str">
        <f>Formular!AV47</f>
        <v>Opritor zăpadă PANORAMA</v>
      </c>
      <c r="B469" s="920"/>
      <c r="C469" s="920"/>
      <c r="D469" s="920"/>
      <c r="E469" s="920"/>
      <c r="F469" s="920"/>
      <c r="G469" s="920"/>
      <c r="H469" s="920"/>
      <c r="I469" s="920"/>
      <c r="J469" s="922">
        <f t="shared" si="64"/>
        <v>0</v>
      </c>
      <c r="K469" s="922"/>
      <c r="L469" s="922"/>
      <c r="M469" s="922"/>
      <c r="N469" s="922"/>
      <c r="O469" s="922"/>
      <c r="P469" s="923"/>
      <c r="Q469" s="223">
        <f>Formular!BG47</f>
        <v>0</v>
      </c>
      <c r="R469" s="224">
        <f>Info!C140</f>
        <v>0.65</v>
      </c>
      <c r="S469" s="917">
        <f t="shared" si="65"/>
        <v>0</v>
      </c>
      <c r="T469" s="918"/>
      <c r="U469" s="353"/>
    </row>
    <row r="470" spans="1:54" ht="15" customHeight="1">
      <c r="A470" s="919" t="str">
        <f>Formular!AV48</f>
        <v>Pazie tip 1 PANORAMA</v>
      </c>
      <c r="B470" s="920"/>
      <c r="C470" s="920"/>
      <c r="D470" s="920"/>
      <c r="E470" s="920"/>
      <c r="F470" s="920"/>
      <c r="G470" s="920"/>
      <c r="H470" s="920"/>
      <c r="I470" s="920"/>
      <c r="J470" s="922">
        <f t="shared" si="64"/>
        <v>0</v>
      </c>
      <c r="K470" s="922"/>
      <c r="L470" s="922"/>
      <c r="M470" s="922"/>
      <c r="N470" s="922"/>
      <c r="O470" s="922"/>
      <c r="P470" s="923"/>
      <c r="Q470" s="223">
        <f>Formular!BG48</f>
        <v>0</v>
      </c>
      <c r="R470" s="224">
        <f>Info!C141</f>
        <v>5.46</v>
      </c>
      <c r="S470" s="917">
        <f t="shared" si="65"/>
        <v>0</v>
      </c>
      <c r="T470" s="918"/>
      <c r="U470" s="353"/>
    </row>
    <row r="471" spans="1:54" ht="15" customHeight="1">
      <c r="A471" s="919" t="str">
        <f>Formular!AV49</f>
        <v>Pazie modulară stânga PANORAMA</v>
      </c>
      <c r="B471" s="920"/>
      <c r="C471" s="920"/>
      <c r="D471" s="920"/>
      <c r="E471" s="920"/>
      <c r="F471" s="920"/>
      <c r="G471" s="920"/>
      <c r="H471" s="920"/>
      <c r="I471" s="920"/>
      <c r="J471" s="922">
        <f t="shared" si="64"/>
        <v>0</v>
      </c>
      <c r="K471" s="922"/>
      <c r="L471" s="922"/>
      <c r="M471" s="922"/>
      <c r="N471" s="922"/>
      <c r="O471" s="922"/>
      <c r="P471" s="923"/>
      <c r="Q471" s="223">
        <f>Formular!BG49</f>
        <v>0</v>
      </c>
      <c r="R471" s="224">
        <f>Info!C142</f>
        <v>1.98</v>
      </c>
      <c r="S471" s="917">
        <f t="shared" si="65"/>
        <v>0</v>
      </c>
      <c r="T471" s="918"/>
      <c r="U471" s="353"/>
    </row>
    <row r="472" spans="1:54" ht="15" customHeight="1">
      <c r="A472" s="919" t="str">
        <f>Formular!AV50</f>
        <v>Pazie modulară dreapta PANORAMA</v>
      </c>
      <c r="B472" s="920"/>
      <c r="C472" s="920"/>
      <c r="D472" s="920"/>
      <c r="E472" s="920"/>
      <c r="F472" s="920"/>
      <c r="G472" s="920"/>
      <c r="H472" s="920"/>
      <c r="I472" s="920"/>
      <c r="J472" s="922">
        <f t="shared" si="64"/>
        <v>0</v>
      </c>
      <c r="K472" s="922"/>
      <c r="L472" s="922"/>
      <c r="M472" s="922"/>
      <c r="N472" s="922"/>
      <c r="O472" s="922"/>
      <c r="P472" s="923"/>
      <c r="Q472" s="223">
        <f>Formular!BG50</f>
        <v>0</v>
      </c>
      <c r="R472" s="224">
        <f>Info!C143</f>
        <v>1.98</v>
      </c>
      <c r="S472" s="917">
        <f t="shared" si="65"/>
        <v>0</v>
      </c>
      <c r="T472" s="918"/>
      <c r="U472" s="353"/>
    </row>
    <row r="473" spans="1:54" ht="15" customHeight="1">
      <c r="A473" s="919" t="str">
        <f>Formular!AV51</f>
        <v>Pazie streașină PANORAMA</v>
      </c>
      <c r="B473" s="920"/>
      <c r="C473" s="920"/>
      <c r="D473" s="920"/>
      <c r="E473" s="920"/>
      <c r="F473" s="920"/>
      <c r="G473" s="920"/>
      <c r="H473" s="920"/>
      <c r="I473" s="920"/>
      <c r="J473" s="922">
        <f t="shared" si="64"/>
        <v>0</v>
      </c>
      <c r="K473" s="922"/>
      <c r="L473" s="922"/>
      <c r="M473" s="922"/>
      <c r="N473" s="922"/>
      <c r="O473" s="922"/>
      <c r="P473" s="923"/>
      <c r="Q473" s="223">
        <f>Formular!BG51</f>
        <v>0</v>
      </c>
      <c r="R473" s="224">
        <f>Info!C144</f>
        <v>2.73</v>
      </c>
      <c r="S473" s="917">
        <f t="shared" si="65"/>
        <v>0</v>
      </c>
      <c r="T473" s="918"/>
      <c r="U473" s="353"/>
    </row>
    <row r="474" spans="1:54" ht="15" customHeight="1">
      <c r="A474" s="919" t="str">
        <f>Formular!AV52</f>
        <v>Parazăpadă ranforsată PANORAMA</v>
      </c>
      <c r="B474" s="920"/>
      <c r="C474" s="920"/>
      <c r="D474" s="920"/>
      <c r="E474" s="920"/>
      <c r="F474" s="920"/>
      <c r="G474" s="920"/>
      <c r="H474" s="920"/>
      <c r="I474" s="920"/>
      <c r="J474" s="922">
        <f t="shared" si="64"/>
        <v>0</v>
      </c>
      <c r="K474" s="922"/>
      <c r="L474" s="922"/>
      <c r="M474" s="922"/>
      <c r="N474" s="922"/>
      <c r="O474" s="922"/>
      <c r="P474" s="923"/>
      <c r="Q474" s="223">
        <f>Formular!BG52</f>
        <v>0</v>
      </c>
      <c r="R474" s="224">
        <f>Info!C145</f>
        <v>4.37</v>
      </c>
      <c r="S474" s="917">
        <f t="shared" si="65"/>
        <v>0</v>
      </c>
      <c r="T474" s="918"/>
      <c r="U474" s="353"/>
    </row>
    <row r="475" spans="1:54" s="77" customFormat="1" ht="15" customHeight="1">
      <c r="A475" s="919" t="str">
        <f>Formular!AV53</f>
        <v>Șort rupere SRA PANORAMA</v>
      </c>
      <c r="B475" s="920"/>
      <c r="C475" s="920"/>
      <c r="D475" s="920"/>
      <c r="E475" s="920"/>
      <c r="F475" s="920"/>
      <c r="G475" s="920"/>
      <c r="H475" s="920"/>
      <c r="I475" s="920"/>
      <c r="J475" s="922">
        <f t="shared" si="64"/>
        <v>0</v>
      </c>
      <c r="K475" s="922"/>
      <c r="L475" s="922"/>
      <c r="M475" s="922"/>
      <c r="N475" s="922"/>
      <c r="O475" s="922"/>
      <c r="P475" s="923"/>
      <c r="Q475" s="223">
        <f>Formular!BG53</f>
        <v>0</v>
      </c>
      <c r="R475" s="224">
        <f>Info!C146</f>
        <v>4.37</v>
      </c>
      <c r="S475" s="917">
        <f t="shared" si="65"/>
        <v>0</v>
      </c>
      <c r="T475" s="918"/>
      <c r="U475" s="353"/>
      <c r="V475" s="4"/>
      <c r="W475" s="4"/>
      <c r="X475" s="4"/>
      <c r="Y475" s="4"/>
      <c r="Z475" s="4"/>
      <c r="AA475" s="4"/>
      <c r="AB475" s="4"/>
      <c r="AC475" s="5"/>
      <c r="AD475" s="5"/>
      <c r="AE475" s="5"/>
      <c r="AF475" s="5"/>
      <c r="AG475" s="5"/>
      <c r="AH475" s="4"/>
      <c r="AI475" s="4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5"/>
      <c r="AV475" s="5"/>
      <c r="AW475" s="5"/>
      <c r="AX475" s="5"/>
      <c r="AY475" s="5"/>
      <c r="AZ475" s="5"/>
      <c r="BA475" s="5"/>
      <c r="BB475" s="5"/>
    </row>
    <row r="476" spans="1:54" s="77" customFormat="1" ht="15" customHeight="1">
      <c r="A476" s="919" t="str">
        <f>Formular!AV54</f>
        <v>Șort rupere vertical SRV PANORAMA</v>
      </c>
      <c r="B476" s="920"/>
      <c r="C476" s="920"/>
      <c r="D476" s="920"/>
      <c r="E476" s="920"/>
      <c r="F476" s="920"/>
      <c r="G476" s="920"/>
      <c r="H476" s="920"/>
      <c r="I476" s="920"/>
      <c r="J476" s="922">
        <f t="shared" si="64"/>
        <v>0</v>
      </c>
      <c r="K476" s="922"/>
      <c r="L476" s="922"/>
      <c r="M476" s="922"/>
      <c r="N476" s="922"/>
      <c r="O476" s="922"/>
      <c r="P476" s="923"/>
      <c r="Q476" s="223">
        <f>Formular!BG54</f>
        <v>0</v>
      </c>
      <c r="R476" s="224">
        <f>Info!C147</f>
        <v>4.37</v>
      </c>
      <c r="S476" s="917">
        <f t="shared" si="65"/>
        <v>0</v>
      </c>
      <c r="T476" s="918"/>
      <c r="U476" s="353"/>
      <c r="V476" s="4"/>
      <c r="W476" s="4"/>
      <c r="X476" s="4"/>
      <c r="Y476" s="4"/>
      <c r="Z476" s="4"/>
      <c r="AA476" s="4"/>
      <c r="AB476" s="4"/>
      <c r="AC476" s="5"/>
      <c r="AD476" s="5"/>
      <c r="AE476" s="5"/>
      <c r="AF476" s="5"/>
      <c r="AG476" s="5"/>
      <c r="AH476" s="4"/>
      <c r="AI476" s="4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5"/>
      <c r="AV476" s="5"/>
      <c r="AW476" s="5"/>
      <c r="AX476" s="5"/>
      <c r="AY476" s="5"/>
      <c r="AZ476" s="5"/>
      <c r="BA476" s="5"/>
      <c r="BB476" s="5"/>
    </row>
    <row r="477" spans="1:54" s="77" customFormat="1" ht="15" customHeight="1">
      <c r="A477" s="919" t="str">
        <f>Formular!AV55</f>
        <v>Șort streașină PANORAMA</v>
      </c>
      <c r="B477" s="920"/>
      <c r="C477" s="920"/>
      <c r="D477" s="920"/>
      <c r="E477" s="920"/>
      <c r="F477" s="920"/>
      <c r="G477" s="920"/>
      <c r="H477" s="920"/>
      <c r="I477" s="920"/>
      <c r="J477" s="922">
        <f t="shared" si="64"/>
        <v>0</v>
      </c>
      <c r="K477" s="922"/>
      <c r="L477" s="922"/>
      <c r="M477" s="922"/>
      <c r="N477" s="922"/>
      <c r="O477" s="922"/>
      <c r="P477" s="923"/>
      <c r="Q477" s="223">
        <f>Formular!BG55</f>
        <v>0</v>
      </c>
      <c r="R477" s="224">
        <f>Info!C148</f>
        <v>3.12</v>
      </c>
      <c r="S477" s="917">
        <f t="shared" si="65"/>
        <v>0</v>
      </c>
      <c r="T477" s="918"/>
      <c r="U477" s="353"/>
      <c r="V477" s="4"/>
      <c r="W477" s="4"/>
      <c r="X477" s="4"/>
      <c r="Y477" s="4"/>
      <c r="Z477" s="4"/>
      <c r="AA477" s="4"/>
      <c r="AB477" s="4"/>
      <c r="AC477" s="5"/>
      <c r="AD477" s="5"/>
      <c r="AE477" s="5"/>
      <c r="AF477" s="5"/>
      <c r="AG477" s="5"/>
      <c r="AH477" s="4"/>
      <c r="AI477" s="4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5"/>
      <c r="AV477" s="5"/>
      <c r="AW477" s="5"/>
      <c r="AX477" s="5"/>
      <c r="AY477" s="5"/>
      <c r="AZ477" s="5"/>
      <c r="BA477" s="5"/>
      <c r="BB477" s="5"/>
    </row>
    <row r="478" spans="1:54" ht="15" customHeight="1">
      <c r="A478" s="919" t="str">
        <f>Formular!AV56</f>
        <v>Set coș fum PANORAMA</v>
      </c>
      <c r="B478" s="920"/>
      <c r="C478" s="920"/>
      <c r="D478" s="920"/>
      <c r="E478" s="920"/>
      <c r="F478" s="920"/>
      <c r="G478" s="920"/>
      <c r="H478" s="920"/>
      <c r="I478" s="920"/>
      <c r="J478" s="922">
        <f t="shared" si="64"/>
        <v>0</v>
      </c>
      <c r="K478" s="922"/>
      <c r="L478" s="922"/>
      <c r="M478" s="922"/>
      <c r="N478" s="922"/>
      <c r="O478" s="922"/>
      <c r="P478" s="923"/>
      <c r="Q478" s="223">
        <f>Formular!BG56</f>
        <v>0</v>
      </c>
      <c r="R478" s="224">
        <f>Info!C149</f>
        <v>21.93</v>
      </c>
      <c r="S478" s="917">
        <f t="shared" si="65"/>
        <v>0</v>
      </c>
      <c r="T478" s="918"/>
      <c r="U478" s="353"/>
    </row>
    <row r="479" spans="1:54" ht="15" customHeight="1">
      <c r="A479" s="926" t="str">
        <f>Formular!AV57</f>
        <v>Șurub cap torx 4,8x20 RAL 250 buc/cutie RAL:</v>
      </c>
      <c r="B479" s="922"/>
      <c r="C479" s="922"/>
      <c r="D479" s="922"/>
      <c r="E479" s="922"/>
      <c r="F479" s="922"/>
      <c r="G479" s="922">
        <f>Formular!BE57</f>
        <v>0</v>
      </c>
      <c r="H479" s="922"/>
      <c r="I479" s="922"/>
      <c r="J479" s="922">
        <f t="shared" si="64"/>
        <v>0</v>
      </c>
      <c r="K479" s="922"/>
      <c r="L479" s="922"/>
      <c r="M479" s="922"/>
      <c r="N479" s="922"/>
      <c r="O479" s="922"/>
      <c r="P479" s="923"/>
      <c r="Q479" s="223">
        <f>Formular!BG57</f>
        <v>0</v>
      </c>
      <c r="R479" s="224">
        <f>Info!C150</f>
        <v>14.46</v>
      </c>
      <c r="S479" s="917">
        <f t="shared" si="65"/>
        <v>0</v>
      </c>
      <c r="T479" s="918"/>
      <c r="U479" s="353"/>
    </row>
    <row r="480" spans="1:54" ht="15" customHeight="1">
      <c r="A480" s="926" t="str">
        <f>Formular!AV58</f>
        <v>Șurub cap torx 4,8x35 RAL 250 buc/cutie RAL:</v>
      </c>
      <c r="B480" s="922"/>
      <c r="C480" s="922"/>
      <c r="D480" s="922"/>
      <c r="E480" s="922"/>
      <c r="F480" s="922"/>
      <c r="G480" s="922">
        <f>Formular!BE58</f>
        <v>0</v>
      </c>
      <c r="H480" s="922"/>
      <c r="I480" s="922"/>
      <c r="J480" s="922">
        <f t="shared" si="64"/>
        <v>0</v>
      </c>
      <c r="K480" s="922"/>
      <c r="L480" s="922"/>
      <c r="M480" s="922"/>
      <c r="N480" s="922"/>
      <c r="O480" s="922"/>
      <c r="P480" s="923"/>
      <c r="Q480" s="223">
        <f>Formular!BG58</f>
        <v>0</v>
      </c>
      <c r="R480" s="224">
        <f>Info!C151</f>
        <v>15.47</v>
      </c>
      <c r="S480" s="917">
        <f t="shared" si="65"/>
        <v>0</v>
      </c>
      <c r="T480" s="918"/>
      <c r="U480" s="353"/>
    </row>
    <row r="481" spans="1:54" ht="15" customHeight="1">
      <c r="A481" s="935" t="str">
        <f>Formular!AV59</f>
        <v>B. Specială Pan. Lățime x 2000</v>
      </c>
      <c r="B481" s="928"/>
      <c r="C481" s="928"/>
      <c r="D481" s="928"/>
      <c r="E481" s="922">
        <f>J480</f>
        <v>0</v>
      </c>
      <c r="F481" s="922"/>
      <c r="G481" s="922">
        <f>Formular!BA59</f>
        <v>0</v>
      </c>
      <c r="H481" s="922"/>
      <c r="I481" s="922"/>
      <c r="J481" s="922">
        <f>Formular!BE59</f>
        <v>2000</v>
      </c>
      <c r="K481" s="922"/>
      <c r="L481" s="922"/>
      <c r="M481" s="922"/>
      <c r="N481" s="922"/>
      <c r="O481" s="922"/>
      <c r="P481" s="923"/>
      <c r="Q481" s="223">
        <f>Formular!BG59</f>
        <v>0</v>
      </c>
      <c r="R481" s="205">
        <f>Info!C152</f>
        <v>11.41</v>
      </c>
      <c r="S481" s="917">
        <f>G481*J481/1000000*Q481*R481</f>
        <v>0</v>
      </c>
      <c r="T481" s="918"/>
      <c r="U481" s="353"/>
    </row>
    <row r="482" spans="1:54" ht="15" customHeight="1">
      <c r="A482" s="935" t="str">
        <f>Formular!AV60</f>
        <v>B. Specială Pan. Lățime x 2000</v>
      </c>
      <c r="B482" s="928"/>
      <c r="C482" s="928"/>
      <c r="D482" s="928"/>
      <c r="E482" s="922">
        <f>E481</f>
        <v>0</v>
      </c>
      <c r="F482" s="922"/>
      <c r="G482" s="922">
        <f>Formular!BA60</f>
        <v>0</v>
      </c>
      <c r="H482" s="922"/>
      <c r="I482" s="922"/>
      <c r="J482" s="922">
        <f>Formular!BE60</f>
        <v>2000</v>
      </c>
      <c r="K482" s="922"/>
      <c r="L482" s="922"/>
      <c r="M482" s="922"/>
      <c r="N482" s="922"/>
      <c r="O482" s="922"/>
      <c r="P482" s="923"/>
      <c r="Q482" s="206">
        <f>Formular!BG60</f>
        <v>0</v>
      </c>
      <c r="R482" s="203">
        <f>R481</f>
        <v>11.41</v>
      </c>
      <c r="S482" s="917">
        <f t="shared" ref="S482:S484" si="66">G482*J482/1000000*Q482*R482</f>
        <v>0</v>
      </c>
      <c r="T482" s="918"/>
      <c r="U482" s="353"/>
      <c r="V482" s="5"/>
      <c r="W482" s="5"/>
      <c r="X482" s="5"/>
      <c r="Y482" s="5"/>
      <c r="Z482" s="5"/>
      <c r="AA482" s="5"/>
      <c r="AC482" s="4"/>
      <c r="AD482" s="4"/>
      <c r="AE482" s="4"/>
      <c r="AF482" s="4"/>
      <c r="AG482" s="4"/>
      <c r="AP482" s="144"/>
      <c r="AQ482" s="144"/>
      <c r="AR482" s="144"/>
      <c r="AS482" s="144"/>
      <c r="AU482"/>
      <c r="AV482"/>
      <c r="AW482"/>
      <c r="AX482"/>
      <c r="AY482"/>
      <c r="AZ482"/>
      <c r="BA482"/>
      <c r="BB482"/>
    </row>
    <row r="483" spans="1:54" ht="15" customHeight="1">
      <c r="A483" s="935" t="str">
        <f>Formular!AV61</f>
        <v>B. Specială Pan. Lățime x 2000</v>
      </c>
      <c r="B483" s="928"/>
      <c r="C483" s="928"/>
      <c r="D483" s="928"/>
      <c r="E483" s="922">
        <f t="shared" ref="E483:E484" si="67">E482</f>
        <v>0</v>
      </c>
      <c r="F483" s="922"/>
      <c r="G483" s="922">
        <f>Formular!BA61</f>
        <v>0</v>
      </c>
      <c r="H483" s="922"/>
      <c r="I483" s="922"/>
      <c r="J483" s="922">
        <f>Formular!BE61</f>
        <v>2000</v>
      </c>
      <c r="K483" s="922"/>
      <c r="L483" s="922"/>
      <c r="M483" s="922"/>
      <c r="N483" s="922"/>
      <c r="O483" s="922"/>
      <c r="P483" s="923"/>
      <c r="Q483" s="206">
        <f>Formular!BG61</f>
        <v>0</v>
      </c>
      <c r="R483" s="203">
        <f>R482</f>
        <v>11.41</v>
      </c>
      <c r="S483" s="917">
        <f t="shared" si="66"/>
        <v>0</v>
      </c>
      <c r="T483" s="918"/>
      <c r="U483" s="353"/>
      <c r="V483" s="5"/>
      <c r="W483" s="5"/>
      <c r="X483" s="5"/>
      <c r="Y483" s="5"/>
      <c r="Z483" s="5"/>
      <c r="AA483" s="5"/>
      <c r="AC483" s="4"/>
      <c r="AD483" s="4"/>
      <c r="AE483" s="4"/>
      <c r="AF483" s="4"/>
      <c r="AG483" s="4"/>
      <c r="AP483" s="144"/>
      <c r="AQ483" s="144"/>
      <c r="AR483" s="144"/>
      <c r="AS483" s="144"/>
      <c r="AU483"/>
      <c r="AV483"/>
      <c r="AW483"/>
      <c r="AX483"/>
      <c r="AY483"/>
      <c r="AZ483"/>
      <c r="BA483"/>
      <c r="BB483"/>
    </row>
    <row r="484" spans="1:54" ht="15" customHeight="1">
      <c r="A484" s="935" t="str">
        <f>Formular!AV62</f>
        <v>B. Specială Pan. Lățime x 2000</v>
      </c>
      <c r="B484" s="928"/>
      <c r="C484" s="928"/>
      <c r="D484" s="928"/>
      <c r="E484" s="922">
        <f t="shared" si="67"/>
        <v>0</v>
      </c>
      <c r="F484" s="922"/>
      <c r="G484" s="922">
        <f>Formular!BA62</f>
        <v>0</v>
      </c>
      <c r="H484" s="922"/>
      <c r="I484" s="922"/>
      <c r="J484" s="922">
        <f>Formular!BE62</f>
        <v>2000</v>
      </c>
      <c r="K484" s="922"/>
      <c r="L484" s="922"/>
      <c r="M484" s="922"/>
      <c r="N484" s="922"/>
      <c r="O484" s="922"/>
      <c r="P484" s="923"/>
      <c r="Q484" s="206">
        <f>Formular!BG62</f>
        <v>0</v>
      </c>
      <c r="R484" s="203">
        <f>R483</f>
        <v>11.41</v>
      </c>
      <c r="S484" s="917">
        <f t="shared" si="66"/>
        <v>0</v>
      </c>
      <c r="T484" s="918"/>
      <c r="U484" s="353"/>
      <c r="V484" s="5"/>
      <c r="W484" s="5"/>
      <c r="X484" s="5"/>
      <c r="Y484" s="5"/>
      <c r="Z484" s="5"/>
      <c r="AA484" s="5"/>
      <c r="AC484" s="4"/>
      <c r="AD484" s="4"/>
      <c r="AE484" s="4"/>
      <c r="AF484" s="4"/>
      <c r="AG484" s="4"/>
      <c r="AP484" s="144"/>
      <c r="AQ484" s="144"/>
      <c r="AR484" s="144"/>
      <c r="AS484" s="144"/>
      <c r="AU484"/>
      <c r="AV484"/>
      <c r="AW484"/>
      <c r="AX484"/>
      <c r="AY484"/>
      <c r="AZ484"/>
      <c r="BA484"/>
      <c r="BB484"/>
    </row>
    <row r="485" spans="1:54" s="73" customFormat="1" ht="15" customHeight="1">
      <c r="A485" s="926" t="str">
        <f>Lang!A412</f>
        <v>SCULE</v>
      </c>
      <c r="B485" s="922"/>
      <c r="C485" s="922"/>
      <c r="D485" s="922" t="str">
        <f>Formular!BH43</f>
        <v>Foarfeca pelican</v>
      </c>
      <c r="E485" s="922"/>
      <c r="F485" s="922"/>
      <c r="G485" s="922"/>
      <c r="H485" s="922"/>
      <c r="I485" s="922"/>
      <c r="J485" s="922"/>
      <c r="K485" s="922"/>
      <c r="L485" s="922"/>
      <c r="M485" s="922"/>
      <c r="N485" s="922"/>
      <c r="O485" s="922"/>
      <c r="P485" s="923"/>
      <c r="Q485" s="75">
        <f>Formular!BM43</f>
        <v>0</v>
      </c>
      <c r="R485" s="74">
        <f>Info!D358</f>
        <v>49.97</v>
      </c>
      <c r="S485" s="917">
        <f t="shared" ref="S485:S504" si="68">R485*Q485</f>
        <v>0</v>
      </c>
      <c r="T485" s="918"/>
      <c r="U485" s="353"/>
      <c r="V485" s="5"/>
      <c r="W485" s="5"/>
      <c r="X485" s="5"/>
      <c r="Y485" s="5"/>
      <c r="Z485" s="5"/>
      <c r="AA485" s="5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/>
      <c r="AO485" s="4"/>
      <c r="AP485" s="144"/>
      <c r="AQ485" s="144"/>
      <c r="AR485" s="144"/>
      <c r="AS485" s="144"/>
      <c r="AT485" s="4"/>
    </row>
    <row r="486" spans="1:54" s="73" customFormat="1" ht="15" customHeight="1">
      <c r="A486" s="926" t="str">
        <f>A485</f>
        <v>SCULE</v>
      </c>
      <c r="B486" s="922"/>
      <c r="C486" s="922"/>
      <c r="D486" s="922" t="str">
        <f>Formular!BH44&amp;" "&amp;INDEX(Select!CN2:CN4,Select!CN1)</f>
        <v xml:space="preserve">Foarfeca combinata  </v>
      </c>
      <c r="E486" s="922"/>
      <c r="F486" s="922"/>
      <c r="G486" s="922"/>
      <c r="H486" s="922"/>
      <c r="I486" s="922"/>
      <c r="J486" s="922"/>
      <c r="K486" s="922"/>
      <c r="L486" s="922"/>
      <c r="M486" s="922"/>
      <c r="N486" s="922"/>
      <c r="O486" s="922"/>
      <c r="P486" s="923"/>
      <c r="Q486" s="75">
        <f>Formular!BM44</f>
        <v>0</v>
      </c>
      <c r="R486" s="127">
        <f>Info!D359</f>
        <v>38.229999999999997</v>
      </c>
      <c r="S486" s="917">
        <f t="shared" si="68"/>
        <v>0</v>
      </c>
      <c r="T486" s="918"/>
      <c r="U486" s="353"/>
      <c r="V486" s="5"/>
      <c r="W486" s="5"/>
      <c r="X486" s="5"/>
      <c r="Y486" s="5"/>
      <c r="Z486" s="5"/>
      <c r="AA486" s="5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/>
      <c r="AO486" s="4"/>
      <c r="AP486" s="144"/>
      <c r="AQ486" s="144"/>
      <c r="AR486" s="144"/>
      <c r="AS486" s="144"/>
      <c r="AT486" s="4"/>
    </row>
    <row r="487" spans="1:54" s="73" customFormat="1" ht="15" customHeight="1">
      <c r="A487" s="926" t="str">
        <f t="shared" ref="A487:A504" si="69">A486</f>
        <v>SCULE</v>
      </c>
      <c r="B487" s="922"/>
      <c r="C487" s="922"/>
      <c r="D487" s="922" t="str">
        <f>Formular!BH45&amp;" "&amp;INDEX(Select!CO2:CO4,Select!CO1)</f>
        <v xml:space="preserve">Foarfeca circulara  </v>
      </c>
      <c r="E487" s="922"/>
      <c r="F487" s="922"/>
      <c r="G487" s="922"/>
      <c r="H487" s="922"/>
      <c r="I487" s="922"/>
      <c r="J487" s="922"/>
      <c r="K487" s="922"/>
      <c r="L487" s="922"/>
      <c r="M487" s="922"/>
      <c r="N487" s="922"/>
      <c r="O487" s="922"/>
      <c r="P487" s="923"/>
      <c r="Q487" s="75">
        <f>Formular!BM45</f>
        <v>0</v>
      </c>
      <c r="R487" s="127">
        <f>Info!D360</f>
        <v>20.99</v>
      </c>
      <c r="S487" s="917">
        <f t="shared" si="68"/>
        <v>0</v>
      </c>
      <c r="T487" s="918"/>
      <c r="U487" s="353"/>
      <c r="V487" s="5"/>
      <c r="W487" s="5"/>
      <c r="X487" s="5"/>
      <c r="Y487" s="5"/>
      <c r="Z487" s="5"/>
      <c r="AA487" s="5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/>
      <c r="AO487" s="4"/>
      <c r="AP487" s="144"/>
      <c r="AQ487" s="144"/>
      <c r="AR487" s="144"/>
      <c r="AS487" s="144"/>
      <c r="AT487" s="4"/>
    </row>
    <row r="488" spans="1:54" s="73" customFormat="1" ht="15" customHeight="1">
      <c r="A488" s="926" t="str">
        <f t="shared" si="69"/>
        <v>SCULE</v>
      </c>
      <c r="B488" s="922"/>
      <c r="C488" s="922"/>
      <c r="D488" s="922" t="str">
        <f>Formular!BH46</f>
        <v>Cleste falci rotunde</v>
      </c>
      <c r="E488" s="922"/>
      <c r="F488" s="922"/>
      <c r="G488" s="922"/>
      <c r="H488" s="922"/>
      <c r="I488" s="922"/>
      <c r="J488" s="922"/>
      <c r="K488" s="922"/>
      <c r="L488" s="922"/>
      <c r="M488" s="922"/>
      <c r="N488" s="922"/>
      <c r="O488" s="922"/>
      <c r="P488" s="923"/>
      <c r="Q488" s="75">
        <f>Formular!BM46</f>
        <v>0</v>
      </c>
      <c r="R488" s="127">
        <f>Info!D361</f>
        <v>43.75</v>
      </c>
      <c r="S488" s="917">
        <f t="shared" si="68"/>
        <v>0</v>
      </c>
      <c r="T488" s="918"/>
      <c r="U488" s="353"/>
      <c r="V488" s="5"/>
      <c r="W488" s="5"/>
      <c r="X488" s="5"/>
      <c r="Y488" s="5"/>
      <c r="Z488" s="5"/>
      <c r="AA488" s="5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/>
      <c r="AO488" s="4"/>
      <c r="AP488" s="144"/>
      <c r="AQ488" s="144"/>
      <c r="AR488" s="144"/>
      <c r="AS488" s="144"/>
      <c r="AT488" s="4"/>
    </row>
    <row r="489" spans="1:54" s="73" customFormat="1" ht="15" customHeight="1">
      <c r="A489" s="926" t="str">
        <f t="shared" si="69"/>
        <v>SCULE</v>
      </c>
      <c r="B489" s="922"/>
      <c r="C489" s="922"/>
      <c r="D489" s="922" t="str">
        <f>Formular!BH47</f>
        <v>Cleste faltuit drept</v>
      </c>
      <c r="E489" s="922"/>
      <c r="F489" s="922"/>
      <c r="G489" s="922"/>
      <c r="H489" s="922"/>
      <c r="I489" s="922"/>
      <c r="J489" s="922"/>
      <c r="K489" s="922"/>
      <c r="L489" s="922"/>
      <c r="M489" s="922"/>
      <c r="N489" s="922"/>
      <c r="O489" s="922"/>
      <c r="P489" s="923"/>
      <c r="Q489" s="75">
        <f>Formular!BM47</f>
        <v>0</v>
      </c>
      <c r="R489" s="127">
        <f>Info!D362</f>
        <v>58.53</v>
      </c>
      <c r="S489" s="917">
        <f t="shared" si="68"/>
        <v>0</v>
      </c>
      <c r="T489" s="918"/>
      <c r="U489" s="353"/>
      <c r="V489" s="5"/>
      <c r="W489" s="5"/>
      <c r="X489" s="5"/>
      <c r="Y489" s="5"/>
      <c r="Z489" s="5"/>
      <c r="AA489" s="5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/>
      <c r="AO489" s="4"/>
      <c r="AP489" s="144"/>
      <c r="AQ489" s="144"/>
      <c r="AR489" s="144"/>
      <c r="AS489" s="144"/>
      <c r="AT489" s="4"/>
    </row>
    <row r="490" spans="1:54" s="73" customFormat="1" ht="15" customHeight="1">
      <c r="A490" s="926" t="str">
        <f t="shared" si="69"/>
        <v>SCULE</v>
      </c>
      <c r="B490" s="922"/>
      <c r="C490" s="922"/>
      <c r="D490" s="922" t="str">
        <f>Formular!BH48</f>
        <v>Cleste faltuit 45°</v>
      </c>
      <c r="E490" s="922"/>
      <c r="F490" s="922"/>
      <c r="G490" s="922"/>
      <c r="H490" s="922"/>
      <c r="I490" s="922"/>
      <c r="J490" s="922"/>
      <c r="K490" s="922"/>
      <c r="L490" s="922"/>
      <c r="M490" s="922"/>
      <c r="N490" s="922"/>
      <c r="O490" s="922"/>
      <c r="P490" s="923"/>
      <c r="Q490" s="75">
        <f>Formular!BM48</f>
        <v>0</v>
      </c>
      <c r="R490" s="127">
        <f>Info!D363</f>
        <v>45.51</v>
      </c>
      <c r="S490" s="917">
        <f t="shared" si="68"/>
        <v>0</v>
      </c>
      <c r="T490" s="918"/>
      <c r="U490" s="353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/>
      <c r="AO490" s="4"/>
      <c r="AP490" s="144"/>
      <c r="AQ490" s="144"/>
      <c r="AR490" s="144"/>
      <c r="AS490" s="144"/>
      <c r="AT490" s="4"/>
    </row>
    <row r="491" spans="1:54" s="73" customFormat="1" ht="15" customHeight="1">
      <c r="A491" s="926" t="str">
        <f t="shared" si="69"/>
        <v>SCULE</v>
      </c>
      <c r="B491" s="922"/>
      <c r="C491" s="922"/>
      <c r="D491" s="922" t="str">
        <f>Formular!BH49</f>
        <v>Cleste deschis falt</v>
      </c>
      <c r="E491" s="922"/>
      <c r="F491" s="922"/>
      <c r="G491" s="922"/>
      <c r="H491" s="922"/>
      <c r="I491" s="922"/>
      <c r="J491" s="922"/>
      <c r="K491" s="922"/>
      <c r="L491" s="922"/>
      <c r="M491" s="922"/>
      <c r="N491" s="922"/>
      <c r="O491" s="922"/>
      <c r="P491" s="923"/>
      <c r="Q491" s="75">
        <f>Formular!BM49</f>
        <v>0</v>
      </c>
      <c r="R491" s="127">
        <f>Info!D364</f>
        <v>36.61</v>
      </c>
      <c r="S491" s="917">
        <f t="shared" si="68"/>
        <v>0</v>
      </c>
      <c r="T491" s="918"/>
      <c r="U491" s="353"/>
      <c r="V491" s="5"/>
      <c r="W491" s="5"/>
      <c r="X491" s="5"/>
      <c r="Y491" s="5"/>
      <c r="Z491" s="5"/>
      <c r="AA491" s="5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/>
      <c r="AO491" s="4"/>
      <c r="AP491" s="144"/>
      <c r="AQ491" s="144"/>
      <c r="AR491" s="144"/>
      <c r="AS491" s="144"/>
      <c r="AT491" s="4"/>
    </row>
    <row r="492" spans="1:54" s="73" customFormat="1" ht="15" customHeight="1">
      <c r="A492" s="926" t="str">
        <f t="shared" si="69"/>
        <v>SCULE</v>
      </c>
      <c r="B492" s="922"/>
      <c r="C492" s="922"/>
      <c r="D492" s="922" t="str">
        <f>Formular!BH50</f>
        <v>Cleste pliere</v>
      </c>
      <c r="E492" s="922"/>
      <c r="F492" s="922"/>
      <c r="G492" s="922"/>
      <c r="H492" s="922"/>
      <c r="I492" s="922"/>
      <c r="J492" s="922"/>
      <c r="K492" s="922"/>
      <c r="L492" s="922"/>
      <c r="M492" s="922"/>
      <c r="N492" s="922"/>
      <c r="O492" s="922"/>
      <c r="P492" s="923"/>
      <c r="Q492" s="75">
        <f>Formular!BM50</f>
        <v>0</v>
      </c>
      <c r="R492" s="127">
        <f>Info!D365</f>
        <v>33.69</v>
      </c>
      <c r="S492" s="917">
        <f t="shared" si="68"/>
        <v>0</v>
      </c>
      <c r="T492" s="918"/>
      <c r="U492" s="353"/>
      <c r="V492" s="5"/>
      <c r="W492" s="5"/>
      <c r="X492" s="5"/>
      <c r="Y492" s="5"/>
      <c r="Z492" s="5"/>
      <c r="AA492" s="5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/>
      <c r="AO492" s="4"/>
      <c r="AP492" s="144"/>
      <c r="AQ492" s="144"/>
      <c r="AR492" s="144"/>
      <c r="AS492" s="144"/>
      <c r="AT492" s="4"/>
    </row>
    <row r="493" spans="1:54" s="73" customFormat="1" ht="15" customHeight="1">
      <c r="A493" s="926" t="str">
        <f t="shared" si="69"/>
        <v>SCULE</v>
      </c>
      <c r="B493" s="922"/>
      <c r="C493" s="922"/>
      <c r="D493" s="922" t="str">
        <f>Formular!BH51</f>
        <v>Cleste faltuit pe rotund</v>
      </c>
      <c r="E493" s="922"/>
      <c r="F493" s="922"/>
      <c r="G493" s="922"/>
      <c r="H493" s="922"/>
      <c r="I493" s="922"/>
      <c r="J493" s="922"/>
      <c r="K493" s="922"/>
      <c r="L493" s="922"/>
      <c r="M493" s="922"/>
      <c r="N493" s="922"/>
      <c r="O493" s="922"/>
      <c r="P493" s="923"/>
      <c r="Q493" s="75">
        <f>Formular!BM51</f>
        <v>0</v>
      </c>
      <c r="R493" s="127">
        <f>Info!D366</f>
        <v>41.76</v>
      </c>
      <c r="S493" s="917">
        <f t="shared" si="68"/>
        <v>0</v>
      </c>
      <c r="T493" s="918"/>
      <c r="U493" s="353"/>
      <c r="V493" s="5"/>
      <c r="W493" s="5"/>
      <c r="X493" s="5"/>
      <c r="Y493" s="5"/>
      <c r="Z493" s="5"/>
      <c r="AA493" s="5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/>
      <c r="AO493" s="4"/>
      <c r="AP493" s="144"/>
      <c r="AQ493" s="144"/>
      <c r="AR493" s="144"/>
      <c r="AS493" s="144"/>
      <c r="AT493" s="4"/>
    </row>
    <row r="494" spans="1:54" s="73" customFormat="1" ht="15" customHeight="1">
      <c r="A494" s="926" t="str">
        <f t="shared" si="69"/>
        <v>SCULE</v>
      </c>
      <c r="B494" s="922"/>
      <c r="C494" s="922"/>
      <c r="D494" s="922" t="str">
        <f>Formular!BH52</f>
        <v>Prisma teflon cu praguri</v>
      </c>
      <c r="E494" s="922"/>
      <c r="F494" s="922"/>
      <c r="G494" s="922"/>
      <c r="H494" s="922"/>
      <c r="I494" s="922"/>
      <c r="J494" s="922"/>
      <c r="K494" s="922"/>
      <c r="L494" s="922"/>
      <c r="M494" s="922"/>
      <c r="N494" s="922"/>
      <c r="O494" s="922"/>
      <c r="P494" s="923"/>
      <c r="Q494" s="75">
        <f>Formular!BM52</f>
        <v>0</v>
      </c>
      <c r="R494" s="127">
        <f>Info!D367</f>
        <v>19.690000000000001</v>
      </c>
      <c r="S494" s="917">
        <f t="shared" si="68"/>
        <v>0</v>
      </c>
      <c r="T494" s="918"/>
      <c r="U494" s="353"/>
      <c r="V494" s="5"/>
      <c r="W494" s="5"/>
      <c r="X494" s="5"/>
      <c r="Y494" s="5"/>
      <c r="Z494" s="5"/>
      <c r="AA494" s="5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144"/>
      <c r="AQ494" s="144"/>
      <c r="AR494" s="144"/>
      <c r="AS494" s="144"/>
      <c r="AT494" s="4"/>
    </row>
    <row r="495" spans="1:54" s="73" customFormat="1" ht="15" customHeight="1">
      <c r="A495" s="926" t="str">
        <f t="shared" si="69"/>
        <v>SCULE</v>
      </c>
      <c r="B495" s="922"/>
      <c r="C495" s="922"/>
      <c r="D495" s="922" t="str">
        <f>Formular!BH53</f>
        <v>Ciocan teflon tip pana</v>
      </c>
      <c r="E495" s="922"/>
      <c r="F495" s="922"/>
      <c r="G495" s="922"/>
      <c r="H495" s="922"/>
      <c r="I495" s="922"/>
      <c r="J495" s="922"/>
      <c r="K495" s="922"/>
      <c r="L495" s="922"/>
      <c r="M495" s="922"/>
      <c r="N495" s="922"/>
      <c r="O495" s="922"/>
      <c r="P495" s="923"/>
      <c r="Q495" s="75">
        <f>Formular!BM53</f>
        <v>0</v>
      </c>
      <c r="R495" s="127">
        <f>Info!D368</f>
        <v>25</v>
      </c>
      <c r="S495" s="917">
        <f t="shared" si="68"/>
        <v>0</v>
      </c>
      <c r="T495" s="918"/>
      <c r="U495" s="353"/>
      <c r="V495" s="5"/>
      <c r="W495" s="5"/>
      <c r="X495" s="5"/>
      <c r="Y495" s="5"/>
      <c r="Z495" s="5"/>
      <c r="AA495" s="5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/>
      <c r="AO495" s="4"/>
      <c r="AP495" s="144"/>
      <c r="AQ495" s="144"/>
      <c r="AR495" s="144"/>
      <c r="AS495" s="144"/>
      <c r="AT495" s="4"/>
    </row>
    <row r="496" spans="1:54" s="73" customFormat="1" ht="15" customHeight="1">
      <c r="A496" s="926" t="str">
        <f t="shared" si="69"/>
        <v>SCULE</v>
      </c>
      <c r="B496" s="922"/>
      <c r="C496" s="922"/>
      <c r="D496" s="922" t="str">
        <f>Formular!BH54</f>
        <v>Ciocan teflon rectangular</v>
      </c>
      <c r="E496" s="922"/>
      <c r="F496" s="922"/>
      <c r="G496" s="922"/>
      <c r="H496" s="922"/>
      <c r="I496" s="922"/>
      <c r="J496" s="922"/>
      <c r="K496" s="922"/>
      <c r="L496" s="922"/>
      <c r="M496" s="922"/>
      <c r="N496" s="922"/>
      <c r="O496" s="922"/>
      <c r="P496" s="923"/>
      <c r="Q496" s="75">
        <f>Formular!BM54</f>
        <v>0</v>
      </c>
      <c r="R496" s="127">
        <f>Info!D369</f>
        <v>24.44</v>
      </c>
      <c r="S496" s="917">
        <f t="shared" si="68"/>
        <v>0</v>
      </c>
      <c r="T496" s="918"/>
      <c r="U496" s="353"/>
      <c r="V496" s="5"/>
      <c r="W496" s="5"/>
      <c r="X496" s="5"/>
      <c r="Y496" s="5"/>
      <c r="Z496" s="5"/>
      <c r="AA496" s="5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/>
      <c r="AO496" s="4"/>
      <c r="AP496" s="144"/>
      <c r="AQ496" s="144"/>
      <c r="AR496" s="144"/>
      <c r="AS496" s="144"/>
      <c r="AT496" s="4"/>
    </row>
    <row r="497" spans="1:46" s="73" customFormat="1" ht="15" customHeight="1">
      <c r="A497" s="926" t="str">
        <f t="shared" si="69"/>
        <v>SCULE</v>
      </c>
      <c r="B497" s="922"/>
      <c r="C497" s="922"/>
      <c r="D497" s="922" t="str">
        <f>Formular!BH55</f>
        <v>Ciocan rotund</v>
      </c>
      <c r="E497" s="922"/>
      <c r="F497" s="922"/>
      <c r="G497" s="922"/>
      <c r="H497" s="922"/>
      <c r="I497" s="922"/>
      <c r="J497" s="922"/>
      <c r="K497" s="922"/>
      <c r="L497" s="922"/>
      <c r="M497" s="922"/>
      <c r="N497" s="922"/>
      <c r="O497" s="922"/>
      <c r="P497" s="923"/>
      <c r="Q497" s="75">
        <f>Formular!BM55</f>
        <v>0</v>
      </c>
      <c r="R497" s="127">
        <f>Info!D370</f>
        <v>22.5</v>
      </c>
      <c r="S497" s="917">
        <f t="shared" si="68"/>
        <v>0</v>
      </c>
      <c r="T497" s="918"/>
      <c r="U497" s="353"/>
      <c r="V497" s="5"/>
      <c r="W497" s="5"/>
      <c r="X497" s="5"/>
      <c r="Y497" s="5"/>
      <c r="Z497" s="5"/>
      <c r="AA497" s="5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/>
      <c r="AO497" s="4"/>
      <c r="AP497" s="144"/>
      <c r="AQ497" s="144"/>
      <c r="AR497" s="144"/>
      <c r="AS497" s="144"/>
      <c r="AT497" s="4"/>
    </row>
    <row r="498" spans="1:46" s="73" customFormat="1" ht="15" customHeight="1">
      <c r="A498" s="926" t="str">
        <f t="shared" si="69"/>
        <v>SCULE</v>
      </c>
      <c r="B498" s="922"/>
      <c r="C498" s="922"/>
      <c r="D498" s="922" t="str">
        <f>Formular!BH56</f>
        <v>Trasator gradat</v>
      </c>
      <c r="E498" s="922"/>
      <c r="F498" s="922"/>
      <c r="G498" s="922"/>
      <c r="H498" s="922"/>
      <c r="I498" s="922"/>
      <c r="J498" s="922"/>
      <c r="K498" s="922"/>
      <c r="L498" s="922"/>
      <c r="M498" s="922"/>
      <c r="N498" s="922"/>
      <c r="O498" s="922"/>
      <c r="P498" s="923"/>
      <c r="Q498" s="75">
        <f>Formular!BM56</f>
        <v>0</v>
      </c>
      <c r="R498" s="127">
        <f>Info!D371</f>
        <v>10.24</v>
      </c>
      <c r="S498" s="917">
        <f t="shared" si="68"/>
        <v>0</v>
      </c>
      <c r="T498" s="918"/>
      <c r="U498" s="353"/>
      <c r="V498" s="5"/>
      <c r="W498" s="5"/>
      <c r="X498" s="5"/>
      <c r="Y498" s="5"/>
      <c r="Z498" s="5"/>
      <c r="AA498" s="5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144"/>
      <c r="AQ498" s="144"/>
      <c r="AR498" s="144"/>
      <c r="AS498" s="144"/>
      <c r="AT498" s="4"/>
    </row>
    <row r="499" spans="1:46" s="73" customFormat="1" ht="15" customHeight="1">
      <c r="A499" s="926" t="str">
        <f t="shared" si="69"/>
        <v>SCULE</v>
      </c>
      <c r="B499" s="922"/>
      <c r="C499" s="922"/>
      <c r="D499" s="922" t="str">
        <f>Formular!BH57</f>
        <v>Faltuitor streasina</v>
      </c>
      <c r="E499" s="922"/>
      <c r="F499" s="922"/>
      <c r="G499" s="922"/>
      <c r="H499" s="922"/>
      <c r="I499" s="922"/>
      <c r="J499" s="922"/>
      <c r="K499" s="922"/>
      <c r="L499" s="922"/>
      <c r="M499" s="922"/>
      <c r="N499" s="922"/>
      <c r="O499" s="922"/>
      <c r="P499" s="923"/>
      <c r="Q499" s="75">
        <f>Formular!BM57</f>
        <v>0</v>
      </c>
      <c r="R499" s="127">
        <f>Info!D372</f>
        <v>171.43</v>
      </c>
      <c r="S499" s="917">
        <f t="shared" si="68"/>
        <v>0</v>
      </c>
      <c r="T499" s="918"/>
      <c r="U499" s="353"/>
      <c r="V499" s="5"/>
      <c r="W499" s="5"/>
      <c r="X499" s="5"/>
      <c r="Y499" s="5"/>
      <c r="Z499" s="5"/>
      <c r="AA499" s="5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144"/>
      <c r="AQ499" s="144"/>
      <c r="AR499" s="144"/>
      <c r="AS499" s="144"/>
      <c r="AT499" s="4"/>
    </row>
    <row r="500" spans="1:46" s="73" customFormat="1" ht="15" customHeight="1">
      <c r="A500" s="926" t="str">
        <f t="shared" si="69"/>
        <v>SCULE</v>
      </c>
      <c r="B500" s="922"/>
      <c r="C500" s="922"/>
      <c r="D500" s="922" t="str">
        <f>Formular!BH58</f>
        <v>Inchizator falt simplu</v>
      </c>
      <c r="E500" s="922"/>
      <c r="F500" s="922"/>
      <c r="G500" s="922"/>
      <c r="H500" s="922"/>
      <c r="I500" s="922"/>
      <c r="J500" s="922"/>
      <c r="K500" s="922"/>
      <c r="L500" s="922"/>
      <c r="M500" s="922"/>
      <c r="N500" s="922"/>
      <c r="O500" s="922"/>
      <c r="P500" s="923"/>
      <c r="Q500" s="75">
        <f>Formular!BM58</f>
        <v>0</v>
      </c>
      <c r="R500" s="127">
        <f>Info!D373</f>
        <v>171.43</v>
      </c>
      <c r="S500" s="917">
        <f t="shared" si="68"/>
        <v>0</v>
      </c>
      <c r="T500" s="918"/>
      <c r="U500" s="353"/>
      <c r="V500" s="5"/>
      <c r="W500" s="5"/>
      <c r="X500" s="5"/>
      <c r="Y500" s="5"/>
      <c r="Z500" s="5"/>
      <c r="AA500" s="5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/>
      <c r="AO500" s="4"/>
      <c r="AP500" s="144"/>
      <c r="AQ500" s="144"/>
      <c r="AR500" s="144"/>
      <c r="AS500" s="144"/>
      <c r="AT500" s="4"/>
    </row>
    <row r="501" spans="1:46" s="73" customFormat="1" ht="15" customHeight="1">
      <c r="A501" s="926" t="str">
        <f t="shared" si="69"/>
        <v>SCULE</v>
      </c>
      <c r="B501" s="922"/>
      <c r="C501" s="922"/>
      <c r="D501" s="922" t="str">
        <f>Formular!BH59</f>
        <v>Inchizator falt dublu</v>
      </c>
      <c r="E501" s="922"/>
      <c r="F501" s="922"/>
      <c r="G501" s="922"/>
      <c r="H501" s="922"/>
      <c r="I501" s="922"/>
      <c r="J501" s="922"/>
      <c r="K501" s="922"/>
      <c r="L501" s="922"/>
      <c r="M501" s="922"/>
      <c r="N501" s="922"/>
      <c r="O501" s="922"/>
      <c r="P501" s="923"/>
      <c r="Q501" s="75">
        <f>Formular!BM59</f>
        <v>0</v>
      </c>
      <c r="R501" s="127">
        <f>Info!D374</f>
        <v>189.16</v>
      </c>
      <c r="S501" s="917">
        <f t="shared" si="68"/>
        <v>0</v>
      </c>
      <c r="T501" s="918"/>
      <c r="U501" s="353"/>
      <c r="V501" s="5"/>
      <c r="W501" s="5"/>
      <c r="X501" s="5"/>
      <c r="Y501" s="5"/>
      <c r="Z501" s="5"/>
      <c r="AA501" s="5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/>
      <c r="AO501" s="4"/>
      <c r="AP501" s="144"/>
      <c r="AQ501" s="144"/>
      <c r="AR501" s="144"/>
      <c r="AS501" s="144"/>
      <c r="AT501" s="4"/>
    </row>
    <row r="502" spans="1:46" s="73" customFormat="1" ht="15" customHeight="1">
      <c r="A502" s="926" t="str">
        <f t="shared" si="69"/>
        <v>SCULE</v>
      </c>
      <c r="B502" s="922"/>
      <c r="C502" s="922"/>
      <c r="D502" s="922" t="str">
        <f>Formular!BH60</f>
        <v>Prisma curbata</v>
      </c>
      <c r="E502" s="922"/>
      <c r="F502" s="922"/>
      <c r="G502" s="922"/>
      <c r="H502" s="922"/>
      <c r="I502" s="922"/>
      <c r="J502" s="922"/>
      <c r="K502" s="922"/>
      <c r="L502" s="922"/>
      <c r="M502" s="922"/>
      <c r="N502" s="922"/>
      <c r="O502" s="922"/>
      <c r="P502" s="923"/>
      <c r="Q502" s="75">
        <f>Formular!BM60</f>
        <v>0</v>
      </c>
      <c r="R502" s="127">
        <f>Info!D375</f>
        <v>101</v>
      </c>
      <c r="S502" s="917">
        <f t="shared" si="68"/>
        <v>0</v>
      </c>
      <c r="T502" s="918"/>
      <c r="U502" s="353"/>
      <c r="V502" s="5"/>
      <c r="W502" s="5"/>
      <c r="X502" s="5"/>
      <c r="Y502" s="5"/>
      <c r="Z502" s="5"/>
      <c r="AA502" s="5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/>
      <c r="AO502" s="4"/>
      <c r="AP502" s="144"/>
      <c r="AQ502" s="144"/>
      <c r="AR502" s="144"/>
      <c r="AS502" s="144"/>
      <c r="AT502" s="4"/>
    </row>
    <row r="503" spans="1:46" s="73" customFormat="1" ht="15" customHeight="1">
      <c r="A503" s="926" t="str">
        <f t="shared" si="69"/>
        <v>SCULE</v>
      </c>
      <c r="B503" s="922"/>
      <c r="C503" s="922"/>
      <c r="D503" s="922" t="str">
        <f>Formular!BH61</f>
        <v>Ham munca</v>
      </c>
      <c r="E503" s="922"/>
      <c r="F503" s="922"/>
      <c r="G503" s="922"/>
      <c r="H503" s="922"/>
      <c r="I503" s="922"/>
      <c r="J503" s="922"/>
      <c r="K503" s="922"/>
      <c r="L503" s="922"/>
      <c r="M503" s="922"/>
      <c r="N503" s="922"/>
      <c r="O503" s="922"/>
      <c r="P503" s="923"/>
      <c r="Q503" s="75">
        <f>Formular!BM61</f>
        <v>0</v>
      </c>
      <c r="R503" s="127">
        <f>Info!D376</f>
        <v>168.96</v>
      </c>
      <c r="S503" s="917">
        <f t="shared" si="68"/>
        <v>0</v>
      </c>
      <c r="T503" s="918"/>
      <c r="U503" s="353"/>
      <c r="V503" s="5"/>
      <c r="W503" s="5"/>
      <c r="X503" s="5"/>
      <c r="Y503" s="5"/>
      <c r="Z503" s="5"/>
      <c r="AA503" s="5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/>
      <c r="AO503" s="4"/>
      <c r="AP503" s="144"/>
      <c r="AQ503" s="144"/>
      <c r="AR503" s="144"/>
      <c r="AS503" s="144"/>
      <c r="AT503" s="4"/>
    </row>
    <row r="504" spans="1:46" s="73" customFormat="1" ht="15" customHeight="1">
      <c r="A504" s="926" t="str">
        <f t="shared" si="69"/>
        <v>SCULE</v>
      </c>
      <c r="B504" s="922"/>
      <c r="C504" s="922"/>
      <c r="D504" s="922" t="str">
        <f>Formular!BH62</f>
        <v>Dispozitiv indoit carlige</v>
      </c>
      <c r="E504" s="922"/>
      <c r="F504" s="922"/>
      <c r="G504" s="922"/>
      <c r="H504" s="922"/>
      <c r="I504" s="922"/>
      <c r="J504" s="922"/>
      <c r="K504" s="922"/>
      <c r="L504" s="922"/>
      <c r="M504" s="922"/>
      <c r="N504" s="922"/>
      <c r="O504" s="922"/>
      <c r="P504" s="923"/>
      <c r="Q504" s="75">
        <f>Formular!BM62</f>
        <v>0</v>
      </c>
      <c r="R504" s="127">
        <f>Info!D377</f>
        <v>62.67</v>
      </c>
      <c r="S504" s="917">
        <f t="shared" si="68"/>
        <v>0</v>
      </c>
      <c r="T504" s="918"/>
      <c r="U504" s="353"/>
      <c r="V504" s="5"/>
      <c r="W504" s="5"/>
      <c r="X504" s="5"/>
      <c r="Y504" s="5"/>
      <c r="Z504" s="5"/>
      <c r="AA504" s="5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/>
      <c r="AO504" s="4"/>
      <c r="AP504" s="144"/>
      <c r="AQ504" s="144"/>
      <c r="AR504" s="144"/>
      <c r="AS504" s="144"/>
      <c r="AT504" s="4"/>
    </row>
    <row r="505" spans="1:46" s="77" customFormat="1" ht="15" customHeight="1">
      <c r="A505" s="1002" t="str">
        <f>INDEX(Select!B639:B641,Select!B638)&amp;"-STOC"</f>
        <v>-STOC</v>
      </c>
      <c r="B505" s="947"/>
      <c r="C505" s="947"/>
      <c r="D505" s="947"/>
      <c r="E505" s="922">
        <f>INDEX(Select!B577:B585,Select!B576)</f>
        <v>0</v>
      </c>
      <c r="F505" s="922"/>
      <c r="G505" s="922"/>
      <c r="H505" s="922"/>
      <c r="I505" s="922">
        <f>Formular!BH68</f>
        <v>2800</v>
      </c>
      <c r="J505" s="922"/>
      <c r="K505" s="922"/>
      <c r="L505" s="922">
        <f>Formular!BK68</f>
        <v>365</v>
      </c>
      <c r="M505" s="922"/>
      <c r="N505" s="922"/>
      <c r="O505" s="922"/>
      <c r="P505" s="923"/>
      <c r="Q505" s="235">
        <f>Formular!BM68</f>
        <v>0</v>
      </c>
      <c r="R505" s="236">
        <f>Select!D578</f>
        <v>0</v>
      </c>
      <c r="S505" s="917">
        <f>IF(ISERROR((I505*L505)/1000000*Q505*R505),"0",(I505*L505)/1000000*Q505*R505)</f>
        <v>0</v>
      </c>
      <c r="T505" s="918"/>
      <c r="U505" s="353"/>
      <c r="V505" s="5">
        <f>IF(ISERROR((I505*L505)/1000000*Q505),"0",(I505*L505)/1000000*Q505)</f>
        <v>0</v>
      </c>
      <c r="W505" s="5">
        <f>SUM(V505:V506)</f>
        <v>0</v>
      </c>
      <c r="X505" s="5"/>
      <c r="Y505" s="5"/>
      <c r="Z505" s="5"/>
      <c r="AA505" s="5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/>
      <c r="AO505" s="4"/>
      <c r="AP505" s="144"/>
      <c r="AQ505" s="144"/>
      <c r="AR505" s="144"/>
      <c r="AS505" s="144"/>
      <c r="AT505" s="4"/>
    </row>
    <row r="506" spans="1:46" s="77" customFormat="1" ht="15" customHeight="1">
      <c r="A506" s="1002" t="str">
        <f>A505</f>
        <v>-STOC</v>
      </c>
      <c r="B506" s="947"/>
      <c r="C506" s="947"/>
      <c r="D506" s="947"/>
      <c r="E506" s="922">
        <f>E505</f>
        <v>0</v>
      </c>
      <c r="F506" s="922"/>
      <c r="G506" s="922"/>
      <c r="H506" s="922"/>
      <c r="I506" s="922">
        <f>Formular!BH69</f>
        <v>3600</v>
      </c>
      <c r="J506" s="922"/>
      <c r="K506" s="922"/>
      <c r="L506" s="922">
        <f>Formular!BK69</f>
        <v>365</v>
      </c>
      <c r="M506" s="922"/>
      <c r="N506" s="922"/>
      <c r="O506" s="922"/>
      <c r="P506" s="923"/>
      <c r="Q506" s="235">
        <f>Formular!BM69</f>
        <v>0</v>
      </c>
      <c r="R506" s="236">
        <f>R505</f>
        <v>0</v>
      </c>
      <c r="S506" s="917">
        <f t="shared" ref="S506:S524" si="70">IF(ISERROR((I506*L506)/1000000*Q506*R506),"0",(I506*L506)/1000000*Q506*R506)</f>
        <v>0</v>
      </c>
      <c r="T506" s="918"/>
      <c r="U506" s="353"/>
      <c r="V506" s="5">
        <f>IF(ISERROR((I506*L506)/1000000*Q506),"0",(I506*L506)/1000000*Q506)</f>
        <v>0</v>
      </c>
      <c r="W506" s="5"/>
      <c r="X506" s="5"/>
      <c r="Y506" s="5"/>
      <c r="Z506" s="5"/>
      <c r="AA506" s="5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/>
      <c r="AO506" s="4"/>
      <c r="AP506" s="144"/>
      <c r="AQ506" s="144"/>
      <c r="AR506" s="144"/>
      <c r="AS506" s="144"/>
      <c r="AT506" s="4"/>
    </row>
    <row r="507" spans="1:46" s="77" customFormat="1" ht="15" customHeight="1">
      <c r="A507" s="935" t="str">
        <f>INDEX(Select!B639:B641,Select!B638)&amp;"-CMD"</f>
        <v>-CMD</v>
      </c>
      <c r="B507" s="928"/>
      <c r="C507" s="928"/>
      <c r="D507" s="928">
        <f>INDEX(Select!B587:B592,Select!B586)</f>
        <v>0</v>
      </c>
      <c r="E507" s="928"/>
      <c r="F507" s="922">
        <f>INDEX(Select!B595:B612,Select!B594)</f>
        <v>0</v>
      </c>
      <c r="G507" s="922"/>
      <c r="H507" s="922"/>
      <c r="I507" s="922">
        <f>IF(Formular!BH73&lt;400,400,Formular!BH73)</f>
        <v>400</v>
      </c>
      <c r="J507" s="922"/>
      <c r="K507" s="922"/>
      <c r="L507" s="922">
        <f>Formular!BK73</f>
        <v>365</v>
      </c>
      <c r="M507" s="922"/>
      <c r="N507" s="922"/>
      <c r="O507" s="922"/>
      <c r="P507" s="923"/>
      <c r="Q507" s="235">
        <f>Formular!BM73</f>
        <v>0</v>
      </c>
      <c r="R507" s="236">
        <f>Select!D588</f>
        <v>0</v>
      </c>
      <c r="S507" s="917">
        <f t="shared" si="70"/>
        <v>0</v>
      </c>
      <c r="T507" s="918"/>
      <c r="U507" s="353"/>
      <c r="V507" s="5">
        <f t="shared" ref="V507:V524" si="71">IF(ISERROR((I507*L507)/1000000*Q507),"0",(I507*L507)/1000000*Q507)</f>
        <v>0</v>
      </c>
      <c r="W507" s="5">
        <f>SUM(V507:V524)</f>
        <v>0</v>
      </c>
      <c r="X507" s="5"/>
      <c r="Y507" s="5"/>
      <c r="Z507" s="5"/>
      <c r="AA507" s="5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/>
      <c r="AO507" s="4"/>
      <c r="AP507" s="144"/>
      <c r="AQ507" s="144"/>
      <c r="AR507" s="144"/>
      <c r="AS507" s="144"/>
      <c r="AT507" s="4"/>
    </row>
    <row r="508" spans="1:46" s="77" customFormat="1" ht="15" customHeight="1">
      <c r="A508" s="935" t="str">
        <f>A507</f>
        <v>-CMD</v>
      </c>
      <c r="B508" s="928"/>
      <c r="C508" s="928"/>
      <c r="D508" s="928">
        <f>D507</f>
        <v>0</v>
      </c>
      <c r="E508" s="928"/>
      <c r="F508" s="922">
        <f>F507</f>
        <v>0</v>
      </c>
      <c r="G508" s="922"/>
      <c r="H508" s="922"/>
      <c r="I508" s="922">
        <f>IF(Formular!BH74&lt;400,400,Formular!BH74)</f>
        <v>400</v>
      </c>
      <c r="J508" s="922"/>
      <c r="K508" s="922"/>
      <c r="L508" s="922">
        <f>Formular!BK74</f>
        <v>365</v>
      </c>
      <c r="M508" s="922"/>
      <c r="N508" s="922"/>
      <c r="O508" s="922"/>
      <c r="P508" s="923"/>
      <c r="Q508" s="235">
        <f>Formular!BM74</f>
        <v>0</v>
      </c>
      <c r="R508" s="236">
        <f>R507</f>
        <v>0</v>
      </c>
      <c r="S508" s="917">
        <f t="shared" si="70"/>
        <v>0</v>
      </c>
      <c r="T508" s="918"/>
      <c r="U508" s="353"/>
      <c r="V508" s="5">
        <f t="shared" si="71"/>
        <v>0</v>
      </c>
      <c r="W508" s="5"/>
      <c r="X508" s="5"/>
      <c r="Y508" s="5"/>
      <c r="Z508" s="5"/>
      <c r="AA508" s="5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/>
      <c r="AO508" s="4"/>
      <c r="AP508" s="144"/>
      <c r="AQ508" s="144"/>
      <c r="AR508" s="144"/>
      <c r="AS508" s="144"/>
      <c r="AT508" s="4"/>
    </row>
    <row r="509" spans="1:46" s="77" customFormat="1" ht="15" customHeight="1">
      <c r="A509" s="935" t="str">
        <f t="shared" ref="A509:A524" si="72">A508</f>
        <v>-CMD</v>
      </c>
      <c r="B509" s="928"/>
      <c r="C509" s="928"/>
      <c r="D509" s="928">
        <f t="shared" ref="D509:D524" si="73">D508</f>
        <v>0</v>
      </c>
      <c r="E509" s="928"/>
      <c r="F509" s="922">
        <f t="shared" ref="F509:F524" si="74">F508</f>
        <v>0</v>
      </c>
      <c r="G509" s="922"/>
      <c r="H509" s="922"/>
      <c r="I509" s="922">
        <f>IF(Formular!BH75&lt;400,400,Formular!BH75)</f>
        <v>400</v>
      </c>
      <c r="J509" s="922"/>
      <c r="K509" s="922"/>
      <c r="L509" s="922">
        <f>Formular!BK75</f>
        <v>365</v>
      </c>
      <c r="M509" s="922"/>
      <c r="N509" s="922"/>
      <c r="O509" s="922"/>
      <c r="P509" s="923"/>
      <c r="Q509" s="235">
        <f>Formular!BM75</f>
        <v>0</v>
      </c>
      <c r="R509" s="236">
        <f t="shared" ref="R509:R524" si="75">R508</f>
        <v>0</v>
      </c>
      <c r="S509" s="917">
        <f t="shared" si="70"/>
        <v>0</v>
      </c>
      <c r="T509" s="918"/>
      <c r="U509" s="353"/>
      <c r="V509" s="5">
        <f t="shared" si="71"/>
        <v>0</v>
      </c>
      <c r="W509" s="5"/>
      <c r="X509" s="5"/>
      <c r="Y509" s="5"/>
      <c r="Z509" s="5"/>
      <c r="AA509" s="5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/>
      <c r="AO509" s="4"/>
      <c r="AP509" s="144"/>
      <c r="AQ509" s="144"/>
      <c r="AR509" s="144"/>
      <c r="AS509" s="144"/>
      <c r="AT509" s="4"/>
    </row>
    <row r="510" spans="1:46" s="77" customFormat="1" ht="15" customHeight="1">
      <c r="A510" s="935" t="str">
        <f t="shared" si="72"/>
        <v>-CMD</v>
      </c>
      <c r="B510" s="928"/>
      <c r="C510" s="928"/>
      <c r="D510" s="928">
        <f t="shared" si="73"/>
        <v>0</v>
      </c>
      <c r="E510" s="928"/>
      <c r="F510" s="922">
        <f t="shared" si="74"/>
        <v>0</v>
      </c>
      <c r="G510" s="922"/>
      <c r="H510" s="922"/>
      <c r="I510" s="922">
        <f>IF(Formular!BH76&lt;400,400,Formular!BH76)</f>
        <v>400</v>
      </c>
      <c r="J510" s="922"/>
      <c r="K510" s="922"/>
      <c r="L510" s="922">
        <f>Formular!BK76</f>
        <v>365</v>
      </c>
      <c r="M510" s="922"/>
      <c r="N510" s="922"/>
      <c r="O510" s="922"/>
      <c r="P510" s="923"/>
      <c r="Q510" s="235">
        <f>Formular!BM76</f>
        <v>0</v>
      </c>
      <c r="R510" s="236">
        <f t="shared" si="75"/>
        <v>0</v>
      </c>
      <c r="S510" s="917">
        <f t="shared" si="70"/>
        <v>0</v>
      </c>
      <c r="T510" s="918"/>
      <c r="U510" s="353"/>
      <c r="V510" s="5">
        <f t="shared" si="71"/>
        <v>0</v>
      </c>
      <c r="W510" s="5"/>
      <c r="X510" s="5"/>
      <c r="Y510" s="5"/>
      <c r="Z510" s="5"/>
      <c r="AA510" s="5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/>
      <c r="AO510" s="4"/>
      <c r="AP510" s="144"/>
      <c r="AQ510" s="144"/>
      <c r="AR510" s="144"/>
      <c r="AS510" s="144"/>
      <c r="AT510" s="4"/>
    </row>
    <row r="511" spans="1:46" s="77" customFormat="1" ht="15" customHeight="1">
      <c r="A511" s="935" t="str">
        <f t="shared" si="72"/>
        <v>-CMD</v>
      </c>
      <c r="B511" s="928"/>
      <c r="C511" s="928"/>
      <c r="D511" s="928">
        <f t="shared" si="73"/>
        <v>0</v>
      </c>
      <c r="E511" s="928"/>
      <c r="F511" s="922">
        <f t="shared" si="74"/>
        <v>0</v>
      </c>
      <c r="G511" s="922"/>
      <c r="H511" s="922"/>
      <c r="I511" s="922">
        <f>IF(Formular!BH77&lt;400,400,Formular!BH77)</f>
        <v>400</v>
      </c>
      <c r="J511" s="922"/>
      <c r="K511" s="922"/>
      <c r="L511" s="922">
        <f>Formular!BK77</f>
        <v>365</v>
      </c>
      <c r="M511" s="922"/>
      <c r="N511" s="922"/>
      <c r="O511" s="922"/>
      <c r="P511" s="923"/>
      <c r="Q511" s="235">
        <f>Formular!BM77</f>
        <v>0</v>
      </c>
      <c r="R511" s="236">
        <f t="shared" si="75"/>
        <v>0</v>
      </c>
      <c r="S511" s="917">
        <f t="shared" si="70"/>
        <v>0</v>
      </c>
      <c r="T511" s="918"/>
      <c r="U511" s="353"/>
      <c r="V511" s="5">
        <f t="shared" si="71"/>
        <v>0</v>
      </c>
      <c r="W511" s="5"/>
      <c r="X511" s="5"/>
      <c r="Y511" s="5"/>
      <c r="Z511" s="5"/>
      <c r="AA511" s="5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/>
      <c r="AO511" s="4"/>
      <c r="AP511" s="144"/>
      <c r="AQ511" s="144"/>
      <c r="AR511" s="144"/>
      <c r="AS511" s="144"/>
      <c r="AT511" s="4"/>
    </row>
    <row r="512" spans="1:46" s="77" customFormat="1" ht="15" customHeight="1">
      <c r="A512" s="935" t="str">
        <f t="shared" si="72"/>
        <v>-CMD</v>
      </c>
      <c r="B512" s="928"/>
      <c r="C512" s="928"/>
      <c r="D512" s="928">
        <f t="shared" si="73"/>
        <v>0</v>
      </c>
      <c r="E512" s="928"/>
      <c r="F512" s="922">
        <f t="shared" si="74"/>
        <v>0</v>
      </c>
      <c r="G512" s="922"/>
      <c r="H512" s="922"/>
      <c r="I512" s="922">
        <f>IF(Formular!BH78&lt;400,400,Formular!BH78)</f>
        <v>400</v>
      </c>
      <c r="J512" s="922"/>
      <c r="K512" s="922"/>
      <c r="L512" s="922">
        <f>Formular!BK78</f>
        <v>365</v>
      </c>
      <c r="M512" s="922"/>
      <c r="N512" s="922"/>
      <c r="O512" s="922"/>
      <c r="P512" s="923"/>
      <c r="Q512" s="235">
        <f>Formular!BM78</f>
        <v>0</v>
      </c>
      <c r="R512" s="236">
        <f t="shared" si="75"/>
        <v>0</v>
      </c>
      <c r="S512" s="917">
        <f t="shared" si="70"/>
        <v>0</v>
      </c>
      <c r="T512" s="918"/>
      <c r="U512" s="353"/>
      <c r="V512" s="5">
        <f t="shared" si="71"/>
        <v>0</v>
      </c>
      <c r="W512" s="5"/>
      <c r="X512" s="5"/>
      <c r="Y512" s="5"/>
      <c r="Z512" s="5"/>
      <c r="AA512" s="5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/>
      <c r="AO512" s="4"/>
      <c r="AP512" s="144"/>
      <c r="AQ512" s="144"/>
      <c r="AR512" s="144"/>
      <c r="AS512" s="144"/>
      <c r="AT512" s="4"/>
    </row>
    <row r="513" spans="1:46" s="77" customFormat="1" ht="15" customHeight="1">
      <c r="A513" s="935" t="str">
        <f t="shared" si="72"/>
        <v>-CMD</v>
      </c>
      <c r="B513" s="928"/>
      <c r="C513" s="928"/>
      <c r="D513" s="928">
        <f t="shared" si="73"/>
        <v>0</v>
      </c>
      <c r="E513" s="928"/>
      <c r="F513" s="922">
        <f t="shared" si="74"/>
        <v>0</v>
      </c>
      <c r="G513" s="922"/>
      <c r="H513" s="922"/>
      <c r="I513" s="922">
        <f>IF(Formular!BH79&lt;400,400,Formular!BH79)</f>
        <v>400</v>
      </c>
      <c r="J513" s="922"/>
      <c r="K513" s="922"/>
      <c r="L513" s="922">
        <f>Formular!BK79</f>
        <v>365</v>
      </c>
      <c r="M513" s="922"/>
      <c r="N513" s="922"/>
      <c r="O513" s="922"/>
      <c r="P513" s="923"/>
      <c r="Q513" s="235">
        <f>Formular!BM79</f>
        <v>0</v>
      </c>
      <c r="R513" s="236">
        <f t="shared" si="75"/>
        <v>0</v>
      </c>
      <c r="S513" s="917">
        <f t="shared" si="70"/>
        <v>0</v>
      </c>
      <c r="T513" s="918"/>
      <c r="U513" s="353"/>
      <c r="V513" s="5">
        <f t="shared" si="71"/>
        <v>0</v>
      </c>
      <c r="W513" s="5"/>
      <c r="X513" s="5"/>
      <c r="Y513" s="5"/>
      <c r="Z513" s="5"/>
      <c r="AA513" s="5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/>
      <c r="AO513" s="4"/>
      <c r="AP513" s="144"/>
      <c r="AQ513" s="144"/>
      <c r="AR513" s="144"/>
      <c r="AS513" s="144"/>
      <c r="AT513" s="4"/>
    </row>
    <row r="514" spans="1:46" s="77" customFormat="1" ht="15" customHeight="1">
      <c r="A514" s="935" t="str">
        <f t="shared" si="72"/>
        <v>-CMD</v>
      </c>
      <c r="B514" s="928"/>
      <c r="C514" s="928"/>
      <c r="D514" s="928">
        <f t="shared" si="73"/>
        <v>0</v>
      </c>
      <c r="E514" s="928"/>
      <c r="F514" s="922">
        <f t="shared" si="74"/>
        <v>0</v>
      </c>
      <c r="G514" s="922"/>
      <c r="H514" s="922"/>
      <c r="I514" s="922">
        <f>IF(Formular!BH80&lt;400,400,Formular!BH80)</f>
        <v>400</v>
      </c>
      <c r="J514" s="922"/>
      <c r="K514" s="922"/>
      <c r="L514" s="922">
        <f>Formular!BK80</f>
        <v>365</v>
      </c>
      <c r="M514" s="922"/>
      <c r="N514" s="922"/>
      <c r="O514" s="922"/>
      <c r="P514" s="923"/>
      <c r="Q514" s="235">
        <f>Formular!BM80</f>
        <v>0</v>
      </c>
      <c r="R514" s="236">
        <f t="shared" si="75"/>
        <v>0</v>
      </c>
      <c r="S514" s="917">
        <f t="shared" si="70"/>
        <v>0</v>
      </c>
      <c r="T514" s="918"/>
      <c r="U514" s="353"/>
      <c r="V514" s="5">
        <f t="shared" si="71"/>
        <v>0</v>
      </c>
      <c r="W514" s="5"/>
      <c r="X514" s="5"/>
      <c r="Y514" s="5"/>
      <c r="Z514" s="5"/>
      <c r="AA514" s="5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/>
      <c r="AO514" s="4"/>
      <c r="AP514" s="144"/>
      <c r="AQ514" s="144"/>
      <c r="AR514" s="144"/>
      <c r="AS514" s="144"/>
      <c r="AT514" s="4"/>
    </row>
    <row r="515" spans="1:46" s="77" customFormat="1" ht="15" customHeight="1">
      <c r="A515" s="935" t="str">
        <f t="shared" si="72"/>
        <v>-CMD</v>
      </c>
      <c r="B515" s="928"/>
      <c r="C515" s="928"/>
      <c r="D515" s="928">
        <f t="shared" si="73"/>
        <v>0</v>
      </c>
      <c r="E515" s="928"/>
      <c r="F515" s="922">
        <f t="shared" si="74"/>
        <v>0</v>
      </c>
      <c r="G515" s="922"/>
      <c r="H515" s="922"/>
      <c r="I515" s="922">
        <f>IF(Formular!BH81&lt;400,400,Formular!BH81)</f>
        <v>400</v>
      </c>
      <c r="J515" s="922"/>
      <c r="K515" s="922"/>
      <c r="L515" s="922">
        <f>Formular!BK81</f>
        <v>365</v>
      </c>
      <c r="M515" s="922"/>
      <c r="N515" s="922"/>
      <c r="O515" s="922"/>
      <c r="P515" s="923"/>
      <c r="Q515" s="235">
        <f>Formular!BM81</f>
        <v>0</v>
      </c>
      <c r="R515" s="236">
        <f t="shared" si="75"/>
        <v>0</v>
      </c>
      <c r="S515" s="917">
        <f t="shared" si="70"/>
        <v>0</v>
      </c>
      <c r="T515" s="918"/>
      <c r="U515" s="353"/>
      <c r="V515" s="5">
        <f t="shared" si="71"/>
        <v>0</v>
      </c>
      <c r="W515" s="5"/>
      <c r="X515" s="5"/>
      <c r="Y515" s="5"/>
      <c r="Z515" s="5"/>
      <c r="AA515" s="5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/>
      <c r="AO515" s="4"/>
      <c r="AP515" s="144"/>
      <c r="AQ515" s="144"/>
      <c r="AR515" s="144"/>
      <c r="AS515" s="144"/>
      <c r="AT515" s="4"/>
    </row>
    <row r="516" spans="1:46" s="77" customFormat="1" ht="15" customHeight="1">
      <c r="A516" s="935" t="str">
        <f t="shared" si="72"/>
        <v>-CMD</v>
      </c>
      <c r="B516" s="928"/>
      <c r="C516" s="928"/>
      <c r="D516" s="928">
        <f t="shared" si="73"/>
        <v>0</v>
      </c>
      <c r="E516" s="928"/>
      <c r="F516" s="922">
        <f t="shared" si="74"/>
        <v>0</v>
      </c>
      <c r="G516" s="922"/>
      <c r="H516" s="922"/>
      <c r="I516" s="922">
        <f>IF(Formular!BH82&lt;400,400,Formular!BH82)</f>
        <v>400</v>
      </c>
      <c r="J516" s="922"/>
      <c r="K516" s="922"/>
      <c r="L516" s="922">
        <f>Formular!BK82</f>
        <v>365</v>
      </c>
      <c r="M516" s="922"/>
      <c r="N516" s="922"/>
      <c r="O516" s="922"/>
      <c r="P516" s="923"/>
      <c r="Q516" s="235">
        <f>Formular!BM82</f>
        <v>0</v>
      </c>
      <c r="R516" s="236">
        <f t="shared" si="75"/>
        <v>0</v>
      </c>
      <c r="S516" s="917">
        <f t="shared" si="70"/>
        <v>0</v>
      </c>
      <c r="T516" s="918"/>
      <c r="U516" s="353"/>
      <c r="V516" s="5">
        <f t="shared" si="71"/>
        <v>0</v>
      </c>
      <c r="W516" s="5"/>
      <c r="X516" s="5"/>
      <c r="Y516" s="5"/>
      <c r="Z516" s="5"/>
      <c r="AA516" s="5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/>
      <c r="AO516" s="4"/>
      <c r="AP516" s="144"/>
      <c r="AQ516" s="144"/>
      <c r="AR516" s="144"/>
      <c r="AS516" s="144"/>
      <c r="AT516" s="4"/>
    </row>
    <row r="517" spans="1:46" s="77" customFormat="1" ht="15" customHeight="1">
      <c r="A517" s="935" t="str">
        <f t="shared" si="72"/>
        <v>-CMD</v>
      </c>
      <c r="B517" s="928"/>
      <c r="C517" s="928"/>
      <c r="D517" s="928">
        <f t="shared" si="73"/>
        <v>0</v>
      </c>
      <c r="E517" s="928"/>
      <c r="F517" s="922">
        <f t="shared" si="74"/>
        <v>0</v>
      </c>
      <c r="G517" s="922"/>
      <c r="H517" s="922"/>
      <c r="I517" s="922">
        <f>IF(Formular!BH83&lt;400,400,Formular!BH83)</f>
        <v>400</v>
      </c>
      <c r="J517" s="922"/>
      <c r="K517" s="922"/>
      <c r="L517" s="922">
        <f>Formular!BK83</f>
        <v>365</v>
      </c>
      <c r="M517" s="922"/>
      <c r="N517" s="922"/>
      <c r="O517" s="922"/>
      <c r="P517" s="923"/>
      <c r="Q517" s="235">
        <f>Formular!BM83</f>
        <v>0</v>
      </c>
      <c r="R517" s="236">
        <f t="shared" si="75"/>
        <v>0</v>
      </c>
      <c r="S517" s="917">
        <f t="shared" si="70"/>
        <v>0</v>
      </c>
      <c r="T517" s="918"/>
      <c r="U517" s="353"/>
      <c r="V517" s="5">
        <f t="shared" si="71"/>
        <v>0</v>
      </c>
      <c r="W517" s="5"/>
      <c r="X517" s="5"/>
      <c r="Y517" s="5"/>
      <c r="Z517" s="5"/>
      <c r="AA517" s="5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/>
      <c r="AO517" s="4"/>
      <c r="AP517" s="144"/>
      <c r="AQ517" s="144"/>
      <c r="AR517" s="144"/>
      <c r="AS517" s="144"/>
      <c r="AT517" s="4"/>
    </row>
    <row r="518" spans="1:46" s="77" customFormat="1" ht="15" customHeight="1">
      <c r="A518" s="935" t="str">
        <f t="shared" si="72"/>
        <v>-CMD</v>
      </c>
      <c r="B518" s="928"/>
      <c r="C518" s="928"/>
      <c r="D518" s="928">
        <f t="shared" si="73"/>
        <v>0</v>
      </c>
      <c r="E518" s="928"/>
      <c r="F518" s="922">
        <f t="shared" si="74"/>
        <v>0</v>
      </c>
      <c r="G518" s="922"/>
      <c r="H518" s="922"/>
      <c r="I518" s="922">
        <f>IF(Formular!BH84&lt;400,400,Formular!BH84)</f>
        <v>400</v>
      </c>
      <c r="J518" s="922"/>
      <c r="K518" s="922"/>
      <c r="L518" s="922">
        <f>Formular!BK84</f>
        <v>365</v>
      </c>
      <c r="M518" s="922"/>
      <c r="N518" s="922"/>
      <c r="O518" s="922"/>
      <c r="P518" s="923"/>
      <c r="Q518" s="235">
        <f>Formular!BM84</f>
        <v>0</v>
      </c>
      <c r="R518" s="236">
        <f t="shared" si="75"/>
        <v>0</v>
      </c>
      <c r="S518" s="917">
        <f t="shared" si="70"/>
        <v>0</v>
      </c>
      <c r="T518" s="918"/>
      <c r="U518" s="353"/>
      <c r="V518" s="5">
        <f t="shared" si="71"/>
        <v>0</v>
      </c>
      <c r="W518" s="5"/>
      <c r="X518" s="5"/>
      <c r="Y518" s="5"/>
      <c r="Z518" s="5"/>
      <c r="AA518" s="5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/>
      <c r="AO518" s="4"/>
      <c r="AP518" s="144"/>
      <c r="AQ518" s="144"/>
      <c r="AR518" s="144"/>
      <c r="AS518" s="144"/>
      <c r="AT518" s="4"/>
    </row>
    <row r="519" spans="1:46" s="77" customFormat="1" ht="15" customHeight="1">
      <c r="A519" s="935" t="str">
        <f t="shared" si="72"/>
        <v>-CMD</v>
      </c>
      <c r="B519" s="928"/>
      <c r="C519" s="928"/>
      <c r="D519" s="928">
        <f t="shared" si="73"/>
        <v>0</v>
      </c>
      <c r="E519" s="928"/>
      <c r="F519" s="922">
        <f t="shared" si="74"/>
        <v>0</v>
      </c>
      <c r="G519" s="922"/>
      <c r="H519" s="922"/>
      <c r="I519" s="922">
        <f>IF(Formular!BH85&lt;400,400,Formular!BH85)</f>
        <v>400</v>
      </c>
      <c r="J519" s="922"/>
      <c r="K519" s="922"/>
      <c r="L519" s="922">
        <f>Formular!BK85</f>
        <v>365</v>
      </c>
      <c r="M519" s="922"/>
      <c r="N519" s="922"/>
      <c r="O519" s="922"/>
      <c r="P519" s="923"/>
      <c r="Q519" s="235">
        <f>Formular!BM85</f>
        <v>0</v>
      </c>
      <c r="R519" s="236">
        <f t="shared" si="75"/>
        <v>0</v>
      </c>
      <c r="S519" s="917">
        <f t="shared" si="70"/>
        <v>0</v>
      </c>
      <c r="T519" s="918"/>
      <c r="U519" s="353"/>
      <c r="V519" s="5">
        <f t="shared" si="71"/>
        <v>0</v>
      </c>
      <c r="W519" s="5"/>
      <c r="X519" s="5"/>
      <c r="Y519" s="5"/>
      <c r="Z519" s="5"/>
      <c r="AA519" s="5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/>
      <c r="AO519" s="4"/>
      <c r="AP519" s="144"/>
      <c r="AQ519" s="144"/>
      <c r="AR519" s="144"/>
      <c r="AS519" s="144"/>
      <c r="AT519" s="4"/>
    </row>
    <row r="520" spans="1:46" s="77" customFormat="1" ht="15" customHeight="1">
      <c r="A520" s="935" t="str">
        <f t="shared" si="72"/>
        <v>-CMD</v>
      </c>
      <c r="B520" s="928"/>
      <c r="C520" s="928"/>
      <c r="D520" s="928">
        <f t="shared" si="73"/>
        <v>0</v>
      </c>
      <c r="E520" s="928"/>
      <c r="F520" s="922">
        <f t="shared" si="74"/>
        <v>0</v>
      </c>
      <c r="G520" s="922"/>
      <c r="H520" s="922"/>
      <c r="I520" s="922">
        <f>IF(Formular!BH86&lt;400,400,Formular!BH86)</f>
        <v>400</v>
      </c>
      <c r="J520" s="922"/>
      <c r="K520" s="922"/>
      <c r="L520" s="922">
        <f>Formular!BK86</f>
        <v>365</v>
      </c>
      <c r="M520" s="922"/>
      <c r="N520" s="922"/>
      <c r="O520" s="922"/>
      <c r="P520" s="923"/>
      <c r="Q520" s="235">
        <f>Formular!BM86</f>
        <v>0</v>
      </c>
      <c r="R520" s="236">
        <f t="shared" si="75"/>
        <v>0</v>
      </c>
      <c r="S520" s="917">
        <f t="shared" si="70"/>
        <v>0</v>
      </c>
      <c r="T520" s="918"/>
      <c r="U520" s="353"/>
      <c r="V520" s="5">
        <f t="shared" si="71"/>
        <v>0</v>
      </c>
      <c r="W520" s="5"/>
      <c r="X520" s="5"/>
      <c r="Y520" s="5"/>
      <c r="Z520" s="5"/>
      <c r="AA520" s="5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/>
      <c r="AO520" s="4"/>
      <c r="AP520" s="144"/>
      <c r="AQ520" s="144"/>
      <c r="AR520" s="144"/>
      <c r="AS520" s="144"/>
      <c r="AT520" s="4"/>
    </row>
    <row r="521" spans="1:46" s="77" customFormat="1" ht="15" customHeight="1">
      <c r="A521" s="935" t="str">
        <f t="shared" si="72"/>
        <v>-CMD</v>
      </c>
      <c r="B521" s="928"/>
      <c r="C521" s="928"/>
      <c r="D521" s="928">
        <f t="shared" si="73"/>
        <v>0</v>
      </c>
      <c r="E521" s="928"/>
      <c r="F521" s="922">
        <f t="shared" si="74"/>
        <v>0</v>
      </c>
      <c r="G521" s="922"/>
      <c r="H521" s="922"/>
      <c r="I521" s="922">
        <f>IF(Formular!BH87&lt;400,400,Formular!BH87)</f>
        <v>400</v>
      </c>
      <c r="J521" s="922"/>
      <c r="K521" s="922"/>
      <c r="L521" s="922">
        <f>Formular!BK87</f>
        <v>365</v>
      </c>
      <c r="M521" s="922"/>
      <c r="N521" s="922"/>
      <c r="O521" s="922"/>
      <c r="P521" s="923"/>
      <c r="Q521" s="235">
        <f>Formular!BM87</f>
        <v>0</v>
      </c>
      <c r="R521" s="236">
        <f t="shared" si="75"/>
        <v>0</v>
      </c>
      <c r="S521" s="917">
        <f t="shared" si="70"/>
        <v>0</v>
      </c>
      <c r="T521" s="918"/>
      <c r="U521" s="353"/>
      <c r="V521" s="5">
        <f t="shared" si="71"/>
        <v>0</v>
      </c>
      <c r="W521" s="5"/>
      <c r="X521" s="5"/>
      <c r="Y521" s="5"/>
      <c r="Z521" s="5"/>
      <c r="AA521" s="5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/>
      <c r="AO521" s="4"/>
      <c r="AP521" s="144"/>
      <c r="AQ521" s="144"/>
      <c r="AR521" s="144"/>
      <c r="AS521" s="144"/>
      <c r="AT521" s="4"/>
    </row>
    <row r="522" spans="1:46" s="77" customFormat="1" ht="15" customHeight="1">
      <c r="A522" s="935" t="str">
        <f t="shared" si="72"/>
        <v>-CMD</v>
      </c>
      <c r="B522" s="928"/>
      <c r="C522" s="928"/>
      <c r="D522" s="928">
        <f t="shared" si="73"/>
        <v>0</v>
      </c>
      <c r="E522" s="928"/>
      <c r="F522" s="922">
        <f t="shared" si="74"/>
        <v>0</v>
      </c>
      <c r="G522" s="922"/>
      <c r="H522" s="922"/>
      <c r="I522" s="922">
        <f>IF(Formular!BH88&lt;400,400,Formular!BH88)</f>
        <v>400</v>
      </c>
      <c r="J522" s="922"/>
      <c r="K522" s="922"/>
      <c r="L522" s="922">
        <f>Formular!BK88</f>
        <v>365</v>
      </c>
      <c r="M522" s="922"/>
      <c r="N522" s="922"/>
      <c r="O522" s="922"/>
      <c r="P522" s="923"/>
      <c r="Q522" s="235">
        <f>Formular!BM88</f>
        <v>0</v>
      </c>
      <c r="R522" s="236">
        <f t="shared" si="75"/>
        <v>0</v>
      </c>
      <c r="S522" s="917">
        <f t="shared" si="70"/>
        <v>0</v>
      </c>
      <c r="T522" s="918"/>
      <c r="U522" s="353"/>
      <c r="V522" s="5">
        <f t="shared" si="71"/>
        <v>0</v>
      </c>
      <c r="W522" s="5"/>
      <c r="X522" s="5"/>
      <c r="Y522" s="5"/>
      <c r="Z522" s="5"/>
      <c r="AA522" s="5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/>
      <c r="AO522" s="4"/>
      <c r="AP522" s="144"/>
      <c r="AQ522" s="144"/>
      <c r="AR522" s="144"/>
      <c r="AS522" s="144"/>
      <c r="AT522" s="4"/>
    </row>
    <row r="523" spans="1:46" s="77" customFormat="1" ht="15" customHeight="1">
      <c r="A523" s="935" t="str">
        <f t="shared" si="72"/>
        <v>-CMD</v>
      </c>
      <c r="B523" s="928"/>
      <c r="C523" s="928"/>
      <c r="D523" s="928">
        <f t="shared" si="73"/>
        <v>0</v>
      </c>
      <c r="E523" s="928"/>
      <c r="F523" s="922">
        <f t="shared" si="74"/>
        <v>0</v>
      </c>
      <c r="G523" s="922"/>
      <c r="H523" s="922"/>
      <c r="I523" s="922">
        <f>IF(Formular!BH89&lt;400,400,Formular!BH89)</f>
        <v>400</v>
      </c>
      <c r="J523" s="922"/>
      <c r="K523" s="922"/>
      <c r="L523" s="922">
        <f>Formular!BK89</f>
        <v>365</v>
      </c>
      <c r="M523" s="922"/>
      <c r="N523" s="922"/>
      <c r="O523" s="922"/>
      <c r="P523" s="923"/>
      <c r="Q523" s="235">
        <f>Formular!BM89</f>
        <v>0</v>
      </c>
      <c r="R523" s="236">
        <f t="shared" si="75"/>
        <v>0</v>
      </c>
      <c r="S523" s="917">
        <f t="shared" si="70"/>
        <v>0</v>
      </c>
      <c r="T523" s="918"/>
      <c r="U523" s="353"/>
      <c r="V523" s="5">
        <f t="shared" si="71"/>
        <v>0</v>
      </c>
      <c r="W523" s="5"/>
      <c r="X523" s="5"/>
      <c r="Y523" s="5"/>
      <c r="Z523" s="5"/>
      <c r="AA523" s="5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/>
      <c r="AO523" s="4"/>
      <c r="AP523" s="144"/>
      <c r="AQ523" s="144"/>
      <c r="AR523" s="144"/>
      <c r="AS523" s="144"/>
      <c r="AT523" s="4"/>
    </row>
    <row r="524" spans="1:46" s="77" customFormat="1" ht="15" customHeight="1">
      <c r="A524" s="935" t="str">
        <f t="shared" si="72"/>
        <v>-CMD</v>
      </c>
      <c r="B524" s="928"/>
      <c r="C524" s="928"/>
      <c r="D524" s="928">
        <f t="shared" si="73"/>
        <v>0</v>
      </c>
      <c r="E524" s="928"/>
      <c r="F524" s="922">
        <f t="shared" si="74"/>
        <v>0</v>
      </c>
      <c r="G524" s="922"/>
      <c r="H524" s="922"/>
      <c r="I524" s="922">
        <f>IF(Formular!BH90&lt;400,400,Formular!BH90)</f>
        <v>400</v>
      </c>
      <c r="J524" s="922"/>
      <c r="K524" s="922"/>
      <c r="L524" s="922">
        <f>Formular!BK90</f>
        <v>365</v>
      </c>
      <c r="M524" s="922"/>
      <c r="N524" s="922"/>
      <c r="O524" s="922"/>
      <c r="P524" s="923"/>
      <c r="Q524" s="235">
        <f>Formular!BM90</f>
        <v>0</v>
      </c>
      <c r="R524" s="236">
        <f t="shared" si="75"/>
        <v>0</v>
      </c>
      <c r="S524" s="917">
        <f t="shared" si="70"/>
        <v>0</v>
      </c>
      <c r="T524" s="918"/>
      <c r="U524" s="353"/>
      <c r="V524" s="5">
        <f t="shared" si="71"/>
        <v>0</v>
      </c>
      <c r="W524" s="5"/>
      <c r="X524" s="5"/>
      <c r="Y524" s="5"/>
      <c r="Z524" s="5"/>
      <c r="AA524" s="5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/>
      <c r="AO524" s="4"/>
      <c r="AP524" s="144"/>
      <c r="AQ524" s="144"/>
      <c r="AR524" s="144"/>
      <c r="AS524" s="144"/>
      <c r="AT524" s="4"/>
    </row>
    <row r="525" spans="1:46" s="77" customFormat="1" ht="15" customHeight="1">
      <c r="A525" s="935" t="str">
        <f>Formular!BH92</f>
        <v>PROFIL J SAGEAC</v>
      </c>
      <c r="B525" s="928"/>
      <c r="C525" s="928"/>
      <c r="D525" s="928">
        <f>D524</f>
        <v>0</v>
      </c>
      <c r="E525" s="928"/>
      <c r="F525" s="922">
        <f>F524</f>
        <v>0</v>
      </c>
      <c r="G525" s="922"/>
      <c r="H525" s="922"/>
      <c r="I525" s="922"/>
      <c r="J525" s="922"/>
      <c r="K525" s="922"/>
      <c r="L525" s="922"/>
      <c r="M525" s="922"/>
      <c r="N525" s="922"/>
      <c r="O525" s="922"/>
      <c r="P525" s="923"/>
      <c r="Q525" s="235">
        <f>Formular!BM92</f>
        <v>0</v>
      </c>
      <c r="R525" s="236">
        <f>Select!D589</f>
        <v>0</v>
      </c>
      <c r="S525" s="917">
        <f>Q525*R525</f>
        <v>0</v>
      </c>
      <c r="T525" s="918"/>
      <c r="U525" s="353"/>
      <c r="V525" s="5"/>
      <c r="W525" s="5"/>
      <c r="X525" s="5"/>
      <c r="Y525" s="5"/>
      <c r="Z525" s="5"/>
      <c r="AA525" s="5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/>
      <c r="AO525" s="4"/>
      <c r="AP525" s="144"/>
      <c r="AQ525" s="144"/>
      <c r="AR525" s="144"/>
      <c r="AS525" s="144"/>
      <c r="AT525" s="4"/>
    </row>
    <row r="526" spans="1:46" s="77" customFormat="1" ht="15" customHeight="1">
      <c r="A526" s="935" t="str">
        <f>Formular!BH93</f>
        <v>COLTAR INTERIOR SAGEAC</v>
      </c>
      <c r="B526" s="928"/>
      <c r="C526" s="928"/>
      <c r="D526" s="928">
        <f>D525</f>
        <v>0</v>
      </c>
      <c r="E526" s="928"/>
      <c r="F526" s="922">
        <f>F525</f>
        <v>0</v>
      </c>
      <c r="G526" s="922"/>
      <c r="H526" s="922"/>
      <c r="I526" s="922"/>
      <c r="J526" s="922"/>
      <c r="K526" s="922"/>
      <c r="L526" s="922"/>
      <c r="M526" s="922"/>
      <c r="N526" s="922"/>
      <c r="O526" s="922"/>
      <c r="P526" s="923"/>
      <c r="Q526" s="235">
        <f>Formular!BM93</f>
        <v>0</v>
      </c>
      <c r="R526" s="236">
        <f>Select!D590</f>
        <v>0</v>
      </c>
      <c r="S526" s="917">
        <f t="shared" ref="S526:S527" si="76">Q526*R526</f>
        <v>0</v>
      </c>
      <c r="T526" s="918"/>
      <c r="U526" s="353"/>
      <c r="V526" s="5"/>
      <c r="W526" s="5"/>
      <c r="X526" s="5"/>
      <c r="Y526" s="5"/>
      <c r="Z526" s="5"/>
      <c r="AA526" s="5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/>
      <c r="AO526" s="4"/>
      <c r="AP526" s="144"/>
      <c r="AQ526" s="144"/>
      <c r="AR526" s="144"/>
      <c r="AS526" s="144"/>
      <c r="AT526" s="4"/>
    </row>
    <row r="527" spans="1:46" s="77" customFormat="1" ht="15" customHeight="1">
      <c r="A527" s="935" t="str">
        <f>Formular!BH94</f>
        <v>COLTAR EXTERIOR SAGEAC</v>
      </c>
      <c r="B527" s="928"/>
      <c r="C527" s="928"/>
      <c r="D527" s="928">
        <f>D526</f>
        <v>0</v>
      </c>
      <c r="E527" s="928"/>
      <c r="F527" s="922">
        <f>F526</f>
        <v>0</v>
      </c>
      <c r="G527" s="922"/>
      <c r="H527" s="922"/>
      <c r="I527" s="922"/>
      <c r="J527" s="922"/>
      <c r="K527" s="922"/>
      <c r="L527" s="922"/>
      <c r="M527" s="922"/>
      <c r="N527" s="922"/>
      <c r="O527" s="922"/>
      <c r="P527" s="923"/>
      <c r="Q527" s="235">
        <f>Formular!BM94</f>
        <v>0</v>
      </c>
      <c r="R527" s="236">
        <f>Select!D591</f>
        <v>0</v>
      </c>
      <c r="S527" s="917">
        <f t="shared" si="76"/>
        <v>0</v>
      </c>
      <c r="T527" s="918"/>
      <c r="U527" s="353"/>
      <c r="V527" s="5"/>
      <c r="W527" s="5"/>
      <c r="X527" s="5"/>
      <c r="Y527" s="5"/>
      <c r="Z527" s="5"/>
      <c r="AA527" s="5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/>
      <c r="AO527" s="4"/>
      <c r="AP527" s="144"/>
      <c r="AQ527" s="144"/>
      <c r="AR527" s="144"/>
      <c r="AS527" s="144"/>
      <c r="AT527" s="4"/>
    </row>
    <row r="528" spans="1:46" s="77" customFormat="1" ht="15" customHeight="1">
      <c r="A528" s="929" t="str">
        <f>Lang!A413</f>
        <v>TABLA CUTATA/PLANA SUBTIRE</v>
      </c>
      <c r="B528" s="930"/>
      <c r="C528" s="930"/>
      <c r="D528" s="930"/>
      <c r="E528" s="930"/>
      <c r="F528" s="930"/>
      <c r="G528" s="930"/>
      <c r="H528" s="930"/>
      <c r="I528" s="930"/>
      <c r="J528" s="930"/>
      <c r="K528" s="930"/>
      <c r="L528" s="930"/>
      <c r="M528" s="930"/>
      <c r="N528" s="930"/>
      <c r="O528" s="930"/>
      <c r="P528" s="931"/>
      <c r="Q528" s="270">
        <f>IF(W530&gt;0,1,0)</f>
        <v>0</v>
      </c>
      <c r="R528" s="267"/>
      <c r="S528" s="268"/>
      <c r="T528" s="269"/>
      <c r="U528" s="365"/>
      <c r="V528" s="5"/>
      <c r="W528" s="5"/>
      <c r="X528" s="5"/>
      <c r="Y528" s="5"/>
      <c r="Z528" s="5"/>
      <c r="AA528" s="5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/>
      <c r="AO528" s="4"/>
      <c r="AP528" s="144"/>
      <c r="AQ528" s="144"/>
      <c r="AR528" s="144"/>
      <c r="AS528" s="144"/>
      <c r="AT528" s="4"/>
    </row>
    <row r="529" spans="1:46" s="77" customFormat="1" ht="15" customHeight="1">
      <c r="A529" s="932" t="str">
        <f>Lang!A23&amp;W530&amp;" |  "&amp;Lang!A403&amp;X530&amp;Lang!A404</f>
        <v xml:space="preserve">Total MP 0 |  Valoare 0 euro fara tva </v>
      </c>
      <c r="B529" s="933"/>
      <c r="C529" s="933"/>
      <c r="D529" s="933"/>
      <c r="E529" s="933"/>
      <c r="F529" s="933"/>
      <c r="G529" s="933"/>
      <c r="H529" s="933"/>
      <c r="I529" s="933"/>
      <c r="J529" s="933"/>
      <c r="K529" s="933"/>
      <c r="L529" s="933"/>
      <c r="M529" s="933"/>
      <c r="N529" s="933"/>
      <c r="O529" s="933"/>
      <c r="P529" s="934"/>
      <c r="Q529" s="271">
        <f>Q528</f>
        <v>0</v>
      </c>
      <c r="R529" s="264"/>
      <c r="S529" s="265"/>
      <c r="T529" s="266"/>
      <c r="U529" s="366"/>
      <c r="V529" s="5"/>
      <c r="W529" s="5"/>
      <c r="X529" s="5"/>
      <c r="Y529" s="5"/>
      <c r="Z529" s="5"/>
      <c r="AA529" s="5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/>
      <c r="AO529" s="4"/>
      <c r="AP529" s="144"/>
      <c r="AQ529" s="144"/>
      <c r="AR529" s="144"/>
      <c r="AS529" s="144"/>
      <c r="AT529" s="4"/>
    </row>
    <row r="530" spans="1:46" s="77" customFormat="1" ht="15" customHeight="1">
      <c r="A530" s="935" t="s">
        <v>1774</v>
      </c>
      <c r="B530" s="928"/>
      <c r="C530" s="928"/>
      <c r="D530" s="928" t="str">
        <f>Formular!BN9</f>
        <v>OTEL PREVOPSIT 0.30 MM RAL 3011</v>
      </c>
      <c r="E530" s="928"/>
      <c r="F530" s="928"/>
      <c r="G530" s="928"/>
      <c r="H530" s="922">
        <f>Formular!BO9</f>
        <v>950</v>
      </c>
      <c r="I530" s="922"/>
      <c r="J530" s="922"/>
      <c r="K530" s="922"/>
      <c r="L530" s="922">
        <f>Formular!BP9</f>
        <v>2000</v>
      </c>
      <c r="M530" s="922"/>
      <c r="N530" s="922"/>
      <c r="O530" s="922"/>
      <c r="P530" s="923"/>
      <c r="Q530" s="257">
        <f>Formular!BQ9</f>
        <v>0</v>
      </c>
      <c r="R530" s="256">
        <f>In!F90</f>
        <v>3.91</v>
      </c>
      <c r="S530" s="917">
        <f>IF(ISERROR((H530*L530)/1000000*Q530*R530),"0",(H530*L530)/1000000*Q530*R530)</f>
        <v>0</v>
      </c>
      <c r="T530" s="918"/>
      <c r="U530" s="367"/>
      <c r="V530" s="5">
        <f>IF(ISERROR((H530*L530)/1000000*Q530),"0",(H530*L530)/1000000*Q530)</f>
        <v>0</v>
      </c>
      <c r="W530" s="5">
        <f>SUM(V530:V544)</f>
        <v>0</v>
      </c>
      <c r="X530" s="186">
        <f>ROUND(SUM(S530:T544),2)</f>
        <v>0</v>
      </c>
      <c r="Y530" s="5"/>
      <c r="Z530" s="5"/>
      <c r="AA530" s="5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/>
      <c r="AO530" s="4"/>
      <c r="AP530" s="144"/>
      <c r="AQ530" s="144"/>
      <c r="AR530" s="144"/>
      <c r="AS530" s="144"/>
      <c r="AT530" s="4"/>
    </row>
    <row r="531" spans="1:46" s="77" customFormat="1" ht="15" customHeight="1">
      <c r="A531" s="935" t="s">
        <v>1774</v>
      </c>
      <c r="B531" s="928"/>
      <c r="C531" s="928"/>
      <c r="D531" s="928" t="str">
        <f>Formular!BN10</f>
        <v>OTEL PREVOPSIT 0.30 MM RAL 8017</v>
      </c>
      <c r="E531" s="928"/>
      <c r="F531" s="928"/>
      <c r="G531" s="928"/>
      <c r="H531" s="922">
        <f>Formular!BO10</f>
        <v>950</v>
      </c>
      <c r="I531" s="922"/>
      <c r="J531" s="922"/>
      <c r="K531" s="922"/>
      <c r="L531" s="922">
        <f>Formular!BP10</f>
        <v>2000</v>
      </c>
      <c r="M531" s="922"/>
      <c r="N531" s="922"/>
      <c r="O531" s="922"/>
      <c r="P531" s="923"/>
      <c r="Q531" s="257">
        <f>Formular!BQ10</f>
        <v>0</v>
      </c>
      <c r="R531" s="256">
        <f>In!F91</f>
        <v>3.91</v>
      </c>
      <c r="S531" s="917">
        <f t="shared" ref="S531:S544" si="77">IF(ISERROR((H531*L531)/1000000*Q531*R531),"0",(H531*L531)/1000000*Q531*R531)</f>
        <v>0</v>
      </c>
      <c r="T531" s="918"/>
      <c r="U531" s="353"/>
      <c r="V531" s="5">
        <f t="shared" ref="V531:V544" si="78">IF(ISERROR((H531*L531)/1000000*Q531),"0",(H531*L531)/1000000*Q531)</f>
        <v>0</v>
      </c>
      <c r="W531" s="5"/>
      <c r="X531" s="5"/>
      <c r="Y531" s="5"/>
      <c r="Z531" s="5"/>
      <c r="AA531" s="5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/>
      <c r="AO531" s="4"/>
      <c r="AP531" s="144"/>
      <c r="AQ531" s="144"/>
      <c r="AR531" s="144"/>
      <c r="AS531" s="144"/>
      <c r="AT531" s="4"/>
    </row>
    <row r="532" spans="1:46" s="77" customFormat="1" ht="15" customHeight="1">
      <c r="A532" s="935" t="s">
        <v>1774</v>
      </c>
      <c r="B532" s="928"/>
      <c r="C532" s="928"/>
      <c r="D532" s="928" t="str">
        <f>Formular!BN11</f>
        <v>OTEL ZINCAT 0.35 MM</v>
      </c>
      <c r="E532" s="928"/>
      <c r="F532" s="928"/>
      <c r="G532" s="928"/>
      <c r="H532" s="922">
        <f>Formular!BO11</f>
        <v>950</v>
      </c>
      <c r="I532" s="922"/>
      <c r="J532" s="922"/>
      <c r="K532" s="922"/>
      <c r="L532" s="922">
        <f>Formular!BP11</f>
        <v>2000</v>
      </c>
      <c r="M532" s="922"/>
      <c r="N532" s="922"/>
      <c r="O532" s="922"/>
      <c r="P532" s="923"/>
      <c r="Q532" s="257">
        <f>Formular!BQ11</f>
        <v>0</v>
      </c>
      <c r="R532" s="256">
        <f>In!F92</f>
        <v>4.8899999999999997</v>
      </c>
      <c r="S532" s="917">
        <f t="shared" si="77"/>
        <v>0</v>
      </c>
      <c r="T532" s="918"/>
      <c r="U532" s="353"/>
      <c r="V532" s="5">
        <f t="shared" si="78"/>
        <v>0</v>
      </c>
      <c r="W532" s="5"/>
      <c r="X532" s="5"/>
      <c r="Y532" s="5"/>
      <c r="Z532" s="5"/>
      <c r="AA532" s="5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/>
      <c r="AO532" s="4"/>
      <c r="AP532" s="144"/>
      <c r="AQ532" s="144"/>
      <c r="AR532" s="144"/>
      <c r="AS532" s="144"/>
      <c r="AT532" s="4"/>
    </row>
    <row r="533" spans="1:46" s="77" customFormat="1" ht="15" customHeight="1">
      <c r="A533" s="935" t="s">
        <v>1774</v>
      </c>
      <c r="B533" s="928"/>
      <c r="C533" s="928"/>
      <c r="D533" s="928" t="str">
        <f>Formular!BN12</f>
        <v>OTEL ZINCAT 0.30 MM</v>
      </c>
      <c r="E533" s="928"/>
      <c r="F533" s="928"/>
      <c r="G533" s="928"/>
      <c r="H533" s="922">
        <f>Formular!BO12</f>
        <v>950</v>
      </c>
      <c r="I533" s="922"/>
      <c r="J533" s="922"/>
      <c r="K533" s="922"/>
      <c r="L533" s="922">
        <f>Formular!BP12</f>
        <v>2000</v>
      </c>
      <c r="M533" s="922"/>
      <c r="N533" s="922"/>
      <c r="O533" s="922"/>
      <c r="P533" s="923"/>
      <c r="Q533" s="257">
        <f>Formular!BQ12</f>
        <v>0</v>
      </c>
      <c r="R533" s="256">
        <f>In!F93</f>
        <v>3.9</v>
      </c>
      <c r="S533" s="917">
        <f t="shared" si="77"/>
        <v>0</v>
      </c>
      <c r="T533" s="918"/>
      <c r="U533" s="353"/>
      <c r="V533" s="5">
        <f t="shared" si="78"/>
        <v>0</v>
      </c>
      <c r="W533" s="5"/>
      <c r="X533" s="5"/>
      <c r="Y533" s="5"/>
      <c r="Z533" s="5"/>
      <c r="AA533" s="5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/>
      <c r="AO533" s="4"/>
      <c r="AP533" s="144"/>
      <c r="AQ533" s="144"/>
      <c r="AR533" s="144"/>
      <c r="AS533" s="144"/>
      <c r="AT533" s="4"/>
    </row>
    <row r="534" spans="1:46" s="77" customFormat="1" ht="15" customHeight="1">
      <c r="A534" s="935" t="s">
        <v>1774</v>
      </c>
      <c r="B534" s="928"/>
      <c r="C534" s="928"/>
      <c r="D534" s="928" t="str">
        <f>Formular!BN13</f>
        <v>OTEL ZINCAT 0.25 MM</v>
      </c>
      <c r="E534" s="928"/>
      <c r="F534" s="928"/>
      <c r="G534" s="928"/>
      <c r="H534" s="922">
        <f>Formular!BO13</f>
        <v>950</v>
      </c>
      <c r="I534" s="922"/>
      <c r="J534" s="922"/>
      <c r="K534" s="922"/>
      <c r="L534" s="922">
        <f>Formular!BP13</f>
        <v>2000</v>
      </c>
      <c r="M534" s="922"/>
      <c r="N534" s="922"/>
      <c r="O534" s="922"/>
      <c r="P534" s="923"/>
      <c r="Q534" s="257">
        <f>Formular!BQ13</f>
        <v>0</v>
      </c>
      <c r="R534" s="256">
        <f>In!F94</f>
        <v>2.86</v>
      </c>
      <c r="S534" s="917">
        <f t="shared" si="77"/>
        <v>0</v>
      </c>
      <c r="T534" s="918"/>
      <c r="U534" s="353"/>
      <c r="V534" s="5">
        <f t="shared" si="78"/>
        <v>0</v>
      </c>
      <c r="W534" s="5"/>
      <c r="X534" s="5"/>
      <c r="Y534" s="5"/>
      <c r="Z534" s="5"/>
      <c r="AA534" s="5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/>
      <c r="AO534" s="4"/>
      <c r="AP534" s="144"/>
      <c r="AQ534" s="144"/>
      <c r="AR534" s="144"/>
      <c r="AS534" s="144"/>
      <c r="AT534" s="4"/>
    </row>
    <row r="535" spans="1:46" s="77" customFormat="1" ht="15" customHeight="1">
      <c r="A535" s="935" t="s">
        <v>1775</v>
      </c>
      <c r="B535" s="928"/>
      <c r="C535" s="928"/>
      <c r="D535" s="928" t="str">
        <f>Formular!BN16</f>
        <v>OTEL PREVOPSIT 0.30 MM RAL 3011</v>
      </c>
      <c r="E535" s="928"/>
      <c r="F535" s="928"/>
      <c r="G535" s="928"/>
      <c r="H535" s="922">
        <f>Formular!BO16</f>
        <v>870</v>
      </c>
      <c r="I535" s="922"/>
      <c r="J535" s="922"/>
      <c r="K535" s="922"/>
      <c r="L535" s="922">
        <f>Formular!BP16</f>
        <v>2000</v>
      </c>
      <c r="M535" s="922"/>
      <c r="N535" s="922"/>
      <c r="O535" s="922"/>
      <c r="P535" s="923"/>
      <c r="Q535" s="257">
        <f>Formular!BQ16</f>
        <v>0</v>
      </c>
      <c r="R535" s="256">
        <f>In!F95</f>
        <v>3.91</v>
      </c>
      <c r="S535" s="917">
        <f t="shared" si="77"/>
        <v>0</v>
      </c>
      <c r="T535" s="918"/>
      <c r="U535" s="353"/>
      <c r="V535" s="5">
        <f t="shared" si="78"/>
        <v>0</v>
      </c>
      <c r="W535" s="5"/>
      <c r="X535" s="5"/>
      <c r="Y535" s="5"/>
      <c r="Z535" s="5"/>
      <c r="AA535" s="5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/>
      <c r="AO535" s="4"/>
      <c r="AP535" s="144"/>
      <c r="AQ535" s="144"/>
      <c r="AR535" s="144"/>
      <c r="AS535" s="144"/>
      <c r="AT535" s="4"/>
    </row>
    <row r="536" spans="1:46" s="77" customFormat="1" ht="15" customHeight="1">
      <c r="A536" s="935" t="s">
        <v>1775</v>
      </c>
      <c r="B536" s="928"/>
      <c r="C536" s="928"/>
      <c r="D536" s="928" t="str">
        <f>Formular!BN17</f>
        <v>OTEL PREVOPSIT 0.30 MM RAL 8017</v>
      </c>
      <c r="E536" s="928"/>
      <c r="F536" s="928"/>
      <c r="G536" s="928"/>
      <c r="H536" s="922">
        <f>Formular!BO17</f>
        <v>870</v>
      </c>
      <c r="I536" s="922"/>
      <c r="J536" s="922"/>
      <c r="K536" s="922"/>
      <c r="L536" s="922">
        <f>Formular!BP17</f>
        <v>2000</v>
      </c>
      <c r="M536" s="922"/>
      <c r="N536" s="922"/>
      <c r="O536" s="922"/>
      <c r="P536" s="923"/>
      <c r="Q536" s="257">
        <f>Formular!BQ17</f>
        <v>0</v>
      </c>
      <c r="R536" s="256">
        <f>In!F96</f>
        <v>3.91</v>
      </c>
      <c r="S536" s="917">
        <f t="shared" si="77"/>
        <v>0</v>
      </c>
      <c r="T536" s="918"/>
      <c r="U536" s="353"/>
      <c r="V536" s="5">
        <f t="shared" si="78"/>
        <v>0</v>
      </c>
      <c r="W536" s="5"/>
      <c r="X536" s="5"/>
      <c r="Y536" s="5"/>
      <c r="Z536" s="5"/>
      <c r="AA536" s="5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/>
      <c r="AO536" s="4"/>
      <c r="AP536" s="144"/>
      <c r="AQ536" s="144"/>
      <c r="AR536" s="144"/>
      <c r="AS536" s="144"/>
      <c r="AT536" s="4"/>
    </row>
    <row r="537" spans="1:46" s="77" customFormat="1" ht="15" customHeight="1">
      <c r="A537" s="935" t="s">
        <v>1775</v>
      </c>
      <c r="B537" s="928"/>
      <c r="C537" s="928"/>
      <c r="D537" s="928" t="str">
        <f>Formular!BN18</f>
        <v>OTEL ZINCAT 0.35 MM</v>
      </c>
      <c r="E537" s="928"/>
      <c r="F537" s="928"/>
      <c r="G537" s="928"/>
      <c r="H537" s="922">
        <f>Formular!BO18</f>
        <v>870</v>
      </c>
      <c r="I537" s="922"/>
      <c r="J537" s="922"/>
      <c r="K537" s="922"/>
      <c r="L537" s="922">
        <f>Formular!BP18</f>
        <v>2000</v>
      </c>
      <c r="M537" s="922"/>
      <c r="N537" s="922"/>
      <c r="O537" s="922"/>
      <c r="P537" s="923"/>
      <c r="Q537" s="257">
        <f>Formular!BQ18</f>
        <v>0</v>
      </c>
      <c r="R537" s="256">
        <f>In!F97</f>
        <v>4.57</v>
      </c>
      <c r="S537" s="917">
        <f t="shared" si="77"/>
        <v>0</v>
      </c>
      <c r="T537" s="918"/>
      <c r="U537" s="353"/>
      <c r="V537" s="5">
        <f t="shared" si="78"/>
        <v>0</v>
      </c>
      <c r="W537" s="5"/>
      <c r="X537" s="5"/>
      <c r="Y537" s="5"/>
      <c r="Z537" s="5"/>
      <c r="AA537" s="5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/>
      <c r="AO537" s="4"/>
      <c r="AP537" s="144"/>
      <c r="AQ537" s="144"/>
      <c r="AR537" s="144"/>
      <c r="AS537" s="144"/>
      <c r="AT537" s="4"/>
    </row>
    <row r="538" spans="1:46" s="77" customFormat="1" ht="15" customHeight="1">
      <c r="A538" s="935" t="s">
        <v>1775</v>
      </c>
      <c r="B538" s="928"/>
      <c r="C538" s="928"/>
      <c r="D538" s="928" t="str">
        <f>Formular!BN19</f>
        <v>OTEL ZINCAT 0.30 MM</v>
      </c>
      <c r="E538" s="928"/>
      <c r="F538" s="928"/>
      <c r="G538" s="928"/>
      <c r="H538" s="922">
        <f>Formular!BO19</f>
        <v>870</v>
      </c>
      <c r="I538" s="922"/>
      <c r="J538" s="922"/>
      <c r="K538" s="922"/>
      <c r="L538" s="922">
        <f>Formular!BP19</f>
        <v>2000</v>
      </c>
      <c r="M538" s="922"/>
      <c r="N538" s="922"/>
      <c r="O538" s="922"/>
      <c r="P538" s="923"/>
      <c r="Q538" s="257">
        <f>Formular!BQ19</f>
        <v>0</v>
      </c>
      <c r="R538" s="256">
        <f>In!F98</f>
        <v>3.92</v>
      </c>
      <c r="S538" s="917">
        <f t="shared" si="77"/>
        <v>0</v>
      </c>
      <c r="T538" s="918"/>
      <c r="U538" s="353"/>
      <c r="V538" s="5">
        <f t="shared" si="78"/>
        <v>0</v>
      </c>
      <c r="W538" s="5"/>
      <c r="X538" s="5"/>
      <c r="Y538" s="5"/>
      <c r="Z538" s="5"/>
      <c r="AA538" s="5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/>
      <c r="AO538" s="4"/>
      <c r="AP538" s="144"/>
      <c r="AQ538" s="144"/>
      <c r="AR538" s="144"/>
      <c r="AS538" s="144"/>
      <c r="AT538" s="4"/>
    </row>
    <row r="539" spans="1:46" s="77" customFormat="1" ht="15" customHeight="1">
      <c r="A539" s="935" t="s">
        <v>1775</v>
      </c>
      <c r="B539" s="928"/>
      <c r="C539" s="928"/>
      <c r="D539" s="928" t="str">
        <f>Formular!BN20</f>
        <v>OTEL ZINCAT 0.25 MM</v>
      </c>
      <c r="E539" s="928"/>
      <c r="F539" s="928"/>
      <c r="G539" s="928"/>
      <c r="H539" s="922">
        <f>Formular!BO20</f>
        <v>870</v>
      </c>
      <c r="I539" s="922"/>
      <c r="J539" s="922"/>
      <c r="K539" s="922"/>
      <c r="L539" s="922">
        <f>Formular!BP20</f>
        <v>2000</v>
      </c>
      <c r="M539" s="922"/>
      <c r="N539" s="922"/>
      <c r="O539" s="922"/>
      <c r="P539" s="923"/>
      <c r="Q539" s="257">
        <f>Formular!BQ20</f>
        <v>0</v>
      </c>
      <c r="R539" s="256">
        <f>In!F99</f>
        <v>2.97</v>
      </c>
      <c r="S539" s="917">
        <f t="shared" si="77"/>
        <v>0</v>
      </c>
      <c r="T539" s="918"/>
      <c r="U539" s="353"/>
      <c r="V539" s="5">
        <f t="shared" si="78"/>
        <v>0</v>
      </c>
      <c r="W539" s="5"/>
      <c r="X539" s="5"/>
      <c r="Y539" s="5"/>
      <c r="Z539" s="5"/>
      <c r="AA539" s="5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/>
      <c r="AO539" s="4"/>
      <c r="AP539" s="144"/>
      <c r="AQ539" s="144"/>
      <c r="AR539" s="144"/>
      <c r="AS539" s="144"/>
      <c r="AT539" s="4"/>
    </row>
    <row r="540" spans="1:46" s="77" customFormat="1" ht="15" customHeight="1">
      <c r="A540" s="935" t="s">
        <v>1776</v>
      </c>
      <c r="B540" s="928"/>
      <c r="C540" s="928"/>
      <c r="D540" s="928" t="str">
        <f>Formular!BN23</f>
        <v>OTEL PREVOPSIT 0.30 MM RAL 3011</v>
      </c>
      <c r="E540" s="928"/>
      <c r="F540" s="928"/>
      <c r="G540" s="928"/>
      <c r="H540" s="922">
        <f>Formular!BO23</f>
        <v>910</v>
      </c>
      <c r="I540" s="922"/>
      <c r="J540" s="922"/>
      <c r="K540" s="922"/>
      <c r="L540" s="922">
        <f>Formular!BP23</f>
        <v>2000</v>
      </c>
      <c r="M540" s="922"/>
      <c r="N540" s="922"/>
      <c r="O540" s="922"/>
      <c r="P540" s="923"/>
      <c r="Q540" s="257">
        <f>Formular!BQ23</f>
        <v>0</v>
      </c>
      <c r="R540" s="256">
        <f>In!F100</f>
        <v>3.74</v>
      </c>
      <c r="S540" s="917">
        <f t="shared" si="77"/>
        <v>0</v>
      </c>
      <c r="T540" s="918"/>
      <c r="U540" s="353"/>
      <c r="V540" s="5">
        <f t="shared" si="78"/>
        <v>0</v>
      </c>
      <c r="W540" s="5"/>
      <c r="X540" s="5"/>
      <c r="Y540" s="5"/>
      <c r="Z540" s="5"/>
      <c r="AA540" s="5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/>
      <c r="AO540" s="4"/>
      <c r="AP540" s="144"/>
      <c r="AQ540" s="144"/>
      <c r="AR540" s="144"/>
      <c r="AS540" s="144"/>
      <c r="AT540" s="4"/>
    </row>
    <row r="541" spans="1:46" s="77" customFormat="1" ht="15" customHeight="1">
      <c r="A541" s="935" t="s">
        <v>1776</v>
      </c>
      <c r="B541" s="928"/>
      <c r="C541" s="928"/>
      <c r="D541" s="928" t="str">
        <f>Formular!BN24</f>
        <v>OTEL PREVOPSIT 0.30 MM RAL 8017</v>
      </c>
      <c r="E541" s="928"/>
      <c r="F541" s="928"/>
      <c r="G541" s="928"/>
      <c r="H541" s="922">
        <f>Formular!BO24</f>
        <v>910</v>
      </c>
      <c r="I541" s="922"/>
      <c r="J541" s="922"/>
      <c r="K541" s="922"/>
      <c r="L541" s="922">
        <f>Formular!BP24</f>
        <v>2000</v>
      </c>
      <c r="M541" s="922"/>
      <c r="N541" s="922"/>
      <c r="O541" s="922"/>
      <c r="P541" s="923"/>
      <c r="Q541" s="257">
        <f>Formular!BQ24</f>
        <v>0</v>
      </c>
      <c r="R541" s="256">
        <f>In!F101</f>
        <v>3.74</v>
      </c>
      <c r="S541" s="917">
        <f t="shared" si="77"/>
        <v>0</v>
      </c>
      <c r="T541" s="918"/>
      <c r="U541" s="353"/>
      <c r="V541" s="5">
        <f t="shared" si="78"/>
        <v>0</v>
      </c>
      <c r="W541" s="5"/>
      <c r="X541" s="5"/>
      <c r="Y541" s="5"/>
      <c r="Z541" s="5"/>
      <c r="AA541" s="5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/>
      <c r="AO541" s="4"/>
      <c r="AP541" s="144"/>
      <c r="AQ541" s="144"/>
      <c r="AR541" s="144"/>
      <c r="AS541" s="144"/>
      <c r="AT541" s="4"/>
    </row>
    <row r="542" spans="1:46" s="77" customFormat="1" ht="15" customHeight="1">
      <c r="A542" s="935" t="s">
        <v>1776</v>
      </c>
      <c r="B542" s="928"/>
      <c r="C542" s="928"/>
      <c r="D542" s="928" t="str">
        <f>Formular!BN25</f>
        <v>OTEL ZINCAT 0.35 MM</v>
      </c>
      <c r="E542" s="928"/>
      <c r="F542" s="928"/>
      <c r="G542" s="928"/>
      <c r="H542" s="922">
        <f>Formular!BO25</f>
        <v>910</v>
      </c>
      <c r="I542" s="922"/>
      <c r="J542" s="922"/>
      <c r="K542" s="922"/>
      <c r="L542" s="922">
        <f>Formular!BP25</f>
        <v>2000</v>
      </c>
      <c r="M542" s="922"/>
      <c r="N542" s="922"/>
      <c r="O542" s="922"/>
      <c r="P542" s="923"/>
      <c r="Q542" s="257">
        <f>Formular!BQ25</f>
        <v>0</v>
      </c>
      <c r="R542" s="256">
        <f>In!F102</f>
        <v>4.37</v>
      </c>
      <c r="S542" s="917">
        <f t="shared" si="77"/>
        <v>0</v>
      </c>
      <c r="T542" s="918"/>
      <c r="U542" s="353"/>
      <c r="V542" s="5">
        <f t="shared" si="78"/>
        <v>0</v>
      </c>
      <c r="W542" s="5"/>
      <c r="X542" s="5"/>
      <c r="Y542" s="5"/>
      <c r="Z542" s="5"/>
      <c r="AA542" s="5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/>
      <c r="AO542" s="4"/>
      <c r="AP542" s="144"/>
      <c r="AQ542" s="144"/>
      <c r="AR542" s="144"/>
      <c r="AS542" s="144"/>
      <c r="AT542" s="4"/>
    </row>
    <row r="543" spans="1:46" s="77" customFormat="1" ht="15" customHeight="1">
      <c r="A543" s="935" t="s">
        <v>1776</v>
      </c>
      <c r="B543" s="928"/>
      <c r="C543" s="928"/>
      <c r="D543" s="928" t="str">
        <f>Formular!BN26</f>
        <v>OTEL ZINCAT 0.30 MM</v>
      </c>
      <c r="E543" s="928"/>
      <c r="F543" s="928"/>
      <c r="G543" s="928"/>
      <c r="H543" s="922">
        <f>Formular!BO26</f>
        <v>910</v>
      </c>
      <c r="I543" s="922"/>
      <c r="J543" s="922"/>
      <c r="K543" s="922"/>
      <c r="L543" s="922">
        <f>Formular!BP26</f>
        <v>2000</v>
      </c>
      <c r="M543" s="922"/>
      <c r="N543" s="922"/>
      <c r="O543" s="922"/>
      <c r="P543" s="923"/>
      <c r="Q543" s="257">
        <f>Formular!BQ26</f>
        <v>0</v>
      </c>
      <c r="R543" s="256">
        <f>In!F103</f>
        <v>3.76</v>
      </c>
      <c r="S543" s="917">
        <f t="shared" si="77"/>
        <v>0</v>
      </c>
      <c r="T543" s="918"/>
      <c r="U543" s="353"/>
      <c r="V543" s="5">
        <f t="shared" si="78"/>
        <v>0</v>
      </c>
      <c r="W543" s="5"/>
      <c r="X543" s="5"/>
      <c r="Y543" s="5"/>
      <c r="Z543" s="5"/>
      <c r="AA543" s="5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/>
      <c r="AO543" s="4"/>
      <c r="AP543" s="144"/>
      <c r="AQ543" s="144"/>
      <c r="AR543" s="144"/>
      <c r="AS543" s="144"/>
      <c r="AT543" s="4"/>
    </row>
    <row r="544" spans="1:46" s="77" customFormat="1" ht="15" customHeight="1">
      <c r="A544" s="935" t="s">
        <v>1776</v>
      </c>
      <c r="B544" s="928"/>
      <c r="C544" s="928"/>
      <c r="D544" s="928" t="str">
        <f>Formular!BN27</f>
        <v>OTEL ZINCAT 0.25 MM</v>
      </c>
      <c r="E544" s="928"/>
      <c r="F544" s="928"/>
      <c r="G544" s="928"/>
      <c r="H544" s="922">
        <f>Formular!BO27</f>
        <v>910</v>
      </c>
      <c r="I544" s="922"/>
      <c r="J544" s="922"/>
      <c r="K544" s="922"/>
      <c r="L544" s="922">
        <f>Formular!BP27</f>
        <v>2000</v>
      </c>
      <c r="M544" s="922"/>
      <c r="N544" s="922"/>
      <c r="O544" s="922"/>
      <c r="P544" s="923"/>
      <c r="Q544" s="257">
        <f>Formular!BQ27</f>
        <v>0</v>
      </c>
      <c r="R544" s="256">
        <f>In!F104</f>
        <v>2.86</v>
      </c>
      <c r="S544" s="917">
        <f t="shared" si="77"/>
        <v>0</v>
      </c>
      <c r="T544" s="918"/>
      <c r="U544" s="353"/>
      <c r="V544" s="5">
        <f t="shared" si="78"/>
        <v>0</v>
      </c>
      <c r="W544" s="5"/>
      <c r="X544" s="5"/>
      <c r="Y544" s="5"/>
      <c r="Z544" s="5"/>
      <c r="AA544" s="5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/>
      <c r="AO544" s="4"/>
      <c r="AP544" s="144"/>
      <c r="AQ544" s="144"/>
      <c r="AR544" s="144"/>
      <c r="AS544" s="144"/>
      <c r="AT544" s="4"/>
    </row>
    <row r="545" spans="1:46" s="77" customFormat="1" ht="15" customHeight="1">
      <c r="A545" s="929" t="str">
        <f>Lang!A414&amp;" "&amp;INDEX(Select!CV2:CV5,Select!CV1)&amp;" "&amp;INDEX(Select!CW2:CW10,Select!CW1)&amp;" "&amp;INDEX(Select!B618:B636,Select!B617)</f>
        <v xml:space="preserve">PANOU GARD METALIC     </v>
      </c>
      <c r="B545" s="930"/>
      <c r="C545" s="930"/>
      <c r="D545" s="930"/>
      <c r="E545" s="930"/>
      <c r="F545" s="930"/>
      <c r="G545" s="930"/>
      <c r="H545" s="930"/>
      <c r="I545" s="930"/>
      <c r="J545" s="930"/>
      <c r="K545" s="930"/>
      <c r="L545" s="930"/>
      <c r="M545" s="930"/>
      <c r="N545" s="930"/>
      <c r="O545" s="930"/>
      <c r="P545" s="931"/>
      <c r="Q545" s="270">
        <f>IF(W546&gt;0,1,0)</f>
        <v>0</v>
      </c>
      <c r="R545" s="267"/>
      <c r="S545" s="268"/>
      <c r="T545" s="269"/>
      <c r="U545" s="365"/>
      <c r="V545" s="5"/>
      <c r="W545" s="5"/>
      <c r="X545" s="5"/>
      <c r="Y545" s="5"/>
      <c r="Z545" s="5"/>
      <c r="AA545" s="5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/>
      <c r="AO545" s="4"/>
      <c r="AP545" s="144"/>
      <c r="AQ545" s="144"/>
      <c r="AR545" s="144"/>
      <c r="AS545" s="144"/>
      <c r="AT545" s="4"/>
    </row>
    <row r="546" spans="1:46" s="77" customFormat="1" ht="15" customHeight="1">
      <c r="A546" s="932" t="str">
        <f>"Total ML: "&amp;W546&amp;" | "&amp;Lang!A403&amp;X546&amp;Lang!A404</f>
        <v xml:space="preserve">Total ML: 0 | Valoare 0 euro fara tva </v>
      </c>
      <c r="B546" s="933"/>
      <c r="C546" s="933"/>
      <c r="D546" s="933"/>
      <c r="E546" s="933"/>
      <c r="F546" s="933"/>
      <c r="G546" s="933"/>
      <c r="H546" s="933"/>
      <c r="I546" s="933"/>
      <c r="J546" s="933"/>
      <c r="K546" s="933"/>
      <c r="L546" s="933"/>
      <c r="M546" s="933"/>
      <c r="N546" s="933"/>
      <c r="O546" s="933"/>
      <c r="P546" s="934"/>
      <c r="Q546" s="271">
        <f>Q545</f>
        <v>0</v>
      </c>
      <c r="R546" s="264"/>
      <c r="S546" s="265"/>
      <c r="T546" s="266"/>
      <c r="U546" s="366"/>
      <c r="V546" s="5"/>
      <c r="W546" s="5">
        <f>ROUND(SUM(V547:V608),2)</f>
        <v>0</v>
      </c>
      <c r="X546" s="186">
        <f>ROUND(SUM(S547:T608),2)</f>
        <v>0</v>
      </c>
      <c r="Y546" s="5"/>
      <c r="Z546" s="5"/>
      <c r="AA546" s="5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/>
      <c r="AO546" s="4"/>
      <c r="AP546" s="144"/>
      <c r="AQ546" s="144"/>
      <c r="AR546" s="144"/>
      <c r="AS546" s="144"/>
      <c r="AT546" s="4"/>
    </row>
    <row r="547" spans="1:46" s="77" customFormat="1" ht="15" customHeight="1">
      <c r="A547" s="927" t="str">
        <f>INDEX(Select!CV2:CV5,Select!CV1)</f>
        <v xml:space="preserve"> </v>
      </c>
      <c r="B547" s="924"/>
      <c r="C547" s="924"/>
      <c r="D547" s="924"/>
      <c r="E547" s="924"/>
      <c r="F547" s="924">
        <f>IF(Formular!BN38&lt;500,500,Formular!BN38)</f>
        <v>500</v>
      </c>
      <c r="G547" s="924"/>
      <c r="H547" s="924"/>
      <c r="I547" s="924">
        <f>Formular!BO38</f>
        <v>0</v>
      </c>
      <c r="J547" s="924"/>
      <c r="K547" s="924"/>
      <c r="L547" s="924"/>
      <c r="M547" s="924"/>
      <c r="N547" s="924"/>
      <c r="O547" s="924"/>
      <c r="P547" s="925"/>
      <c r="Q547" s="313">
        <f>Formular!BQ38</f>
        <v>0</v>
      </c>
      <c r="R547" s="276">
        <v>0</v>
      </c>
      <c r="S547" s="1003">
        <v>0</v>
      </c>
      <c r="T547" s="1004"/>
      <c r="U547" s="353"/>
      <c r="V547" s="5"/>
      <c r="W547" s="5"/>
      <c r="X547" s="5"/>
      <c r="Y547" s="5"/>
      <c r="Z547" s="5"/>
      <c r="AA547" s="5"/>
      <c r="AB547" s="4"/>
      <c r="AC547" s="21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144"/>
      <c r="AQ547" s="144"/>
      <c r="AR547" s="144"/>
      <c r="AS547" s="144"/>
      <c r="AT547" s="4"/>
    </row>
    <row r="548" spans="1:46" s="77" customFormat="1" ht="15" customHeight="1">
      <c r="A548" s="926" t="str">
        <f>Info!A404</f>
        <v xml:space="preserve"> </v>
      </c>
      <c r="B548" s="922"/>
      <c r="C548" s="922"/>
      <c r="D548" s="922"/>
      <c r="E548" s="922"/>
      <c r="F548" s="922"/>
      <c r="G548" s="922"/>
      <c r="H548" s="922"/>
      <c r="I548" s="922">
        <f>CEILING(F547,10)-10</f>
        <v>490</v>
      </c>
      <c r="J548" s="922"/>
      <c r="K548" s="922"/>
      <c r="L548" s="922"/>
      <c r="M548" s="922"/>
      <c r="N548" s="922"/>
      <c r="O548" s="922"/>
      <c r="P548" s="923"/>
      <c r="Q548" s="351">
        <f>IF(Select!$CV$1=2,CEILING(I547,100)/100*Q547,IF(Select!$CV$1=3,AA548*Q547,IF(Select!$CV$1=4,CEILING(I547,100)/100*Q547,0)))</f>
        <v>0</v>
      </c>
      <c r="R548" s="256">
        <f>Info!AS404</f>
        <v>0</v>
      </c>
      <c r="S548" s="917">
        <f>I548*Q548/1000*R548</f>
        <v>0</v>
      </c>
      <c r="T548" s="918"/>
      <c r="U548" s="353"/>
      <c r="V548" s="5">
        <f>I548*Q548/1000</f>
        <v>0</v>
      </c>
      <c r="W548" s="297">
        <f>(Q548+Q553+Q558+Q563+Q568+Q572+Q578+Q583+Q588)*4</f>
        <v>0</v>
      </c>
      <c r="X548" s="297">
        <f>Q551+Q556+Q561+Q566+Q571+Q576+Q581+Q586+Q591</f>
        <v>0</v>
      </c>
      <c r="Y548" s="5">
        <f>CEILING(I547,100)/120</f>
        <v>0</v>
      </c>
      <c r="Z548" s="5">
        <f>ROUNDUP(Y548,0)</f>
        <v>0</v>
      </c>
      <c r="AA548" s="5">
        <f>ROUND(Y548,0)</f>
        <v>0</v>
      </c>
      <c r="AB548" s="4"/>
      <c r="AC548" s="21"/>
      <c r="AD548" s="4"/>
      <c r="AE548" s="4"/>
      <c r="AF548" s="4"/>
      <c r="AG548" s="4"/>
      <c r="AH548" s="4"/>
      <c r="AI548" s="4"/>
      <c r="AJ548" s="4"/>
      <c r="AK548" s="4"/>
      <c r="AL548" s="4"/>
      <c r="AM548" s="4"/>
      <c r="AN548" s="4"/>
      <c r="AO548" s="4"/>
      <c r="AP548" s="144"/>
      <c r="AQ548" s="144"/>
      <c r="AR548" s="144"/>
      <c r="AS548" s="144"/>
      <c r="AT548" s="4"/>
    </row>
    <row r="549" spans="1:46" s="77" customFormat="1" ht="15" customHeight="1">
      <c r="A549" s="926" t="str">
        <f>Info!A405</f>
        <v xml:space="preserve"> </v>
      </c>
      <c r="B549" s="922"/>
      <c r="C549" s="922"/>
      <c r="D549" s="922"/>
      <c r="E549" s="922"/>
      <c r="F549" s="922"/>
      <c r="G549" s="922"/>
      <c r="H549" s="922"/>
      <c r="I549" s="922">
        <f>I548+10</f>
        <v>500</v>
      </c>
      <c r="J549" s="922"/>
      <c r="K549" s="922"/>
      <c r="L549" s="922"/>
      <c r="M549" s="922"/>
      <c r="N549" s="922"/>
      <c r="O549" s="922"/>
      <c r="P549" s="923"/>
      <c r="Q549" s="296">
        <f>Q547</f>
        <v>0</v>
      </c>
      <c r="R549" s="256">
        <f>Info!AS405</f>
        <v>0</v>
      </c>
      <c r="S549" s="917">
        <f t="shared" ref="S549:S551" si="79">I549*Q549/1000*R549</f>
        <v>0</v>
      </c>
      <c r="T549" s="918"/>
      <c r="U549" s="353"/>
      <c r="V549" s="5">
        <f t="shared" ref="V549:V608" si="80">I549*Q549/1000</f>
        <v>0</v>
      </c>
      <c r="W549" s="5"/>
      <c r="X549" s="5"/>
      <c r="Y549" s="5"/>
      <c r="Z549" s="5"/>
      <c r="AA549" s="5"/>
      <c r="AB549" s="134"/>
      <c r="AC549" s="4"/>
      <c r="AD549" s="4"/>
      <c r="AE549" s="4"/>
      <c r="AF549" s="4"/>
      <c r="AG549" s="4"/>
      <c r="AH549" s="4"/>
      <c r="AI549" s="4"/>
      <c r="AJ549" s="4"/>
      <c r="AK549" s="4"/>
      <c r="AL549" s="4"/>
      <c r="AM549" s="4"/>
      <c r="AN549" s="4"/>
      <c r="AO549" s="4"/>
      <c r="AP549" s="144"/>
      <c r="AQ549" s="144"/>
      <c r="AR549" s="144"/>
      <c r="AS549" s="144"/>
      <c r="AT549" s="4"/>
    </row>
    <row r="550" spans="1:46" s="77" customFormat="1" ht="15" customHeight="1">
      <c r="A550" s="926" t="str">
        <f>A549</f>
        <v xml:space="preserve"> </v>
      </c>
      <c r="B550" s="922"/>
      <c r="C550" s="922"/>
      <c r="D550" s="922"/>
      <c r="E550" s="922"/>
      <c r="F550" s="922"/>
      <c r="G550" s="922"/>
      <c r="H550" s="922"/>
      <c r="I550" s="922">
        <f>CEILING(I547,10)</f>
        <v>0</v>
      </c>
      <c r="J550" s="922"/>
      <c r="K550" s="922"/>
      <c r="L550" s="922"/>
      <c r="M550" s="922"/>
      <c r="N550" s="922"/>
      <c r="O550" s="922"/>
      <c r="P550" s="923"/>
      <c r="Q550" s="296">
        <f>Q547*2</f>
        <v>0</v>
      </c>
      <c r="R550" s="256">
        <f>R549</f>
        <v>0</v>
      </c>
      <c r="S550" s="917">
        <f t="shared" si="79"/>
        <v>0</v>
      </c>
      <c r="T550" s="918"/>
      <c r="U550" s="353"/>
      <c r="V550" s="5">
        <f t="shared" si="80"/>
        <v>0</v>
      </c>
      <c r="W550" s="5"/>
      <c r="X550" s="5"/>
      <c r="Y550" s="5"/>
      <c r="Z550" s="5"/>
      <c r="AA550" s="5"/>
      <c r="AB550" s="114"/>
      <c r="AC550" s="4"/>
      <c r="AD550" s="4"/>
      <c r="AE550" s="4"/>
      <c r="AF550" s="4"/>
      <c r="AG550" s="4"/>
      <c r="AH550" s="4"/>
      <c r="AI550" s="4"/>
      <c r="AJ550" s="4"/>
      <c r="AK550" s="4"/>
      <c r="AL550" s="4"/>
      <c r="AM550" s="4"/>
      <c r="AN550" s="4"/>
      <c r="AO550" s="4"/>
      <c r="AP550" s="144"/>
      <c r="AQ550" s="144"/>
      <c r="AR550" s="144"/>
      <c r="AS550" s="144"/>
      <c r="AT550" s="4"/>
    </row>
    <row r="551" spans="1:46" s="77" customFormat="1" ht="15" customHeight="1">
      <c r="A551" s="926" t="str">
        <f>Info!A406</f>
        <v xml:space="preserve"> </v>
      </c>
      <c r="B551" s="922"/>
      <c r="C551" s="922"/>
      <c r="D551" s="922"/>
      <c r="E551" s="922"/>
      <c r="F551" s="922"/>
      <c r="G551" s="922"/>
      <c r="H551" s="922"/>
      <c r="I551" s="922">
        <f>I550</f>
        <v>0</v>
      </c>
      <c r="J551" s="922"/>
      <c r="K551" s="922"/>
      <c r="L551" s="922"/>
      <c r="M551" s="922"/>
      <c r="N551" s="922"/>
      <c r="O551" s="922"/>
      <c r="P551" s="923"/>
      <c r="Q551" s="351">
        <f>IF(Select!$CV$1=4,0,Q547)</f>
        <v>0</v>
      </c>
      <c r="R551" s="256">
        <f>Info!AS406</f>
        <v>0</v>
      </c>
      <c r="S551" s="917">
        <f t="shared" si="79"/>
        <v>0</v>
      </c>
      <c r="T551" s="918"/>
      <c r="U551" s="353"/>
      <c r="V551" s="5">
        <f t="shared" si="80"/>
        <v>0</v>
      </c>
      <c r="W551" s="5"/>
      <c r="X551" s="5"/>
      <c r="Y551" s="5"/>
      <c r="Z551" s="5"/>
      <c r="AA551" s="5"/>
      <c r="AB551" s="114"/>
      <c r="AC551" s="4"/>
      <c r="AD551" s="4"/>
      <c r="AE551" s="4"/>
      <c r="AF551" s="4"/>
      <c r="AG551" s="4"/>
      <c r="AH551" s="4"/>
      <c r="AI551" s="4"/>
      <c r="AJ551" s="4"/>
      <c r="AK551" s="4"/>
      <c r="AL551" s="4"/>
      <c r="AM551" s="4"/>
      <c r="AN551" s="4"/>
      <c r="AO551" s="4"/>
      <c r="AP551" s="144"/>
      <c r="AQ551" s="144"/>
      <c r="AR551" s="144"/>
      <c r="AS551" s="144"/>
      <c r="AT551" s="4"/>
    </row>
    <row r="552" spans="1:46" s="77" customFormat="1" ht="15" customHeight="1">
      <c r="A552" s="927" t="str">
        <f t="shared" ref="A552:A591" si="81">A547</f>
        <v xml:space="preserve"> </v>
      </c>
      <c r="B552" s="924"/>
      <c r="C552" s="924"/>
      <c r="D552" s="924"/>
      <c r="E552" s="924"/>
      <c r="F552" s="924">
        <f>IF(Formular!BN39&lt;500,500,Formular!BN39)</f>
        <v>500</v>
      </c>
      <c r="G552" s="924"/>
      <c r="H552" s="924"/>
      <c r="I552" s="924">
        <f>Formular!BO39</f>
        <v>0</v>
      </c>
      <c r="J552" s="924"/>
      <c r="K552" s="924"/>
      <c r="L552" s="924"/>
      <c r="M552" s="924"/>
      <c r="N552" s="924"/>
      <c r="O552" s="924"/>
      <c r="P552" s="925"/>
      <c r="Q552" s="313">
        <f>Formular!BQ39</f>
        <v>0</v>
      </c>
      <c r="R552" s="256"/>
      <c r="S552" s="917"/>
      <c r="T552" s="918"/>
      <c r="U552" s="353"/>
      <c r="V552" s="5"/>
      <c r="W552" s="5"/>
      <c r="X552" s="5"/>
      <c r="Y552" s="5"/>
      <c r="Z552" s="5"/>
      <c r="AA552" s="5"/>
      <c r="AB552" s="114"/>
      <c r="AC552" s="4"/>
      <c r="AD552" s="4"/>
      <c r="AE552" s="4"/>
      <c r="AF552" s="4"/>
      <c r="AG552" s="4"/>
      <c r="AH552" s="4"/>
      <c r="AI552" s="4"/>
      <c r="AJ552" s="4"/>
      <c r="AK552" s="4"/>
      <c r="AL552" s="4"/>
      <c r="AM552" s="4"/>
      <c r="AN552" s="4"/>
      <c r="AO552" s="4"/>
      <c r="AP552" s="144"/>
      <c r="AQ552" s="144"/>
      <c r="AR552" s="144"/>
      <c r="AS552" s="144"/>
      <c r="AT552" s="4"/>
    </row>
    <row r="553" spans="1:46" s="77" customFormat="1" ht="15" customHeight="1">
      <c r="A553" s="926" t="str">
        <f t="shared" si="81"/>
        <v xml:space="preserve"> </v>
      </c>
      <c r="B553" s="922"/>
      <c r="C553" s="922"/>
      <c r="D553" s="922"/>
      <c r="E553" s="922"/>
      <c r="F553" s="922"/>
      <c r="G553" s="922"/>
      <c r="H553" s="922"/>
      <c r="I553" s="922">
        <f>CEILING(F552,10)-10</f>
        <v>490</v>
      </c>
      <c r="J553" s="922"/>
      <c r="K553" s="922"/>
      <c r="L553" s="922"/>
      <c r="M553" s="922"/>
      <c r="N553" s="922"/>
      <c r="O553" s="922"/>
      <c r="P553" s="923"/>
      <c r="Q553" s="351">
        <f>IF(Select!$CV$1=2,CEILING(I552,100)/100*Q552,IF(Select!$CV$1=3,AA553*Q552,IF(Select!$CV$1=4,CEILING(I552,100)/100*Q552,0)))</f>
        <v>0</v>
      </c>
      <c r="R553" s="256">
        <f>R548</f>
        <v>0</v>
      </c>
      <c r="S553" s="917">
        <f>I553*Q553/1000*R553</f>
        <v>0</v>
      </c>
      <c r="T553" s="918"/>
      <c r="U553" s="353"/>
      <c r="V553" s="5">
        <f t="shared" si="80"/>
        <v>0</v>
      </c>
      <c r="W553" s="297">
        <f>(Q553+Q558+Q563+Q568+Q573+Q577+Q583+Q588+Q593)*4</f>
        <v>0</v>
      </c>
      <c r="X553" s="297">
        <f>Q556+Q561+Q566+Q571+Q576+Q581+Q586+Q591+Q596</f>
        <v>0</v>
      </c>
      <c r="Y553" s="5">
        <f>CEILING(I552,100)/120</f>
        <v>0</v>
      </c>
      <c r="Z553" s="5">
        <f>ROUNDUP(Y553,0)</f>
        <v>0</v>
      </c>
      <c r="AA553" s="5">
        <f>ROUND(Y553,0)</f>
        <v>0</v>
      </c>
      <c r="AB553" s="114"/>
      <c r="AC553" s="4"/>
      <c r="AD553" s="4"/>
      <c r="AE553" s="4"/>
      <c r="AF553" s="4"/>
      <c r="AG553" s="4"/>
      <c r="AH553" s="4"/>
      <c r="AI553" s="4"/>
      <c r="AJ553" s="4"/>
      <c r="AK553" s="4"/>
      <c r="AL553" s="4"/>
      <c r="AM553" s="4"/>
      <c r="AN553" s="4"/>
      <c r="AO553" s="4"/>
      <c r="AP553" s="144"/>
      <c r="AQ553" s="144"/>
      <c r="AR553" s="144"/>
      <c r="AS553" s="144"/>
      <c r="AT553" s="4"/>
    </row>
    <row r="554" spans="1:46" s="77" customFormat="1" ht="15" customHeight="1">
      <c r="A554" s="926" t="str">
        <f t="shared" si="81"/>
        <v xml:space="preserve"> </v>
      </c>
      <c r="B554" s="922"/>
      <c r="C554" s="922"/>
      <c r="D554" s="922"/>
      <c r="E554" s="922"/>
      <c r="F554" s="922"/>
      <c r="G554" s="922"/>
      <c r="H554" s="922"/>
      <c r="I554" s="922">
        <f>I553+10</f>
        <v>500</v>
      </c>
      <c r="J554" s="922"/>
      <c r="K554" s="922"/>
      <c r="L554" s="922"/>
      <c r="M554" s="922"/>
      <c r="N554" s="922"/>
      <c r="O554" s="922"/>
      <c r="P554" s="923"/>
      <c r="Q554" s="296">
        <f>Q552</f>
        <v>0</v>
      </c>
      <c r="R554" s="262">
        <f>R549</f>
        <v>0</v>
      </c>
      <c r="S554" s="917">
        <f t="shared" ref="S554:S556" si="82">I554*Q554/1000*R554</f>
        <v>0</v>
      </c>
      <c r="T554" s="918"/>
      <c r="U554" s="353"/>
      <c r="V554" s="5">
        <f t="shared" si="80"/>
        <v>0</v>
      </c>
      <c r="W554" s="5"/>
      <c r="X554" s="5"/>
      <c r="Y554" s="5"/>
      <c r="Z554" s="5"/>
      <c r="AA554" s="5"/>
      <c r="AB554" s="134"/>
      <c r="AC554" s="4"/>
      <c r="AD554" s="4"/>
      <c r="AE554" s="4"/>
      <c r="AF554" s="4"/>
      <c r="AG554" s="4"/>
      <c r="AH554" s="4"/>
      <c r="AI554" s="4"/>
      <c r="AJ554" s="4"/>
      <c r="AK554" s="4"/>
      <c r="AL554" s="4"/>
      <c r="AM554" s="4"/>
      <c r="AN554" s="4"/>
      <c r="AO554" s="4"/>
      <c r="AP554" s="144"/>
      <c r="AQ554" s="144"/>
      <c r="AR554" s="144"/>
      <c r="AS554" s="144"/>
      <c r="AT554" s="4"/>
    </row>
    <row r="555" spans="1:46" s="77" customFormat="1" ht="15" customHeight="1">
      <c r="A555" s="926" t="str">
        <f t="shared" si="81"/>
        <v xml:space="preserve"> </v>
      </c>
      <c r="B555" s="922"/>
      <c r="C555" s="922"/>
      <c r="D555" s="922"/>
      <c r="E555" s="922"/>
      <c r="F555" s="922"/>
      <c r="G555" s="922"/>
      <c r="H555" s="922"/>
      <c r="I555" s="922">
        <f>CEILING(I552,10)</f>
        <v>0</v>
      </c>
      <c r="J555" s="922"/>
      <c r="K555" s="922"/>
      <c r="L555" s="922"/>
      <c r="M555" s="922"/>
      <c r="N555" s="922"/>
      <c r="O555" s="922"/>
      <c r="P555" s="923"/>
      <c r="Q555" s="296">
        <f>Q552*2</f>
        <v>0</v>
      </c>
      <c r="R555" s="262">
        <f>R550</f>
        <v>0</v>
      </c>
      <c r="S555" s="917">
        <f t="shared" si="82"/>
        <v>0</v>
      </c>
      <c r="T555" s="918"/>
      <c r="U555" s="353"/>
      <c r="V555" s="5">
        <f t="shared" si="80"/>
        <v>0</v>
      </c>
      <c r="W555" s="5"/>
      <c r="X555" s="5"/>
      <c r="Y555" s="5"/>
      <c r="Z555" s="5"/>
      <c r="AA555" s="5"/>
      <c r="AB555" s="114"/>
      <c r="AC555" s="4"/>
      <c r="AD555" s="4"/>
      <c r="AE555" s="4"/>
      <c r="AF555" s="4"/>
      <c r="AG555" s="4"/>
      <c r="AH555" s="4"/>
      <c r="AI555" s="4"/>
      <c r="AJ555" s="4"/>
      <c r="AK555" s="4"/>
      <c r="AL555" s="4"/>
      <c r="AM555" s="4"/>
      <c r="AN555" s="4"/>
      <c r="AO555" s="4"/>
      <c r="AP555" s="144"/>
      <c r="AQ555" s="144"/>
      <c r="AR555" s="144"/>
      <c r="AS555" s="144"/>
      <c r="AT555" s="4"/>
    </row>
    <row r="556" spans="1:46" s="77" customFormat="1" ht="15" customHeight="1">
      <c r="A556" s="926" t="str">
        <f t="shared" si="81"/>
        <v xml:space="preserve"> </v>
      </c>
      <c r="B556" s="922"/>
      <c r="C556" s="922"/>
      <c r="D556" s="922"/>
      <c r="E556" s="922"/>
      <c r="F556" s="922"/>
      <c r="G556" s="922"/>
      <c r="H556" s="922"/>
      <c r="I556" s="922">
        <f>I555</f>
        <v>0</v>
      </c>
      <c r="J556" s="922"/>
      <c r="K556" s="922"/>
      <c r="L556" s="922"/>
      <c r="M556" s="922"/>
      <c r="N556" s="922"/>
      <c r="O556" s="922"/>
      <c r="P556" s="923"/>
      <c r="Q556" s="351">
        <f>IF(Select!$CV$1=4,0,Q552)</f>
        <v>0</v>
      </c>
      <c r="R556" s="262">
        <f>R551</f>
        <v>0</v>
      </c>
      <c r="S556" s="917">
        <f t="shared" si="82"/>
        <v>0</v>
      </c>
      <c r="T556" s="918"/>
      <c r="U556" s="353"/>
      <c r="V556" s="5">
        <f t="shared" si="80"/>
        <v>0</v>
      </c>
      <c r="W556" s="5"/>
      <c r="X556" s="5"/>
      <c r="Y556" s="5"/>
      <c r="Z556" s="5"/>
      <c r="AA556" s="5"/>
      <c r="AB556" s="114"/>
      <c r="AC556" s="4"/>
      <c r="AD556" s="4"/>
      <c r="AE556" s="4"/>
      <c r="AF556" s="4"/>
      <c r="AG556" s="4"/>
      <c r="AH556" s="4"/>
      <c r="AI556" s="4"/>
      <c r="AJ556" s="4"/>
      <c r="AK556" s="4"/>
      <c r="AL556" s="4"/>
      <c r="AM556" s="4"/>
      <c r="AN556" s="4"/>
      <c r="AO556" s="4"/>
      <c r="AP556" s="144"/>
      <c r="AQ556" s="144"/>
      <c r="AR556" s="144"/>
      <c r="AS556" s="144"/>
      <c r="AT556" s="4"/>
    </row>
    <row r="557" spans="1:46" s="77" customFormat="1" ht="15" customHeight="1">
      <c r="A557" s="927" t="str">
        <f t="shared" si="81"/>
        <v xml:space="preserve"> </v>
      </c>
      <c r="B557" s="924"/>
      <c r="C557" s="924"/>
      <c r="D557" s="924"/>
      <c r="E557" s="924"/>
      <c r="F557" s="924">
        <f>IF(Formular!BN40&lt;500,500,Formular!BN40)</f>
        <v>500</v>
      </c>
      <c r="G557" s="924"/>
      <c r="H557" s="924"/>
      <c r="I557" s="924">
        <f>Formular!BO40</f>
        <v>0</v>
      </c>
      <c r="J557" s="924"/>
      <c r="K557" s="924"/>
      <c r="L557" s="924"/>
      <c r="M557" s="924"/>
      <c r="N557" s="924"/>
      <c r="O557" s="924"/>
      <c r="P557" s="925"/>
      <c r="Q557" s="313">
        <f>Formular!BQ40</f>
        <v>0</v>
      </c>
      <c r="R557" s="256"/>
      <c r="S557" s="917"/>
      <c r="T557" s="918"/>
      <c r="U557" s="353"/>
      <c r="V557" s="5"/>
      <c r="W557" s="5"/>
      <c r="X557" s="5"/>
      <c r="Y557" s="5"/>
      <c r="Z557" s="5"/>
      <c r="AA557" s="5"/>
      <c r="AB557" s="114"/>
      <c r="AC557" s="4"/>
      <c r="AD557" s="4"/>
      <c r="AE557" s="4"/>
      <c r="AF557" s="4"/>
      <c r="AG557" s="4"/>
      <c r="AH557" s="4"/>
      <c r="AI557" s="4"/>
      <c r="AJ557" s="4"/>
      <c r="AK557" s="4"/>
      <c r="AL557" s="4"/>
      <c r="AM557" s="4"/>
      <c r="AN557" s="4"/>
      <c r="AO557" s="4"/>
      <c r="AP557" s="144"/>
      <c r="AQ557" s="144"/>
      <c r="AR557" s="144"/>
      <c r="AS557" s="144"/>
      <c r="AT557" s="4"/>
    </row>
    <row r="558" spans="1:46" s="77" customFormat="1" ht="15" customHeight="1">
      <c r="A558" s="926" t="str">
        <f t="shared" si="81"/>
        <v xml:space="preserve"> </v>
      </c>
      <c r="B558" s="922"/>
      <c r="C558" s="922"/>
      <c r="D558" s="922"/>
      <c r="E558" s="922"/>
      <c r="F558" s="922"/>
      <c r="G558" s="922"/>
      <c r="H558" s="922"/>
      <c r="I558" s="922">
        <f>CEILING(F557,10)-10</f>
        <v>490</v>
      </c>
      <c r="J558" s="922"/>
      <c r="K558" s="922"/>
      <c r="L558" s="922"/>
      <c r="M558" s="922"/>
      <c r="N558" s="922"/>
      <c r="O558" s="922"/>
      <c r="P558" s="923"/>
      <c r="Q558" s="351">
        <f>IF(Select!$CV$1=2,CEILING(I557,100)/100*Q557,IF(Select!$CV$1=3,AA558*Q557,IF(Select!$CV$1=4,CEILING(I557,100)/100*Q557,0)))</f>
        <v>0</v>
      </c>
      <c r="R558" s="262">
        <f>R553</f>
        <v>0</v>
      </c>
      <c r="S558" s="917">
        <f>I558*Q558/1000*R558</f>
        <v>0</v>
      </c>
      <c r="T558" s="918"/>
      <c r="U558" s="353"/>
      <c r="V558" s="5">
        <f t="shared" si="80"/>
        <v>0</v>
      </c>
      <c r="W558" s="297">
        <f>(Q558+Q563+Q568+Q573+Q578+Q582+Q588+Q593+Q598)*4</f>
        <v>0</v>
      </c>
      <c r="X558" s="297">
        <f>Q561+Q566+Q571+Q576+Q581+Q586+Q591+Q596+Q601</f>
        <v>0</v>
      </c>
      <c r="Y558" s="5">
        <f>CEILING(I557,100)/120</f>
        <v>0</v>
      </c>
      <c r="Z558" s="5">
        <f>ROUNDUP(Y558,0)</f>
        <v>0</v>
      </c>
      <c r="AA558" s="5">
        <f>ROUND(Y558,0)</f>
        <v>0</v>
      </c>
      <c r="AB558" s="114"/>
      <c r="AC558" s="4"/>
      <c r="AD558" s="4"/>
      <c r="AE558" s="4"/>
      <c r="AF558" s="4"/>
      <c r="AG558" s="4"/>
      <c r="AH558" s="4"/>
      <c r="AI558" s="4"/>
      <c r="AJ558" s="4"/>
      <c r="AK558" s="4"/>
      <c r="AL558" s="4"/>
      <c r="AM558" s="4"/>
      <c r="AN558" s="4"/>
      <c r="AO558" s="4"/>
      <c r="AP558" s="144"/>
      <c r="AQ558" s="144"/>
      <c r="AR558" s="144"/>
      <c r="AS558" s="144"/>
      <c r="AT558" s="4"/>
    </row>
    <row r="559" spans="1:46" s="77" customFormat="1" ht="15" customHeight="1">
      <c r="A559" s="926" t="str">
        <f t="shared" si="81"/>
        <v xml:space="preserve"> </v>
      </c>
      <c r="B559" s="922"/>
      <c r="C559" s="922"/>
      <c r="D559" s="922"/>
      <c r="E559" s="922"/>
      <c r="F559" s="922"/>
      <c r="G559" s="922"/>
      <c r="H559" s="922"/>
      <c r="I559" s="922">
        <f>I558+10</f>
        <v>500</v>
      </c>
      <c r="J559" s="922"/>
      <c r="K559" s="922"/>
      <c r="L559" s="922"/>
      <c r="M559" s="922"/>
      <c r="N559" s="922"/>
      <c r="O559" s="922"/>
      <c r="P559" s="923"/>
      <c r="Q559" s="296">
        <f>Q557</f>
        <v>0</v>
      </c>
      <c r="R559" s="262">
        <f>R554</f>
        <v>0</v>
      </c>
      <c r="S559" s="917">
        <f t="shared" ref="S559:S561" si="83">I559*Q559/1000*R559</f>
        <v>0</v>
      </c>
      <c r="T559" s="918"/>
      <c r="U559" s="353"/>
      <c r="V559" s="5">
        <f t="shared" si="80"/>
        <v>0</v>
      </c>
      <c r="W559" s="5"/>
      <c r="X559" s="5"/>
      <c r="Y559" s="5"/>
      <c r="Z559" s="5"/>
      <c r="AA559" s="5"/>
      <c r="AB559" s="134"/>
      <c r="AC559" s="4"/>
      <c r="AD559" s="4"/>
      <c r="AE559" s="4"/>
      <c r="AF559" s="4"/>
      <c r="AG559" s="4"/>
      <c r="AH559" s="4"/>
      <c r="AI559" s="4"/>
      <c r="AJ559" s="4"/>
      <c r="AK559" s="4"/>
      <c r="AL559" s="4"/>
      <c r="AM559" s="4"/>
      <c r="AN559" s="4"/>
      <c r="AO559" s="4"/>
      <c r="AP559" s="144"/>
      <c r="AQ559" s="144"/>
      <c r="AR559" s="144"/>
      <c r="AS559" s="144"/>
      <c r="AT559" s="4"/>
    </row>
    <row r="560" spans="1:46" s="77" customFormat="1" ht="15" customHeight="1">
      <c r="A560" s="926" t="str">
        <f t="shared" si="81"/>
        <v xml:space="preserve"> </v>
      </c>
      <c r="B560" s="922"/>
      <c r="C560" s="922"/>
      <c r="D560" s="922"/>
      <c r="E560" s="922"/>
      <c r="F560" s="922"/>
      <c r="G560" s="922"/>
      <c r="H560" s="922"/>
      <c r="I560" s="922">
        <f>CEILING(I557,10)</f>
        <v>0</v>
      </c>
      <c r="J560" s="922"/>
      <c r="K560" s="922"/>
      <c r="L560" s="922"/>
      <c r="M560" s="922"/>
      <c r="N560" s="922"/>
      <c r="O560" s="922"/>
      <c r="P560" s="923"/>
      <c r="Q560" s="277">
        <f>Q557*2</f>
        <v>0</v>
      </c>
      <c r="R560" s="262">
        <f>R555</f>
        <v>0</v>
      </c>
      <c r="S560" s="917">
        <f t="shared" si="83"/>
        <v>0</v>
      </c>
      <c r="T560" s="918"/>
      <c r="U560" s="353"/>
      <c r="V560" s="5">
        <f t="shared" si="80"/>
        <v>0</v>
      </c>
      <c r="W560" s="5"/>
      <c r="X560" s="5"/>
      <c r="Y560" s="5"/>
      <c r="Z560" s="5"/>
      <c r="AA560" s="5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  <c r="AM560" s="4"/>
      <c r="AN560" s="4"/>
      <c r="AO560" s="4"/>
      <c r="AP560" s="144"/>
      <c r="AQ560" s="144"/>
      <c r="AR560" s="144"/>
      <c r="AS560" s="144"/>
      <c r="AT560" s="4"/>
    </row>
    <row r="561" spans="1:46" s="77" customFormat="1" ht="15" customHeight="1">
      <c r="A561" s="926" t="str">
        <f t="shared" si="81"/>
        <v xml:space="preserve"> </v>
      </c>
      <c r="B561" s="922"/>
      <c r="C561" s="922"/>
      <c r="D561" s="922"/>
      <c r="E561" s="922"/>
      <c r="F561" s="922"/>
      <c r="G561" s="922"/>
      <c r="H561" s="922"/>
      <c r="I561" s="922">
        <f>I560</f>
        <v>0</v>
      </c>
      <c r="J561" s="922"/>
      <c r="K561" s="922"/>
      <c r="L561" s="922"/>
      <c r="M561" s="922"/>
      <c r="N561" s="922"/>
      <c r="O561" s="922"/>
      <c r="P561" s="923"/>
      <c r="Q561" s="351">
        <f>IF(Select!$CV$1=4,0,Q557)</f>
        <v>0</v>
      </c>
      <c r="R561" s="262">
        <f>R556</f>
        <v>0</v>
      </c>
      <c r="S561" s="917">
        <f t="shared" si="83"/>
        <v>0</v>
      </c>
      <c r="T561" s="918"/>
      <c r="U561" s="353"/>
      <c r="V561" s="5">
        <f t="shared" si="80"/>
        <v>0</v>
      </c>
      <c r="W561" s="5"/>
      <c r="X561" s="5"/>
      <c r="Y561" s="5"/>
      <c r="Z561" s="5"/>
      <c r="AA561" s="5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  <c r="AM561" s="4"/>
      <c r="AN561" s="4"/>
      <c r="AO561" s="4"/>
      <c r="AP561" s="144"/>
      <c r="AQ561" s="144"/>
      <c r="AR561" s="144"/>
      <c r="AS561" s="144"/>
      <c r="AT561" s="4"/>
    </row>
    <row r="562" spans="1:46" s="77" customFormat="1" ht="15" customHeight="1">
      <c r="A562" s="927" t="str">
        <f t="shared" si="81"/>
        <v xml:space="preserve"> </v>
      </c>
      <c r="B562" s="924"/>
      <c r="C562" s="924"/>
      <c r="D562" s="924"/>
      <c r="E562" s="924"/>
      <c r="F562" s="924">
        <f>IF(Formular!BN41&lt;500,500,Formular!BN41)</f>
        <v>500</v>
      </c>
      <c r="G562" s="924"/>
      <c r="H562" s="924"/>
      <c r="I562" s="924">
        <f>Formular!BO41</f>
        <v>0</v>
      </c>
      <c r="J562" s="924"/>
      <c r="K562" s="924"/>
      <c r="L562" s="924"/>
      <c r="M562" s="924"/>
      <c r="N562" s="924"/>
      <c r="O562" s="924"/>
      <c r="P562" s="925"/>
      <c r="Q562" s="313">
        <f>Formular!BQ41</f>
        <v>0</v>
      </c>
      <c r="R562" s="256"/>
      <c r="S562" s="917"/>
      <c r="T562" s="918"/>
      <c r="U562" s="353"/>
      <c r="V562" s="5"/>
      <c r="W562" s="5"/>
      <c r="X562" s="5"/>
      <c r="Y562" s="5"/>
      <c r="Z562" s="5"/>
      <c r="AA562" s="5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  <c r="AM562" s="4"/>
      <c r="AN562" s="4"/>
      <c r="AO562" s="4"/>
      <c r="AP562" s="144"/>
      <c r="AQ562" s="144"/>
      <c r="AR562" s="144"/>
      <c r="AS562" s="144"/>
      <c r="AT562" s="4"/>
    </row>
    <row r="563" spans="1:46" s="77" customFormat="1" ht="15" customHeight="1">
      <c r="A563" s="926" t="str">
        <f t="shared" si="81"/>
        <v xml:space="preserve"> </v>
      </c>
      <c r="B563" s="922"/>
      <c r="C563" s="922"/>
      <c r="D563" s="922"/>
      <c r="E563" s="922"/>
      <c r="F563" s="922"/>
      <c r="G563" s="922"/>
      <c r="H563" s="922"/>
      <c r="I563" s="922">
        <f>CEILING(F562,10)-10</f>
        <v>490</v>
      </c>
      <c r="J563" s="922"/>
      <c r="K563" s="922"/>
      <c r="L563" s="922"/>
      <c r="M563" s="922"/>
      <c r="N563" s="922"/>
      <c r="O563" s="922"/>
      <c r="P563" s="923"/>
      <c r="Q563" s="351">
        <f>IF(Select!$CV$1=2,CEILING(I562,100)/100*Q562,IF(Select!$CV$1=3,AA563*Q562,IF(Select!$CV$1=4,CEILING(I562,100)/100*Q562,0)))</f>
        <v>0</v>
      </c>
      <c r="R563" s="262">
        <f>R558</f>
        <v>0</v>
      </c>
      <c r="S563" s="917">
        <f>I563*Q563/1000*R563</f>
        <v>0</v>
      </c>
      <c r="T563" s="918"/>
      <c r="U563" s="353"/>
      <c r="V563" s="5">
        <f t="shared" si="80"/>
        <v>0</v>
      </c>
      <c r="W563" s="297">
        <f>(Q563+Q568+Q573+Q578+Q583+Q587+Q593+Q598+Q603)*4</f>
        <v>0</v>
      </c>
      <c r="X563" s="297">
        <f>Q566+Q571+Q576+Q581+Q586+Q591+Q596+Q601+Q606</f>
        <v>0</v>
      </c>
      <c r="Y563" s="5">
        <f>CEILING(I562,100)/120</f>
        <v>0</v>
      </c>
      <c r="Z563" s="5">
        <f>ROUNDUP(Y563,0)</f>
        <v>0</v>
      </c>
      <c r="AA563" s="5">
        <f>ROUND(Y563,0)</f>
        <v>0</v>
      </c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  <c r="AM563" s="4"/>
      <c r="AN563" s="4"/>
      <c r="AO563" s="4"/>
      <c r="AP563" s="144"/>
      <c r="AQ563" s="144"/>
      <c r="AR563" s="144"/>
      <c r="AS563" s="144"/>
      <c r="AT563" s="4"/>
    </row>
    <row r="564" spans="1:46" s="77" customFormat="1" ht="15" customHeight="1">
      <c r="A564" s="926" t="str">
        <f t="shared" si="81"/>
        <v xml:space="preserve"> </v>
      </c>
      <c r="B564" s="922"/>
      <c r="C564" s="922"/>
      <c r="D564" s="922"/>
      <c r="E564" s="922"/>
      <c r="F564" s="922"/>
      <c r="G564" s="922"/>
      <c r="H564" s="922"/>
      <c r="I564" s="922">
        <f>I563+10</f>
        <v>500</v>
      </c>
      <c r="J564" s="922"/>
      <c r="K564" s="922"/>
      <c r="L564" s="922"/>
      <c r="M564" s="922"/>
      <c r="N564" s="922"/>
      <c r="O564" s="922"/>
      <c r="P564" s="923"/>
      <c r="Q564" s="277">
        <f>Q562</f>
        <v>0</v>
      </c>
      <c r="R564" s="262">
        <f>R559</f>
        <v>0</v>
      </c>
      <c r="S564" s="917">
        <f t="shared" ref="S564:S566" si="84">I564*Q564/1000*R564</f>
        <v>0</v>
      </c>
      <c r="T564" s="918"/>
      <c r="U564" s="353"/>
      <c r="V564" s="5">
        <f t="shared" si="80"/>
        <v>0</v>
      </c>
      <c r="W564" s="5"/>
      <c r="X564" s="5"/>
      <c r="Y564" s="5"/>
      <c r="Z564" s="5"/>
      <c r="AA564" s="5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  <c r="AM564" s="4"/>
      <c r="AN564" s="4"/>
      <c r="AO564" s="4"/>
      <c r="AP564" s="144"/>
      <c r="AQ564" s="144"/>
      <c r="AR564" s="144"/>
      <c r="AS564" s="144"/>
      <c r="AT564" s="4"/>
    </row>
    <row r="565" spans="1:46" s="77" customFormat="1" ht="15" customHeight="1">
      <c r="A565" s="926" t="str">
        <f t="shared" si="81"/>
        <v xml:space="preserve"> </v>
      </c>
      <c r="B565" s="922"/>
      <c r="C565" s="922"/>
      <c r="D565" s="922"/>
      <c r="E565" s="922"/>
      <c r="F565" s="922"/>
      <c r="G565" s="922"/>
      <c r="H565" s="922"/>
      <c r="I565" s="922">
        <f>CEILING(I562,10)</f>
        <v>0</v>
      </c>
      <c r="J565" s="922"/>
      <c r="K565" s="922"/>
      <c r="L565" s="922"/>
      <c r="M565" s="922"/>
      <c r="N565" s="922"/>
      <c r="O565" s="922"/>
      <c r="P565" s="923"/>
      <c r="Q565" s="277">
        <f>Q562*2</f>
        <v>0</v>
      </c>
      <c r="R565" s="262">
        <f>R560</f>
        <v>0</v>
      </c>
      <c r="S565" s="917">
        <f t="shared" si="84"/>
        <v>0</v>
      </c>
      <c r="T565" s="918"/>
      <c r="U565" s="353"/>
      <c r="V565" s="5">
        <f t="shared" si="80"/>
        <v>0</v>
      </c>
      <c r="W565" s="5"/>
      <c r="X565" s="5"/>
      <c r="Y565" s="5"/>
      <c r="Z565" s="5"/>
      <c r="AA565" s="5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  <c r="AM565" s="4"/>
      <c r="AN565" s="4"/>
      <c r="AO565" s="4"/>
      <c r="AP565" s="144"/>
      <c r="AQ565" s="144"/>
      <c r="AR565" s="144"/>
      <c r="AS565" s="144"/>
      <c r="AT565" s="4"/>
    </row>
    <row r="566" spans="1:46" s="77" customFormat="1" ht="15" customHeight="1">
      <c r="A566" s="926" t="str">
        <f t="shared" si="81"/>
        <v xml:space="preserve"> </v>
      </c>
      <c r="B566" s="922"/>
      <c r="C566" s="922"/>
      <c r="D566" s="922"/>
      <c r="E566" s="922"/>
      <c r="F566" s="922"/>
      <c r="G566" s="922"/>
      <c r="H566" s="922"/>
      <c r="I566" s="922">
        <f>I565</f>
        <v>0</v>
      </c>
      <c r="J566" s="922"/>
      <c r="K566" s="922"/>
      <c r="L566" s="922"/>
      <c r="M566" s="922"/>
      <c r="N566" s="922"/>
      <c r="O566" s="922"/>
      <c r="P566" s="923"/>
      <c r="Q566" s="351">
        <f>IF(Select!$CV$1=4,0,Q562)</f>
        <v>0</v>
      </c>
      <c r="R566" s="262">
        <f>R561</f>
        <v>0</v>
      </c>
      <c r="S566" s="917">
        <f t="shared" si="84"/>
        <v>0</v>
      </c>
      <c r="T566" s="918"/>
      <c r="U566" s="353"/>
      <c r="V566" s="5">
        <f t="shared" si="80"/>
        <v>0</v>
      </c>
      <c r="W566" s="5"/>
      <c r="X566" s="5"/>
      <c r="Y566" s="5"/>
      <c r="Z566" s="5"/>
      <c r="AA566" s="5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  <c r="AM566" s="4"/>
      <c r="AN566" s="4"/>
      <c r="AO566" s="4"/>
      <c r="AP566" s="144"/>
      <c r="AQ566" s="144"/>
      <c r="AR566" s="144"/>
      <c r="AS566" s="144"/>
      <c r="AT566" s="4"/>
    </row>
    <row r="567" spans="1:46" s="77" customFormat="1" ht="15" customHeight="1">
      <c r="A567" s="927" t="str">
        <f t="shared" si="81"/>
        <v xml:space="preserve"> </v>
      </c>
      <c r="B567" s="924"/>
      <c r="C567" s="924"/>
      <c r="D567" s="924"/>
      <c r="E567" s="924"/>
      <c r="F567" s="924">
        <f>IF(Formular!BN42&lt;500,500,Formular!BN42)</f>
        <v>500</v>
      </c>
      <c r="G567" s="924"/>
      <c r="H567" s="924"/>
      <c r="I567" s="924">
        <f>Formular!BO42</f>
        <v>0</v>
      </c>
      <c r="J567" s="924"/>
      <c r="K567" s="924"/>
      <c r="L567" s="924"/>
      <c r="M567" s="924"/>
      <c r="N567" s="924"/>
      <c r="O567" s="924"/>
      <c r="P567" s="925"/>
      <c r="Q567" s="313">
        <f>Formular!BQ42</f>
        <v>0</v>
      </c>
      <c r="R567" s="256"/>
      <c r="S567" s="917"/>
      <c r="T567" s="918"/>
      <c r="U567" s="353"/>
      <c r="V567" s="5"/>
      <c r="W567" s="5"/>
      <c r="X567" s="5"/>
      <c r="Y567" s="5"/>
      <c r="Z567" s="5"/>
      <c r="AA567" s="5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  <c r="AM567" s="4"/>
      <c r="AN567" s="4"/>
      <c r="AO567" s="4"/>
      <c r="AP567" s="144"/>
      <c r="AQ567" s="144"/>
      <c r="AR567" s="144"/>
      <c r="AS567" s="144"/>
      <c r="AT567" s="4"/>
    </row>
    <row r="568" spans="1:46" s="77" customFormat="1" ht="15" customHeight="1">
      <c r="A568" s="926" t="str">
        <f t="shared" si="81"/>
        <v xml:space="preserve"> </v>
      </c>
      <c r="B568" s="922"/>
      <c r="C568" s="922"/>
      <c r="D568" s="922"/>
      <c r="E568" s="922"/>
      <c r="F568" s="922"/>
      <c r="G568" s="922"/>
      <c r="H568" s="922"/>
      <c r="I568" s="922">
        <f>CEILING(F567,10)-10</f>
        <v>490</v>
      </c>
      <c r="J568" s="922"/>
      <c r="K568" s="922"/>
      <c r="L568" s="922"/>
      <c r="M568" s="922"/>
      <c r="N568" s="922"/>
      <c r="O568" s="922"/>
      <c r="P568" s="923"/>
      <c r="Q568" s="351">
        <f>IF(Select!$CV$1=2,CEILING(I567,100)/100*Q567,IF(Select!$CV$1=3,AA568*Q567,IF(Select!$CV$1=4,CEILING(I567,100)/100*Q567,0)))</f>
        <v>0</v>
      </c>
      <c r="R568" s="262">
        <f>R563</f>
        <v>0</v>
      </c>
      <c r="S568" s="917">
        <f>I568*Q568/1000*R568</f>
        <v>0</v>
      </c>
      <c r="T568" s="918"/>
      <c r="U568" s="353"/>
      <c r="V568" s="5">
        <f t="shared" si="80"/>
        <v>0</v>
      </c>
      <c r="W568" s="297">
        <f>(Q568+Q573+Q578+Q583+Q588+Q592+Q598+Q603+Q608)*4</f>
        <v>0</v>
      </c>
      <c r="X568" s="297">
        <f>Q571+Q576+Q581+Q586+Q591+Q596+Q601+Q606+Q611</f>
        <v>0</v>
      </c>
      <c r="Y568" s="5">
        <f>CEILING(I567,100)/120</f>
        <v>0</v>
      </c>
      <c r="Z568" s="5">
        <f>ROUNDUP(Y568,0)</f>
        <v>0</v>
      </c>
      <c r="AA568" s="5">
        <f>ROUND(Y568,0)</f>
        <v>0</v>
      </c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  <c r="AM568" s="4"/>
      <c r="AN568" s="4"/>
      <c r="AO568" s="4"/>
      <c r="AP568" s="144"/>
      <c r="AQ568" s="144"/>
      <c r="AR568" s="144"/>
      <c r="AS568" s="144"/>
      <c r="AT568" s="4"/>
    </row>
    <row r="569" spans="1:46" s="77" customFormat="1" ht="15" customHeight="1">
      <c r="A569" s="926" t="str">
        <f t="shared" si="81"/>
        <v xml:space="preserve"> </v>
      </c>
      <c r="B569" s="922"/>
      <c r="C569" s="922"/>
      <c r="D569" s="922"/>
      <c r="E569" s="922"/>
      <c r="F569" s="922"/>
      <c r="G569" s="922"/>
      <c r="H569" s="922"/>
      <c r="I569" s="922">
        <f>I568+10</f>
        <v>500</v>
      </c>
      <c r="J569" s="922"/>
      <c r="K569" s="922"/>
      <c r="L569" s="922"/>
      <c r="M569" s="922"/>
      <c r="N569" s="922"/>
      <c r="O569" s="922"/>
      <c r="P569" s="923"/>
      <c r="Q569" s="277">
        <f>Q567</f>
        <v>0</v>
      </c>
      <c r="R569" s="262">
        <f>R564</f>
        <v>0</v>
      </c>
      <c r="S569" s="917">
        <f t="shared" ref="S569:S571" si="85">I569*Q569/1000*R569</f>
        <v>0</v>
      </c>
      <c r="T569" s="918"/>
      <c r="U569" s="353"/>
      <c r="V569" s="5">
        <f t="shared" si="80"/>
        <v>0</v>
      </c>
      <c r="W569" s="5"/>
      <c r="X569" s="5"/>
      <c r="Y569" s="5"/>
      <c r="Z569" s="5"/>
      <c r="AA569" s="5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  <c r="AM569" s="4"/>
      <c r="AN569" s="4"/>
      <c r="AO569" s="4"/>
      <c r="AP569" s="144"/>
      <c r="AQ569" s="144"/>
      <c r="AR569" s="144"/>
      <c r="AS569" s="144"/>
      <c r="AT569" s="4"/>
    </row>
    <row r="570" spans="1:46" s="77" customFormat="1" ht="15" customHeight="1">
      <c r="A570" s="926" t="str">
        <f t="shared" si="81"/>
        <v xml:space="preserve"> </v>
      </c>
      <c r="B570" s="922"/>
      <c r="C570" s="922"/>
      <c r="D570" s="922"/>
      <c r="E570" s="922"/>
      <c r="F570" s="922"/>
      <c r="G570" s="922"/>
      <c r="H570" s="922"/>
      <c r="I570" s="922">
        <f>CEILING(I567,10)</f>
        <v>0</v>
      </c>
      <c r="J570" s="922"/>
      <c r="K570" s="922"/>
      <c r="L570" s="922"/>
      <c r="M570" s="922"/>
      <c r="N570" s="922"/>
      <c r="O570" s="922"/>
      <c r="P570" s="923"/>
      <c r="Q570" s="277">
        <f>Q567*2</f>
        <v>0</v>
      </c>
      <c r="R570" s="262">
        <f>R565</f>
        <v>0</v>
      </c>
      <c r="S570" s="917">
        <f t="shared" si="85"/>
        <v>0</v>
      </c>
      <c r="T570" s="918"/>
      <c r="U570" s="353"/>
      <c r="V570" s="5">
        <f t="shared" si="80"/>
        <v>0</v>
      </c>
      <c r="W570" s="5"/>
      <c r="X570" s="5"/>
      <c r="Y570" s="5"/>
      <c r="Z570" s="5"/>
      <c r="AA570" s="5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  <c r="AM570" s="4"/>
      <c r="AN570" s="4"/>
      <c r="AO570" s="4"/>
      <c r="AP570" s="144"/>
      <c r="AQ570" s="144"/>
      <c r="AR570" s="144"/>
      <c r="AS570" s="144"/>
      <c r="AT570" s="4"/>
    </row>
    <row r="571" spans="1:46" s="77" customFormat="1" ht="15" customHeight="1">
      <c r="A571" s="926" t="str">
        <f t="shared" si="81"/>
        <v xml:space="preserve"> </v>
      </c>
      <c r="B571" s="922"/>
      <c r="C571" s="922"/>
      <c r="D571" s="922"/>
      <c r="E571" s="922"/>
      <c r="F571" s="922"/>
      <c r="G571" s="922"/>
      <c r="H571" s="922"/>
      <c r="I571" s="922">
        <f>I570</f>
        <v>0</v>
      </c>
      <c r="J571" s="922"/>
      <c r="K571" s="922"/>
      <c r="L571" s="922"/>
      <c r="M571" s="922"/>
      <c r="N571" s="922"/>
      <c r="O571" s="922"/>
      <c r="P571" s="923"/>
      <c r="Q571" s="351">
        <f>IF(Select!$CV$1=4,0,Q567)</f>
        <v>0</v>
      </c>
      <c r="R571" s="262">
        <f>R566</f>
        <v>0</v>
      </c>
      <c r="S571" s="917">
        <f t="shared" si="85"/>
        <v>0</v>
      </c>
      <c r="T571" s="918"/>
      <c r="U571" s="353"/>
      <c r="V571" s="5">
        <f t="shared" si="80"/>
        <v>0</v>
      </c>
      <c r="W571" s="5"/>
      <c r="X571" s="5"/>
      <c r="Y571" s="5"/>
      <c r="Z571" s="5"/>
      <c r="AA571" s="5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  <c r="AM571" s="4"/>
      <c r="AN571" s="4"/>
      <c r="AO571" s="4"/>
      <c r="AP571" s="144"/>
      <c r="AQ571" s="144"/>
      <c r="AR571" s="144"/>
      <c r="AS571" s="144"/>
      <c r="AT571" s="4"/>
    </row>
    <row r="572" spans="1:46" s="77" customFormat="1" ht="15" customHeight="1">
      <c r="A572" s="927" t="str">
        <f t="shared" si="81"/>
        <v xml:space="preserve"> </v>
      </c>
      <c r="B572" s="924"/>
      <c r="C572" s="924"/>
      <c r="D572" s="924"/>
      <c r="E572" s="924"/>
      <c r="F572" s="924">
        <f>IF(Formular!BN43&lt;500,500,Formular!BN43)</f>
        <v>500</v>
      </c>
      <c r="G572" s="924"/>
      <c r="H572" s="924"/>
      <c r="I572" s="924">
        <f>Formular!BO43</f>
        <v>0</v>
      </c>
      <c r="J572" s="924"/>
      <c r="K572" s="924"/>
      <c r="L572" s="924"/>
      <c r="M572" s="924"/>
      <c r="N572" s="924"/>
      <c r="O572" s="924"/>
      <c r="P572" s="925"/>
      <c r="Q572" s="313">
        <f>Formular!BQ43</f>
        <v>0</v>
      </c>
      <c r="R572" s="256"/>
      <c r="S572" s="917"/>
      <c r="T572" s="918"/>
      <c r="U572" s="353"/>
      <c r="V572" s="5"/>
      <c r="W572" s="5"/>
      <c r="X572" s="5"/>
      <c r="Y572" s="5"/>
      <c r="Z572" s="5"/>
      <c r="AA572" s="5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  <c r="AM572" s="4"/>
      <c r="AN572" s="4"/>
      <c r="AO572" s="4"/>
      <c r="AP572" s="144"/>
      <c r="AQ572" s="144"/>
      <c r="AR572" s="144"/>
      <c r="AS572" s="144"/>
      <c r="AT572" s="4"/>
    </row>
    <row r="573" spans="1:46" s="77" customFormat="1" ht="15" customHeight="1">
      <c r="A573" s="926" t="str">
        <f t="shared" si="81"/>
        <v xml:space="preserve"> </v>
      </c>
      <c r="B573" s="922"/>
      <c r="C573" s="922"/>
      <c r="D573" s="922"/>
      <c r="E573" s="922"/>
      <c r="F573" s="922"/>
      <c r="G573" s="922"/>
      <c r="H573" s="922"/>
      <c r="I573" s="922">
        <f>CEILING(F572,10)-10</f>
        <v>490</v>
      </c>
      <c r="J573" s="922"/>
      <c r="K573" s="922"/>
      <c r="L573" s="922"/>
      <c r="M573" s="922"/>
      <c r="N573" s="922"/>
      <c r="O573" s="922"/>
      <c r="P573" s="923"/>
      <c r="Q573" s="351">
        <f>IF(Select!$CV$1=2,CEILING(I572,100)/100*Q572,IF(Select!$CV$1=3,AA573*Q572,IF(Select!$CV$1=4,CEILING(I572,100)/100*Q572,0)))</f>
        <v>0</v>
      </c>
      <c r="R573" s="262">
        <f>R568</f>
        <v>0</v>
      </c>
      <c r="S573" s="917">
        <f>I573*Q573/1000*R573</f>
        <v>0</v>
      </c>
      <c r="T573" s="918"/>
      <c r="U573" s="353"/>
      <c r="V573" s="5">
        <f t="shared" si="80"/>
        <v>0</v>
      </c>
      <c r="W573" s="297">
        <f>(Q573+Q578+Q583+Q588+Q593+Q597+Q603+Q608+Q613)*4</f>
        <v>0</v>
      </c>
      <c r="X573" s="297">
        <f>Q576+Q581+Q586+Q591+Q596+Q601+Q606+Q611+Q616</f>
        <v>0</v>
      </c>
      <c r="Y573" s="5">
        <f>CEILING(I572,100)/120</f>
        <v>0</v>
      </c>
      <c r="Z573" s="5">
        <f>ROUNDUP(Y573,0)</f>
        <v>0</v>
      </c>
      <c r="AA573" s="5">
        <f>ROUND(Y573,0)</f>
        <v>0</v>
      </c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  <c r="AM573" s="4"/>
      <c r="AN573" s="4"/>
      <c r="AO573" s="4"/>
      <c r="AP573" s="144"/>
      <c r="AQ573" s="144"/>
      <c r="AR573" s="144"/>
      <c r="AS573" s="144"/>
      <c r="AT573" s="4"/>
    </row>
    <row r="574" spans="1:46" s="77" customFormat="1" ht="15" customHeight="1">
      <c r="A574" s="926" t="str">
        <f t="shared" si="81"/>
        <v xml:space="preserve"> </v>
      </c>
      <c r="B574" s="922"/>
      <c r="C574" s="922"/>
      <c r="D574" s="922"/>
      <c r="E574" s="922"/>
      <c r="F574" s="922"/>
      <c r="G574" s="922"/>
      <c r="H574" s="922"/>
      <c r="I574" s="922">
        <f>I573+10</f>
        <v>500</v>
      </c>
      <c r="J574" s="922"/>
      <c r="K574" s="922"/>
      <c r="L574" s="922"/>
      <c r="M574" s="922"/>
      <c r="N574" s="922"/>
      <c r="O574" s="922"/>
      <c r="P574" s="923"/>
      <c r="Q574" s="277">
        <f>Q572</f>
        <v>0</v>
      </c>
      <c r="R574" s="262">
        <f>R569</f>
        <v>0</v>
      </c>
      <c r="S574" s="917">
        <f t="shared" ref="S574:S576" si="86">I574*Q574/1000*R574</f>
        <v>0</v>
      </c>
      <c r="T574" s="918"/>
      <c r="U574" s="353"/>
      <c r="V574" s="5">
        <f t="shared" si="80"/>
        <v>0</v>
      </c>
      <c r="W574" s="5"/>
      <c r="X574" s="5"/>
      <c r="Y574" s="5"/>
      <c r="Z574" s="5"/>
      <c r="AA574" s="5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  <c r="AM574" s="4"/>
      <c r="AN574" s="4"/>
      <c r="AO574" s="4"/>
      <c r="AP574" s="144"/>
      <c r="AQ574" s="144"/>
      <c r="AR574" s="144"/>
      <c r="AS574" s="144"/>
      <c r="AT574" s="4"/>
    </row>
    <row r="575" spans="1:46" s="77" customFormat="1" ht="15" customHeight="1">
      <c r="A575" s="926" t="str">
        <f t="shared" si="81"/>
        <v xml:space="preserve"> </v>
      </c>
      <c r="B575" s="922"/>
      <c r="C575" s="922"/>
      <c r="D575" s="922"/>
      <c r="E575" s="922"/>
      <c r="F575" s="922"/>
      <c r="G575" s="922"/>
      <c r="H575" s="922"/>
      <c r="I575" s="922">
        <f>CEILING(I572,10)</f>
        <v>0</v>
      </c>
      <c r="J575" s="922"/>
      <c r="K575" s="922"/>
      <c r="L575" s="922"/>
      <c r="M575" s="922"/>
      <c r="N575" s="922"/>
      <c r="O575" s="922"/>
      <c r="P575" s="923"/>
      <c r="Q575" s="277">
        <f>Q572*2</f>
        <v>0</v>
      </c>
      <c r="R575" s="262">
        <f>R570</f>
        <v>0</v>
      </c>
      <c r="S575" s="917">
        <f t="shared" si="86"/>
        <v>0</v>
      </c>
      <c r="T575" s="918"/>
      <c r="U575" s="353"/>
      <c r="V575" s="5">
        <f t="shared" si="80"/>
        <v>0</v>
      </c>
      <c r="W575" s="5"/>
      <c r="X575" s="5"/>
      <c r="Y575" s="5"/>
      <c r="Z575" s="5"/>
      <c r="AA575" s="5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  <c r="AM575" s="4"/>
      <c r="AN575" s="4"/>
      <c r="AO575" s="4"/>
      <c r="AP575" s="144"/>
      <c r="AQ575" s="144"/>
      <c r="AR575" s="144"/>
      <c r="AS575" s="144"/>
      <c r="AT575" s="4"/>
    </row>
    <row r="576" spans="1:46" s="77" customFormat="1" ht="15" customHeight="1">
      <c r="A576" s="926" t="str">
        <f t="shared" si="81"/>
        <v xml:space="preserve"> </v>
      </c>
      <c r="B576" s="922"/>
      <c r="C576" s="922"/>
      <c r="D576" s="922"/>
      <c r="E576" s="922"/>
      <c r="F576" s="922"/>
      <c r="G576" s="922"/>
      <c r="H576" s="922"/>
      <c r="I576" s="922">
        <f>I575</f>
        <v>0</v>
      </c>
      <c r="J576" s="922"/>
      <c r="K576" s="922"/>
      <c r="L576" s="922"/>
      <c r="M576" s="922"/>
      <c r="N576" s="922"/>
      <c r="O576" s="922"/>
      <c r="P576" s="923"/>
      <c r="Q576" s="351">
        <f>IF(Select!$CV$1=4,0,Q572)</f>
        <v>0</v>
      </c>
      <c r="R576" s="262">
        <f>R571</f>
        <v>0</v>
      </c>
      <c r="S576" s="917">
        <f t="shared" si="86"/>
        <v>0</v>
      </c>
      <c r="T576" s="918"/>
      <c r="U576" s="353"/>
      <c r="V576" s="5">
        <f t="shared" si="80"/>
        <v>0</v>
      </c>
      <c r="W576" s="5"/>
      <c r="X576" s="5"/>
      <c r="Y576" s="5"/>
      <c r="Z576" s="5"/>
      <c r="AA576" s="5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  <c r="AM576" s="4"/>
      <c r="AN576" s="4"/>
      <c r="AO576" s="4"/>
      <c r="AP576" s="144"/>
      <c r="AQ576" s="144"/>
      <c r="AR576" s="144"/>
      <c r="AS576" s="144"/>
      <c r="AT576" s="4"/>
    </row>
    <row r="577" spans="1:46" s="77" customFormat="1" ht="15" customHeight="1">
      <c r="A577" s="927" t="str">
        <f t="shared" si="81"/>
        <v xml:space="preserve"> </v>
      </c>
      <c r="B577" s="924"/>
      <c r="C577" s="924"/>
      <c r="D577" s="924"/>
      <c r="E577" s="924"/>
      <c r="F577" s="924">
        <f>IF(Formular!BN44&lt;500,500,Formular!BN44)</f>
        <v>500</v>
      </c>
      <c r="G577" s="924"/>
      <c r="H577" s="924"/>
      <c r="I577" s="924">
        <f>Formular!BO44</f>
        <v>0</v>
      </c>
      <c r="J577" s="924"/>
      <c r="K577" s="924"/>
      <c r="L577" s="924"/>
      <c r="M577" s="924"/>
      <c r="N577" s="924"/>
      <c r="O577" s="924"/>
      <c r="P577" s="925"/>
      <c r="Q577" s="313">
        <f>Formular!BQ44</f>
        <v>0</v>
      </c>
      <c r="R577" s="256"/>
      <c r="S577" s="917"/>
      <c r="T577" s="918"/>
      <c r="U577" s="353"/>
      <c r="V577" s="5"/>
      <c r="W577" s="5"/>
      <c r="X577" s="5"/>
      <c r="Y577" s="5"/>
      <c r="Z577" s="5"/>
      <c r="AA577" s="5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  <c r="AM577" s="4"/>
      <c r="AN577" s="4"/>
      <c r="AO577" s="4"/>
      <c r="AP577" s="144"/>
      <c r="AQ577" s="144"/>
      <c r="AR577" s="144"/>
      <c r="AS577" s="144"/>
      <c r="AT577" s="4"/>
    </row>
    <row r="578" spans="1:46" s="77" customFormat="1" ht="15" customHeight="1">
      <c r="A578" s="926" t="str">
        <f t="shared" si="81"/>
        <v xml:space="preserve"> </v>
      </c>
      <c r="B578" s="922"/>
      <c r="C578" s="922"/>
      <c r="D578" s="922"/>
      <c r="E578" s="922"/>
      <c r="F578" s="922"/>
      <c r="G578" s="922"/>
      <c r="H578" s="922"/>
      <c r="I578" s="922">
        <f>CEILING(F577,10)-10</f>
        <v>490</v>
      </c>
      <c r="J578" s="922"/>
      <c r="K578" s="922"/>
      <c r="L578" s="922"/>
      <c r="M578" s="922"/>
      <c r="N578" s="922"/>
      <c r="O578" s="922"/>
      <c r="P578" s="923"/>
      <c r="Q578" s="351">
        <f>IF(Select!$CV$1=2,CEILING(I577,100)/100*Q577,IF(Select!$CV$1=3,AA578*Q577,IF(Select!$CV$1=4,CEILING(I577,100)/100*Q577,0)))</f>
        <v>0</v>
      </c>
      <c r="R578" s="262">
        <f>R573</f>
        <v>0</v>
      </c>
      <c r="S578" s="917">
        <f>I578*Q578/1000*R578</f>
        <v>0</v>
      </c>
      <c r="T578" s="918"/>
      <c r="U578" s="353"/>
      <c r="V578" s="5">
        <f t="shared" si="80"/>
        <v>0</v>
      </c>
      <c r="W578" s="297">
        <f>(Q578+Q583+Q588+Q593+Q598+Q602+Q608+Q613+Q618)*4</f>
        <v>0</v>
      </c>
      <c r="X578" s="297">
        <f>Q581+Q586+Q591+Q596+Q601+Q606+Q611+Q616+Q621</f>
        <v>0</v>
      </c>
      <c r="Y578" s="5">
        <f>CEILING(I577,100)/120</f>
        <v>0</v>
      </c>
      <c r="Z578" s="5">
        <f>ROUNDUP(Y578,0)</f>
        <v>0</v>
      </c>
      <c r="AA578" s="5">
        <f>ROUND(Y578,0)</f>
        <v>0</v>
      </c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  <c r="AM578" s="4"/>
      <c r="AN578" s="4"/>
      <c r="AO578" s="4"/>
      <c r="AP578" s="144"/>
      <c r="AQ578" s="144"/>
      <c r="AR578" s="144"/>
      <c r="AS578" s="144"/>
      <c r="AT578" s="4"/>
    </row>
    <row r="579" spans="1:46" s="77" customFormat="1" ht="15" customHeight="1">
      <c r="A579" s="926" t="str">
        <f t="shared" si="81"/>
        <v xml:space="preserve"> </v>
      </c>
      <c r="B579" s="922"/>
      <c r="C579" s="922"/>
      <c r="D579" s="922"/>
      <c r="E579" s="922"/>
      <c r="F579" s="922"/>
      <c r="G579" s="922"/>
      <c r="H579" s="922"/>
      <c r="I579" s="922">
        <f>I578+10</f>
        <v>500</v>
      </c>
      <c r="J579" s="922"/>
      <c r="K579" s="922"/>
      <c r="L579" s="922"/>
      <c r="M579" s="922"/>
      <c r="N579" s="922"/>
      <c r="O579" s="922"/>
      <c r="P579" s="923"/>
      <c r="Q579" s="277">
        <f>Q577</f>
        <v>0</v>
      </c>
      <c r="R579" s="262">
        <f>R574</f>
        <v>0</v>
      </c>
      <c r="S579" s="917">
        <f t="shared" ref="S579:S581" si="87">I579*Q579/1000*R579</f>
        <v>0</v>
      </c>
      <c r="T579" s="918"/>
      <c r="U579" s="353"/>
      <c r="V579" s="5">
        <f t="shared" si="80"/>
        <v>0</v>
      </c>
      <c r="W579" s="5"/>
      <c r="X579" s="5"/>
      <c r="Y579" s="5"/>
      <c r="Z579" s="5"/>
      <c r="AA579" s="5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  <c r="AM579" s="4"/>
      <c r="AN579" s="4"/>
      <c r="AO579" s="4"/>
      <c r="AP579" s="144"/>
      <c r="AQ579" s="144"/>
      <c r="AR579" s="144"/>
      <c r="AS579" s="144"/>
      <c r="AT579" s="4"/>
    </row>
    <row r="580" spans="1:46" s="77" customFormat="1" ht="15" customHeight="1">
      <c r="A580" s="926" t="str">
        <f t="shared" si="81"/>
        <v xml:space="preserve"> </v>
      </c>
      <c r="B580" s="922"/>
      <c r="C580" s="922"/>
      <c r="D580" s="922"/>
      <c r="E580" s="922"/>
      <c r="F580" s="922"/>
      <c r="G580" s="922"/>
      <c r="H580" s="922"/>
      <c r="I580" s="922">
        <f>CEILING(I577,10)</f>
        <v>0</v>
      </c>
      <c r="J580" s="922"/>
      <c r="K580" s="922"/>
      <c r="L580" s="922"/>
      <c r="M580" s="922"/>
      <c r="N580" s="922"/>
      <c r="O580" s="922"/>
      <c r="P580" s="923"/>
      <c r="Q580" s="277">
        <f>Q577*2</f>
        <v>0</v>
      </c>
      <c r="R580" s="262">
        <f>R575</f>
        <v>0</v>
      </c>
      <c r="S580" s="917">
        <f t="shared" si="87"/>
        <v>0</v>
      </c>
      <c r="T580" s="918"/>
      <c r="U580" s="353"/>
      <c r="V580" s="5">
        <f t="shared" si="80"/>
        <v>0</v>
      </c>
      <c r="W580" s="5"/>
      <c r="X580" s="5"/>
      <c r="Y580" s="5"/>
      <c r="Z580" s="5"/>
      <c r="AA580" s="5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  <c r="AM580" s="4"/>
      <c r="AN580" s="4"/>
      <c r="AO580" s="4"/>
      <c r="AP580" s="144"/>
      <c r="AQ580" s="144"/>
      <c r="AR580" s="144"/>
      <c r="AS580" s="144"/>
      <c r="AT580" s="4"/>
    </row>
    <row r="581" spans="1:46" s="77" customFormat="1" ht="15" customHeight="1">
      <c r="A581" s="926" t="str">
        <f t="shared" si="81"/>
        <v xml:space="preserve"> </v>
      </c>
      <c r="B581" s="922"/>
      <c r="C581" s="922"/>
      <c r="D581" s="922"/>
      <c r="E581" s="922"/>
      <c r="F581" s="922"/>
      <c r="G581" s="922"/>
      <c r="H581" s="922"/>
      <c r="I581" s="922">
        <f>I580</f>
        <v>0</v>
      </c>
      <c r="J581" s="922"/>
      <c r="K581" s="922"/>
      <c r="L581" s="922"/>
      <c r="M581" s="922"/>
      <c r="N581" s="922"/>
      <c r="O581" s="922"/>
      <c r="P581" s="923"/>
      <c r="Q581" s="351">
        <f>IF(Select!$CV$1=4,0,Q577)</f>
        <v>0</v>
      </c>
      <c r="R581" s="262">
        <f>R576</f>
        <v>0</v>
      </c>
      <c r="S581" s="917">
        <f t="shared" si="87"/>
        <v>0</v>
      </c>
      <c r="T581" s="918"/>
      <c r="U581" s="353"/>
      <c r="V581" s="5">
        <f t="shared" si="80"/>
        <v>0</v>
      </c>
      <c r="W581" s="5"/>
      <c r="X581" s="5"/>
      <c r="Y581" s="5"/>
      <c r="Z581" s="5"/>
      <c r="AA581" s="5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  <c r="AM581" s="4"/>
      <c r="AN581" s="4"/>
      <c r="AO581" s="4"/>
      <c r="AP581" s="144"/>
      <c r="AQ581" s="144"/>
      <c r="AR581" s="144"/>
      <c r="AS581" s="144"/>
      <c r="AT581" s="4"/>
    </row>
    <row r="582" spans="1:46" s="77" customFormat="1" ht="15" customHeight="1">
      <c r="A582" s="927" t="str">
        <f t="shared" si="81"/>
        <v xml:space="preserve"> </v>
      </c>
      <c r="B582" s="924"/>
      <c r="C582" s="924"/>
      <c r="D582" s="924"/>
      <c r="E582" s="924"/>
      <c r="F582" s="924">
        <f>IF(Formular!BN45&lt;500,500,Formular!BN45)</f>
        <v>500</v>
      </c>
      <c r="G582" s="924"/>
      <c r="H582" s="924"/>
      <c r="I582" s="924">
        <f>Formular!BO45</f>
        <v>0</v>
      </c>
      <c r="J582" s="924"/>
      <c r="K582" s="924"/>
      <c r="L582" s="924"/>
      <c r="M582" s="924"/>
      <c r="N582" s="924"/>
      <c r="O582" s="924"/>
      <c r="P582" s="925"/>
      <c r="Q582" s="313">
        <f>Formular!BQ45</f>
        <v>0</v>
      </c>
      <c r="R582" s="256"/>
      <c r="S582" s="917"/>
      <c r="T582" s="918"/>
      <c r="U582" s="353"/>
      <c r="V582" s="5"/>
      <c r="W582" s="5"/>
      <c r="X582" s="5"/>
      <c r="Y582" s="5"/>
      <c r="Z582" s="5"/>
      <c r="AA582" s="5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  <c r="AM582" s="4"/>
      <c r="AN582" s="4"/>
      <c r="AO582" s="4"/>
      <c r="AP582" s="144"/>
      <c r="AQ582" s="144"/>
      <c r="AR582" s="144"/>
      <c r="AS582" s="144"/>
      <c r="AT582" s="4"/>
    </row>
    <row r="583" spans="1:46" s="77" customFormat="1" ht="15" customHeight="1">
      <c r="A583" s="926" t="str">
        <f t="shared" si="81"/>
        <v xml:space="preserve"> </v>
      </c>
      <c r="B583" s="922"/>
      <c r="C583" s="922"/>
      <c r="D583" s="922"/>
      <c r="E583" s="922"/>
      <c r="F583" s="922"/>
      <c r="G583" s="922"/>
      <c r="H583" s="922"/>
      <c r="I583" s="922">
        <f>CEILING(F582,10)-10</f>
        <v>490</v>
      </c>
      <c r="J583" s="922"/>
      <c r="K583" s="922"/>
      <c r="L583" s="922"/>
      <c r="M583" s="922"/>
      <c r="N583" s="922"/>
      <c r="O583" s="922"/>
      <c r="P583" s="923"/>
      <c r="Q583" s="351">
        <f>IF(Select!$CV$1=2,CEILING(I582,100)/100*Q582,IF(Select!$CV$1=3,AA583*Q582,IF(Select!$CV$1=4,CEILING(I582,100)/100*Q582,0)))</f>
        <v>0</v>
      </c>
      <c r="R583" s="262">
        <f>R578</f>
        <v>0</v>
      </c>
      <c r="S583" s="917">
        <f>I583*Q583/1000*R583</f>
        <v>0</v>
      </c>
      <c r="T583" s="918"/>
      <c r="U583" s="353"/>
      <c r="V583" s="5">
        <f t="shared" si="80"/>
        <v>0</v>
      </c>
      <c r="W583" s="297">
        <f>(Q583+Q588+Q593+Q598+Q603+Q607+Q613+Q618+Q623)*4</f>
        <v>0</v>
      </c>
      <c r="X583" s="297">
        <f>Q586+Q591+Q596+Q601+Q606+Q611+Q616+Q621+Q626</f>
        <v>0</v>
      </c>
      <c r="Y583" s="5">
        <f>CEILING(I582,100)/120</f>
        <v>0</v>
      </c>
      <c r="Z583" s="5">
        <f>ROUNDUP(Y583,0)</f>
        <v>0</v>
      </c>
      <c r="AA583" s="5">
        <f>ROUND(Y583,0)</f>
        <v>0</v>
      </c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  <c r="AM583" s="4"/>
      <c r="AN583" s="4"/>
      <c r="AO583" s="4"/>
      <c r="AP583" s="144"/>
      <c r="AQ583" s="144"/>
      <c r="AR583" s="144"/>
      <c r="AS583" s="144"/>
      <c r="AT583" s="4"/>
    </row>
    <row r="584" spans="1:46" s="77" customFormat="1" ht="15" customHeight="1">
      <c r="A584" s="926" t="str">
        <f t="shared" si="81"/>
        <v xml:space="preserve"> </v>
      </c>
      <c r="B584" s="922"/>
      <c r="C584" s="922"/>
      <c r="D584" s="922"/>
      <c r="E584" s="922"/>
      <c r="F584" s="922"/>
      <c r="G584" s="922"/>
      <c r="H584" s="922"/>
      <c r="I584" s="922">
        <f>I583+10</f>
        <v>500</v>
      </c>
      <c r="J584" s="922"/>
      <c r="K584" s="922"/>
      <c r="L584" s="922"/>
      <c r="M584" s="922"/>
      <c r="N584" s="922"/>
      <c r="O584" s="922"/>
      <c r="P584" s="923"/>
      <c r="Q584" s="277">
        <f>Q582</f>
        <v>0</v>
      </c>
      <c r="R584" s="262">
        <f>R579</f>
        <v>0</v>
      </c>
      <c r="S584" s="917">
        <f t="shared" ref="S584:S586" si="88">I584*Q584/1000*R584</f>
        <v>0</v>
      </c>
      <c r="T584" s="918"/>
      <c r="U584" s="353"/>
      <c r="V584" s="5">
        <f t="shared" si="80"/>
        <v>0</v>
      </c>
      <c r="W584" s="5"/>
      <c r="X584" s="5"/>
      <c r="Y584" s="5"/>
      <c r="Z584" s="5"/>
      <c r="AA584" s="5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  <c r="AM584" s="4"/>
      <c r="AN584" s="4"/>
      <c r="AO584" s="4"/>
      <c r="AP584" s="144"/>
      <c r="AQ584" s="144"/>
      <c r="AR584" s="144"/>
      <c r="AS584" s="144"/>
      <c r="AT584" s="4"/>
    </row>
    <row r="585" spans="1:46" s="77" customFormat="1" ht="15" customHeight="1">
      <c r="A585" s="926" t="str">
        <f t="shared" si="81"/>
        <v xml:space="preserve"> </v>
      </c>
      <c r="B585" s="922"/>
      <c r="C585" s="922"/>
      <c r="D585" s="922"/>
      <c r="E585" s="922"/>
      <c r="F585" s="922"/>
      <c r="G585" s="922"/>
      <c r="H585" s="922"/>
      <c r="I585" s="922">
        <f>CEILING(I582,10)</f>
        <v>0</v>
      </c>
      <c r="J585" s="922"/>
      <c r="K585" s="922"/>
      <c r="L585" s="922"/>
      <c r="M585" s="922"/>
      <c r="N585" s="922"/>
      <c r="O585" s="922"/>
      <c r="P585" s="923"/>
      <c r="Q585" s="277">
        <f>Q582*2</f>
        <v>0</v>
      </c>
      <c r="R585" s="262">
        <f>R580</f>
        <v>0</v>
      </c>
      <c r="S585" s="917">
        <f t="shared" si="88"/>
        <v>0</v>
      </c>
      <c r="T585" s="918"/>
      <c r="U585" s="353"/>
      <c r="V585" s="5">
        <f t="shared" si="80"/>
        <v>0</v>
      </c>
      <c r="W585" s="5"/>
      <c r="X585" s="5"/>
      <c r="Y585" s="5"/>
      <c r="Z585" s="5"/>
      <c r="AA585" s="5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  <c r="AM585" s="4"/>
      <c r="AN585" s="4"/>
      <c r="AO585" s="4"/>
      <c r="AP585" s="144"/>
      <c r="AQ585" s="144"/>
      <c r="AR585" s="144"/>
      <c r="AS585" s="144"/>
      <c r="AT585" s="4"/>
    </row>
    <row r="586" spans="1:46" s="77" customFormat="1" ht="15" customHeight="1">
      <c r="A586" s="926" t="str">
        <f t="shared" si="81"/>
        <v xml:space="preserve"> </v>
      </c>
      <c r="B586" s="922"/>
      <c r="C586" s="922"/>
      <c r="D586" s="922"/>
      <c r="E586" s="922"/>
      <c r="F586" s="922"/>
      <c r="G586" s="922"/>
      <c r="H586" s="922"/>
      <c r="I586" s="922">
        <f>I585</f>
        <v>0</v>
      </c>
      <c r="J586" s="922"/>
      <c r="K586" s="922"/>
      <c r="L586" s="922"/>
      <c r="M586" s="922"/>
      <c r="N586" s="922"/>
      <c r="O586" s="922"/>
      <c r="P586" s="923"/>
      <c r="Q586" s="351">
        <f>IF(Select!$CV$1=4,0,Q582)</f>
        <v>0</v>
      </c>
      <c r="R586" s="262">
        <f>R581</f>
        <v>0</v>
      </c>
      <c r="S586" s="917">
        <f t="shared" si="88"/>
        <v>0</v>
      </c>
      <c r="T586" s="918"/>
      <c r="U586" s="353"/>
      <c r="V586" s="5">
        <f t="shared" si="80"/>
        <v>0</v>
      </c>
      <c r="W586" s="5"/>
      <c r="X586" s="5"/>
      <c r="Y586" s="5"/>
      <c r="Z586" s="5"/>
      <c r="AA586" s="5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  <c r="AM586" s="4"/>
      <c r="AN586" s="4"/>
      <c r="AO586" s="4"/>
      <c r="AP586" s="144"/>
      <c r="AQ586" s="144"/>
      <c r="AR586" s="144"/>
      <c r="AS586" s="144"/>
      <c r="AT586" s="4"/>
    </row>
    <row r="587" spans="1:46" s="77" customFormat="1" ht="15" customHeight="1">
      <c r="A587" s="927" t="str">
        <f t="shared" si="81"/>
        <v xml:space="preserve"> </v>
      </c>
      <c r="B587" s="924"/>
      <c r="C587" s="924"/>
      <c r="D587" s="924"/>
      <c r="E587" s="924"/>
      <c r="F587" s="924">
        <f>IF(Formular!BN46&lt;500,500,Formular!BN46)</f>
        <v>500</v>
      </c>
      <c r="G587" s="924"/>
      <c r="H587" s="924"/>
      <c r="I587" s="924">
        <f>Formular!BO46</f>
        <v>0</v>
      </c>
      <c r="J587" s="924"/>
      <c r="K587" s="924"/>
      <c r="L587" s="924"/>
      <c r="M587" s="924"/>
      <c r="N587" s="924"/>
      <c r="O587" s="924"/>
      <c r="P587" s="925"/>
      <c r="Q587" s="313">
        <f>Formular!BQ46</f>
        <v>0</v>
      </c>
      <c r="R587" s="256"/>
      <c r="S587" s="917"/>
      <c r="T587" s="918"/>
      <c r="U587" s="353"/>
      <c r="V587" s="5"/>
      <c r="W587" s="5"/>
      <c r="X587" s="5"/>
      <c r="Y587" s="5"/>
      <c r="Z587" s="5"/>
      <c r="AA587" s="5"/>
      <c r="AB587" s="4"/>
      <c r="AC587" s="4"/>
      <c r="AD587" s="4"/>
      <c r="AE587" s="4"/>
      <c r="AF587" s="5"/>
      <c r="AG587" s="4"/>
      <c r="AH587" s="4"/>
      <c r="AI587" s="4"/>
      <c r="AJ587" s="4"/>
      <c r="AK587" s="4"/>
      <c r="AL587" s="4"/>
      <c r="AM587" s="4"/>
      <c r="AN587" s="4"/>
      <c r="AO587" s="4"/>
      <c r="AP587" s="144"/>
      <c r="AQ587" s="144"/>
      <c r="AR587" s="144"/>
      <c r="AS587" s="144"/>
      <c r="AT587" s="4"/>
    </row>
    <row r="588" spans="1:46" s="77" customFormat="1" ht="15" customHeight="1">
      <c r="A588" s="926" t="str">
        <f t="shared" si="81"/>
        <v xml:space="preserve"> </v>
      </c>
      <c r="B588" s="922"/>
      <c r="C588" s="922"/>
      <c r="D588" s="922"/>
      <c r="E588" s="922"/>
      <c r="F588" s="922"/>
      <c r="G588" s="922"/>
      <c r="H588" s="922"/>
      <c r="I588" s="922">
        <f>CEILING(F587,10)-10</f>
        <v>490</v>
      </c>
      <c r="J588" s="922"/>
      <c r="K588" s="922"/>
      <c r="L588" s="922"/>
      <c r="M588" s="922"/>
      <c r="N588" s="922"/>
      <c r="O588" s="922"/>
      <c r="P588" s="923"/>
      <c r="Q588" s="351">
        <f>IF(Select!$CV$1=2,CEILING(I587,100)/100*Q587,IF(Select!$CV$1=3,AA588*Q587,IF(Select!$CV$1=4,CEILING(I587,100)/100*Q587,0)))</f>
        <v>0</v>
      </c>
      <c r="R588" s="262">
        <f>R583</f>
        <v>0</v>
      </c>
      <c r="S588" s="917">
        <f>I588*Q588/1000*R588</f>
        <v>0</v>
      </c>
      <c r="T588" s="918"/>
      <c r="U588" s="353"/>
      <c r="V588" s="5">
        <f t="shared" si="80"/>
        <v>0</v>
      </c>
      <c r="W588" s="297">
        <f>(Q588+Q593+Q598+Q603+Q608+Q612+Q618+Q623+Q628)*4</f>
        <v>0</v>
      </c>
      <c r="X588" s="297">
        <f>Q591+Q596+Q601+Q606+Q611+Q616+Q621+Q626+Q631</f>
        <v>0</v>
      </c>
      <c r="Y588" s="5">
        <f>CEILING(I587,100)/120</f>
        <v>0</v>
      </c>
      <c r="Z588" s="5">
        <f>ROUNDUP(Y588,0)</f>
        <v>0</v>
      </c>
      <c r="AA588" s="5">
        <f>ROUND(Y588,0)</f>
        <v>0</v>
      </c>
      <c r="AB588" s="4"/>
      <c r="AC588" s="4"/>
      <c r="AD588" s="4"/>
      <c r="AE588" s="4"/>
      <c r="AF588" s="5"/>
      <c r="AG588" s="4"/>
      <c r="AH588" s="4"/>
      <c r="AI588" s="4"/>
      <c r="AJ588" s="4"/>
      <c r="AK588" s="4"/>
      <c r="AL588" s="4"/>
      <c r="AM588" s="4"/>
      <c r="AN588" s="4"/>
      <c r="AO588" s="4"/>
      <c r="AP588" s="144"/>
      <c r="AQ588" s="144"/>
      <c r="AR588" s="144"/>
      <c r="AS588" s="144"/>
      <c r="AT588" s="4"/>
    </row>
    <row r="589" spans="1:46" s="77" customFormat="1" ht="15" customHeight="1">
      <c r="A589" s="926" t="str">
        <f t="shared" si="81"/>
        <v xml:space="preserve"> </v>
      </c>
      <c r="B589" s="922"/>
      <c r="C589" s="922"/>
      <c r="D589" s="922"/>
      <c r="E589" s="922"/>
      <c r="F589" s="922"/>
      <c r="G589" s="922"/>
      <c r="H589" s="922"/>
      <c r="I589" s="922">
        <f>I588+10</f>
        <v>500</v>
      </c>
      <c r="J589" s="922"/>
      <c r="K589" s="922"/>
      <c r="L589" s="922"/>
      <c r="M589" s="922"/>
      <c r="N589" s="922"/>
      <c r="O589" s="922"/>
      <c r="P589" s="923"/>
      <c r="Q589" s="277">
        <f>Q587</f>
        <v>0</v>
      </c>
      <c r="R589" s="262">
        <f>R584</f>
        <v>0</v>
      </c>
      <c r="S589" s="917">
        <f t="shared" ref="S589:S591" si="89">I589*Q589/1000*R589</f>
        <v>0</v>
      </c>
      <c r="T589" s="918"/>
      <c r="U589" s="353"/>
      <c r="V589" s="5">
        <f t="shared" si="80"/>
        <v>0</v>
      </c>
      <c r="W589" s="5"/>
      <c r="X589" s="5"/>
      <c r="Y589" s="5"/>
      <c r="Z589" s="5"/>
      <c r="AA589" s="5"/>
      <c r="AB589" s="4"/>
      <c r="AC589" s="4"/>
      <c r="AD589" s="4"/>
      <c r="AE589" s="4"/>
      <c r="AF589" s="5"/>
      <c r="AG589" s="4"/>
      <c r="AH589" s="4"/>
      <c r="AI589" s="4"/>
      <c r="AJ589" s="4"/>
      <c r="AK589" s="4"/>
      <c r="AL589" s="4"/>
      <c r="AM589" s="4"/>
      <c r="AN589" s="4"/>
      <c r="AO589" s="4"/>
      <c r="AP589" s="144"/>
      <c r="AQ589" s="144"/>
      <c r="AR589" s="144"/>
      <c r="AS589" s="144"/>
      <c r="AT589" s="4"/>
    </row>
    <row r="590" spans="1:46" s="77" customFormat="1" ht="15" customHeight="1">
      <c r="A590" s="926" t="str">
        <f t="shared" si="81"/>
        <v xml:space="preserve"> </v>
      </c>
      <c r="B590" s="922"/>
      <c r="C590" s="922"/>
      <c r="D590" s="922"/>
      <c r="E590" s="922"/>
      <c r="F590" s="922"/>
      <c r="G590" s="922"/>
      <c r="H590" s="922"/>
      <c r="I590" s="922">
        <f>CEILING(I587,10)</f>
        <v>0</v>
      </c>
      <c r="J590" s="922"/>
      <c r="K590" s="922"/>
      <c r="L590" s="922"/>
      <c r="M590" s="922"/>
      <c r="N590" s="922"/>
      <c r="O590" s="922"/>
      <c r="P590" s="923"/>
      <c r="Q590" s="277">
        <f>Q587*2</f>
        <v>0</v>
      </c>
      <c r="R590" s="262">
        <f>R585</f>
        <v>0</v>
      </c>
      <c r="S590" s="917">
        <f t="shared" si="89"/>
        <v>0</v>
      </c>
      <c r="T590" s="918"/>
      <c r="U590" s="353"/>
      <c r="V590" s="5">
        <f t="shared" si="80"/>
        <v>0</v>
      </c>
      <c r="W590" s="5"/>
      <c r="X590" s="5"/>
      <c r="Y590" s="5"/>
      <c r="Z590" s="5"/>
      <c r="AA590" s="5"/>
      <c r="AB590" s="4"/>
      <c r="AC590" s="4"/>
      <c r="AD590" s="4"/>
      <c r="AE590" s="4"/>
      <c r="AF590" s="5"/>
      <c r="AG590" s="4"/>
      <c r="AH590" s="4"/>
      <c r="AI590" s="4"/>
      <c r="AJ590" s="4"/>
      <c r="AK590" s="4"/>
      <c r="AL590" s="4"/>
      <c r="AM590" s="4"/>
      <c r="AN590" s="4"/>
      <c r="AO590" s="4"/>
      <c r="AP590" s="144"/>
      <c r="AQ590" s="144"/>
      <c r="AR590" s="144"/>
      <c r="AS590" s="144"/>
      <c r="AT590" s="4"/>
    </row>
    <row r="591" spans="1:46" s="77" customFormat="1" ht="15" customHeight="1">
      <c r="A591" s="926" t="str">
        <f t="shared" si="81"/>
        <v xml:space="preserve"> </v>
      </c>
      <c r="B591" s="922"/>
      <c r="C591" s="922"/>
      <c r="D591" s="922"/>
      <c r="E591" s="922"/>
      <c r="F591" s="922"/>
      <c r="G591" s="922"/>
      <c r="H591" s="922"/>
      <c r="I591" s="922">
        <f>I590</f>
        <v>0</v>
      </c>
      <c r="J591" s="922"/>
      <c r="K591" s="922"/>
      <c r="L591" s="922"/>
      <c r="M591" s="922"/>
      <c r="N591" s="922"/>
      <c r="O591" s="922"/>
      <c r="P591" s="923"/>
      <c r="Q591" s="351">
        <f>IF(Select!$CV$1=4,0,Q587)</f>
        <v>0</v>
      </c>
      <c r="R591" s="262">
        <f>R586</f>
        <v>0</v>
      </c>
      <c r="S591" s="917">
        <f t="shared" si="89"/>
        <v>0</v>
      </c>
      <c r="T591" s="918"/>
      <c r="U591" s="353"/>
      <c r="V591" s="5">
        <f t="shared" si="80"/>
        <v>0</v>
      </c>
      <c r="W591" s="5"/>
      <c r="X591" s="5"/>
      <c r="Y591" s="5"/>
      <c r="Z591" s="5"/>
      <c r="AA591" s="5"/>
      <c r="AB591" s="4"/>
      <c r="AC591" s="4"/>
      <c r="AD591" s="4"/>
      <c r="AE591" s="4"/>
      <c r="AF591" s="5"/>
      <c r="AG591" s="4"/>
      <c r="AH591" s="4"/>
      <c r="AI591" s="4"/>
      <c r="AJ591" s="4"/>
      <c r="AK591" s="4"/>
      <c r="AL591" s="4"/>
      <c r="AM591" s="4"/>
      <c r="AN591" s="4"/>
      <c r="AO591" s="4"/>
      <c r="AP591" s="144"/>
      <c r="AQ591" s="144"/>
      <c r="AR591" s="144"/>
      <c r="AS591" s="144"/>
      <c r="AT591" s="4"/>
    </row>
    <row r="592" spans="1:46" s="77" customFormat="1" ht="15" customHeight="1">
      <c r="A592" s="926" t="str">
        <f>Info!A407</f>
        <v>Surub cap torx 4,8 X 20 RAL - 250 buc/cut</v>
      </c>
      <c r="B592" s="922"/>
      <c r="C592" s="922"/>
      <c r="D592" s="922"/>
      <c r="E592" s="922"/>
      <c r="F592" s="922"/>
      <c r="G592" s="922"/>
      <c r="H592" s="922"/>
      <c r="I592" s="922"/>
      <c r="J592" s="922"/>
      <c r="K592" s="922"/>
      <c r="L592" s="922"/>
      <c r="M592" s="922"/>
      <c r="N592" s="922"/>
      <c r="O592" s="922"/>
      <c r="P592" s="923"/>
      <c r="Q592" s="351">
        <f>IF(W546&gt;0,ROUNDUP((W548+8+X548)/250,0),0)</f>
        <v>0</v>
      </c>
      <c r="R592" s="262">
        <f>Info!AS407</f>
        <v>13.37</v>
      </c>
      <c r="S592" s="917">
        <f>Q592*R592</f>
        <v>0</v>
      </c>
      <c r="T592" s="918"/>
      <c r="U592" s="353"/>
      <c r="V592" s="5"/>
      <c r="W592" s="5"/>
      <c r="X592" s="5"/>
      <c r="Y592" s="5"/>
      <c r="Z592" s="5"/>
      <c r="AA592" s="5"/>
      <c r="AB592" s="4"/>
      <c r="AC592" s="4"/>
      <c r="AD592" s="4"/>
      <c r="AE592" s="4"/>
      <c r="AF592" s="5"/>
      <c r="AG592" s="4"/>
      <c r="AH592" s="4"/>
      <c r="AI592" s="4"/>
      <c r="AJ592" s="4"/>
      <c r="AK592" s="4"/>
      <c r="AL592" s="4"/>
      <c r="AM592" s="4"/>
      <c r="AN592" s="4"/>
      <c r="AO592" s="4"/>
      <c r="AP592" s="144"/>
      <c r="AQ592" s="144"/>
      <c r="AR592" s="144"/>
      <c r="AS592" s="144"/>
      <c r="AT592" s="4"/>
    </row>
    <row r="593" spans="1:46" s="77" customFormat="1" ht="15" customHeight="1">
      <c r="A593" s="926" t="str">
        <f>Formular!BN49</f>
        <v xml:space="preserve"> </v>
      </c>
      <c r="B593" s="922"/>
      <c r="C593" s="922"/>
      <c r="D593" s="922"/>
      <c r="E593" s="922"/>
      <c r="F593" s="922"/>
      <c r="G593" s="922"/>
      <c r="H593" s="922"/>
      <c r="I593" s="922">
        <f>CEILING(Formular!BO49,10)</f>
        <v>0</v>
      </c>
      <c r="J593" s="922"/>
      <c r="K593" s="922"/>
      <c r="L593" s="922"/>
      <c r="M593" s="922"/>
      <c r="N593" s="922"/>
      <c r="O593" s="922"/>
      <c r="P593" s="923"/>
      <c r="Q593" s="296">
        <f>Formular!BQ49</f>
        <v>0</v>
      </c>
      <c r="R593" s="350">
        <f>R588</f>
        <v>0</v>
      </c>
      <c r="S593" s="917">
        <f>I593*Q593/1000*R593</f>
        <v>0</v>
      </c>
      <c r="T593" s="918"/>
      <c r="U593" s="431"/>
      <c r="V593" s="5">
        <f t="shared" si="80"/>
        <v>0</v>
      </c>
      <c r="W593" s="5"/>
      <c r="X593" s="5"/>
      <c r="Y593" s="5"/>
      <c r="Z593" s="5"/>
      <c r="AA593" s="5"/>
      <c r="AB593" s="4"/>
      <c r="AC593" s="4"/>
      <c r="AD593" s="4"/>
      <c r="AE593" s="4"/>
      <c r="AF593" s="5"/>
      <c r="AG593" s="4"/>
      <c r="AH593" s="4"/>
      <c r="AI593" s="4"/>
      <c r="AJ593" s="4"/>
      <c r="AK593" s="4"/>
      <c r="AL593" s="4"/>
      <c r="AM593" s="4"/>
      <c r="AN593" s="4"/>
      <c r="AO593" s="4"/>
      <c r="AP593" s="144"/>
      <c r="AQ593" s="144"/>
      <c r="AR593" s="144"/>
      <c r="AS593" s="144"/>
      <c r="AT593" s="4"/>
    </row>
    <row r="594" spans="1:46" s="77" customFormat="1" ht="15" customHeight="1">
      <c r="A594" s="926" t="str">
        <f>Formular!BN50</f>
        <v xml:space="preserve"> </v>
      </c>
      <c r="B594" s="922"/>
      <c r="C594" s="922"/>
      <c r="D594" s="922"/>
      <c r="E594" s="922"/>
      <c r="F594" s="922"/>
      <c r="G594" s="922"/>
      <c r="H594" s="922"/>
      <c r="I594" s="922">
        <f>CEILING(Formular!BO50,10)</f>
        <v>0</v>
      </c>
      <c r="J594" s="922"/>
      <c r="K594" s="922"/>
      <c r="L594" s="922"/>
      <c r="M594" s="922"/>
      <c r="N594" s="922"/>
      <c r="O594" s="922"/>
      <c r="P594" s="923"/>
      <c r="Q594" s="296">
        <f>Formular!BQ50</f>
        <v>0</v>
      </c>
      <c r="R594" s="350">
        <f>R589</f>
        <v>0</v>
      </c>
      <c r="S594" s="917">
        <f t="shared" ref="S594:S608" si="90">I594*Q594/1000*R594</f>
        <v>0</v>
      </c>
      <c r="T594" s="918"/>
      <c r="U594" s="431"/>
      <c r="V594" s="5">
        <f t="shared" si="80"/>
        <v>0</v>
      </c>
      <c r="W594" s="5"/>
      <c r="X594" s="5"/>
      <c r="Y594" s="5"/>
      <c r="Z594" s="5"/>
      <c r="AA594" s="5"/>
      <c r="AB594" s="4"/>
      <c r="AC594" s="4"/>
      <c r="AD594" s="4"/>
      <c r="AE594" s="4"/>
      <c r="AF594" s="5"/>
      <c r="AG594" s="4"/>
      <c r="AH594" s="4"/>
      <c r="AI594" s="4"/>
      <c r="AJ594" s="4"/>
      <c r="AK594" s="4"/>
      <c r="AL594" s="4"/>
      <c r="AM594" s="4"/>
      <c r="AN594" s="4"/>
      <c r="AO594" s="4"/>
      <c r="AP594" s="144"/>
      <c r="AQ594" s="144"/>
      <c r="AR594" s="144"/>
      <c r="AS594" s="144"/>
      <c r="AT594" s="4"/>
    </row>
    <row r="595" spans="1:46" s="77" customFormat="1" ht="15" customHeight="1">
      <c r="A595" s="926" t="str">
        <f>Formular!BN51</f>
        <v xml:space="preserve"> </v>
      </c>
      <c r="B595" s="922"/>
      <c r="C595" s="922"/>
      <c r="D595" s="922"/>
      <c r="E595" s="922"/>
      <c r="F595" s="922"/>
      <c r="G595" s="922"/>
      <c r="H595" s="922"/>
      <c r="I595" s="922">
        <f>CEILING(Formular!BO51,10)</f>
        <v>0</v>
      </c>
      <c r="J595" s="922"/>
      <c r="K595" s="922"/>
      <c r="L595" s="922"/>
      <c r="M595" s="922"/>
      <c r="N595" s="922"/>
      <c r="O595" s="922"/>
      <c r="P595" s="923"/>
      <c r="Q595" s="296">
        <f>Formular!BQ51</f>
        <v>0</v>
      </c>
      <c r="R595" s="350">
        <f>R590</f>
        <v>0</v>
      </c>
      <c r="S595" s="917">
        <f t="shared" si="90"/>
        <v>0</v>
      </c>
      <c r="T595" s="918"/>
      <c r="U595" s="431"/>
      <c r="V595" s="5">
        <f t="shared" si="80"/>
        <v>0</v>
      </c>
      <c r="W595" s="5"/>
      <c r="X595" s="5"/>
      <c r="Y595" s="5"/>
      <c r="Z595" s="5"/>
      <c r="AA595" s="5"/>
      <c r="AB595" s="4"/>
      <c r="AC595" s="4"/>
      <c r="AD595" s="4"/>
      <c r="AE595" s="4"/>
      <c r="AF595" s="5"/>
      <c r="AG595" s="4"/>
      <c r="AH595" s="4"/>
      <c r="AI595" s="4"/>
      <c r="AJ595" s="4"/>
      <c r="AK595" s="4"/>
      <c r="AL595" s="4"/>
      <c r="AM595" s="4"/>
      <c r="AN595" s="4"/>
      <c r="AO595" s="4"/>
      <c r="AP595" s="144"/>
      <c r="AQ595" s="144"/>
      <c r="AR595" s="144"/>
      <c r="AS595" s="144"/>
      <c r="AT595" s="4"/>
    </row>
    <row r="596" spans="1:46" s="77" customFormat="1" ht="15" customHeight="1">
      <c r="A596" s="926" t="str">
        <f>Formular!BN52</f>
        <v xml:space="preserve"> </v>
      </c>
      <c r="B596" s="922"/>
      <c r="C596" s="922"/>
      <c r="D596" s="922"/>
      <c r="E596" s="922"/>
      <c r="F596" s="922"/>
      <c r="G596" s="922"/>
      <c r="H596" s="922"/>
      <c r="I596" s="922">
        <f>CEILING(Formular!BO52,10)</f>
        <v>0</v>
      </c>
      <c r="J596" s="922"/>
      <c r="K596" s="922"/>
      <c r="L596" s="922"/>
      <c r="M596" s="922"/>
      <c r="N596" s="922"/>
      <c r="O596" s="922"/>
      <c r="P596" s="923"/>
      <c r="Q596" s="296">
        <f>Formular!BQ52</f>
        <v>0</v>
      </c>
      <c r="R596" s="350">
        <f>R591</f>
        <v>0</v>
      </c>
      <c r="S596" s="917">
        <f t="shared" si="90"/>
        <v>0</v>
      </c>
      <c r="T596" s="918"/>
      <c r="U596" s="431"/>
      <c r="V596" s="5">
        <f t="shared" si="80"/>
        <v>0</v>
      </c>
      <c r="W596" s="5"/>
      <c r="X596" s="5"/>
      <c r="Y596" s="5"/>
      <c r="Z596" s="5"/>
      <c r="AA596" s="5"/>
      <c r="AB596" s="4"/>
      <c r="AC596" s="4"/>
      <c r="AD596" s="4"/>
      <c r="AE596" s="4"/>
      <c r="AF596" s="5"/>
      <c r="AG596" s="4"/>
      <c r="AH596" s="4"/>
      <c r="AI596" s="4"/>
      <c r="AJ596" s="4"/>
      <c r="AK596" s="4"/>
      <c r="AL596" s="4"/>
      <c r="AM596" s="4"/>
      <c r="AN596" s="4"/>
      <c r="AO596" s="4"/>
      <c r="AP596" s="144"/>
      <c r="AQ596" s="144"/>
      <c r="AR596" s="144"/>
      <c r="AS596" s="144"/>
      <c r="AT596" s="4"/>
    </row>
    <row r="597" spans="1:46" s="77" customFormat="1" ht="15" customHeight="1">
      <c r="A597" s="926" t="str">
        <f>Formular!BN53</f>
        <v xml:space="preserve"> </v>
      </c>
      <c r="B597" s="922"/>
      <c r="C597" s="922"/>
      <c r="D597" s="922"/>
      <c r="E597" s="922"/>
      <c r="F597" s="922"/>
      <c r="G597" s="922"/>
      <c r="H597" s="922"/>
      <c r="I597" s="922">
        <f>CEILING(Formular!BO53,10)</f>
        <v>0</v>
      </c>
      <c r="J597" s="922"/>
      <c r="K597" s="922"/>
      <c r="L597" s="922"/>
      <c r="M597" s="922"/>
      <c r="N597" s="922"/>
      <c r="O597" s="922"/>
      <c r="P597" s="923"/>
      <c r="Q597" s="296">
        <f>Formular!BQ53</f>
        <v>0</v>
      </c>
      <c r="R597" s="350">
        <f t="shared" ref="R597:R608" si="91">R593</f>
        <v>0</v>
      </c>
      <c r="S597" s="917">
        <f t="shared" si="90"/>
        <v>0</v>
      </c>
      <c r="T597" s="918"/>
      <c r="U597" s="431"/>
      <c r="V597" s="5">
        <f t="shared" si="80"/>
        <v>0</v>
      </c>
      <c r="W597" s="5"/>
      <c r="X597" s="5"/>
      <c r="Y597" s="5"/>
      <c r="Z597" s="5"/>
      <c r="AA597" s="5"/>
      <c r="AB597" s="4"/>
      <c r="AC597" s="4"/>
      <c r="AD597" s="4"/>
      <c r="AE597" s="4"/>
      <c r="AF597" s="5"/>
      <c r="AG597" s="4"/>
      <c r="AH597" s="4"/>
      <c r="AI597" s="4"/>
      <c r="AJ597" s="4"/>
      <c r="AK597" s="4"/>
      <c r="AL597" s="4"/>
      <c r="AM597" s="4"/>
      <c r="AN597" s="4"/>
      <c r="AO597" s="4"/>
      <c r="AP597" s="144"/>
      <c r="AQ597" s="144"/>
      <c r="AR597" s="144"/>
      <c r="AS597" s="144"/>
      <c r="AT597" s="4"/>
    </row>
    <row r="598" spans="1:46" s="77" customFormat="1" ht="15" customHeight="1">
      <c r="A598" s="926" t="str">
        <f>Formular!BN54</f>
        <v xml:space="preserve"> </v>
      </c>
      <c r="B598" s="922"/>
      <c r="C598" s="922"/>
      <c r="D598" s="922"/>
      <c r="E598" s="922"/>
      <c r="F598" s="922"/>
      <c r="G598" s="922"/>
      <c r="H598" s="922"/>
      <c r="I598" s="922">
        <f>CEILING(Formular!BO54,10)</f>
        <v>0</v>
      </c>
      <c r="J598" s="922"/>
      <c r="K598" s="922"/>
      <c r="L598" s="922"/>
      <c r="M598" s="922"/>
      <c r="N598" s="922"/>
      <c r="O598" s="922"/>
      <c r="P598" s="923"/>
      <c r="Q598" s="296">
        <f>Formular!BQ54</f>
        <v>0</v>
      </c>
      <c r="R598" s="350">
        <f t="shared" si="91"/>
        <v>0</v>
      </c>
      <c r="S598" s="917">
        <f t="shared" si="90"/>
        <v>0</v>
      </c>
      <c r="T598" s="918"/>
      <c r="U598" s="431"/>
      <c r="V598" s="5">
        <f t="shared" si="80"/>
        <v>0</v>
      </c>
      <c r="W598" s="5"/>
      <c r="X598" s="5"/>
      <c r="Y598" s="5"/>
      <c r="Z598" s="5"/>
      <c r="AA598" s="5"/>
      <c r="AB598" s="4"/>
      <c r="AC598" s="4"/>
      <c r="AD598" s="4"/>
      <c r="AE598" s="4"/>
      <c r="AF598" s="5"/>
      <c r="AG598" s="4"/>
      <c r="AH598" s="4"/>
      <c r="AI598" s="4"/>
      <c r="AJ598" s="4"/>
      <c r="AK598" s="4"/>
      <c r="AL598" s="4"/>
      <c r="AM598" s="4"/>
      <c r="AN598" s="4"/>
      <c r="AO598" s="4"/>
      <c r="AP598" s="144"/>
      <c r="AQ598" s="144"/>
      <c r="AR598" s="144"/>
      <c r="AS598" s="144"/>
      <c r="AT598" s="4"/>
    </row>
    <row r="599" spans="1:46" s="77" customFormat="1" ht="15" customHeight="1">
      <c r="A599" s="926" t="str">
        <f>Formular!BN55</f>
        <v xml:space="preserve"> </v>
      </c>
      <c r="B599" s="922"/>
      <c r="C599" s="922"/>
      <c r="D599" s="922"/>
      <c r="E599" s="922"/>
      <c r="F599" s="922"/>
      <c r="G599" s="922"/>
      <c r="H599" s="922"/>
      <c r="I599" s="922">
        <f>CEILING(Formular!BO55,10)</f>
        <v>0</v>
      </c>
      <c r="J599" s="922"/>
      <c r="K599" s="922"/>
      <c r="L599" s="922"/>
      <c r="M599" s="922"/>
      <c r="N599" s="922"/>
      <c r="O599" s="922"/>
      <c r="P599" s="923"/>
      <c r="Q599" s="296">
        <f>Formular!BQ55</f>
        <v>0</v>
      </c>
      <c r="R599" s="350">
        <f t="shared" si="91"/>
        <v>0</v>
      </c>
      <c r="S599" s="917">
        <f t="shared" si="90"/>
        <v>0</v>
      </c>
      <c r="T599" s="918"/>
      <c r="U599" s="431"/>
      <c r="V599" s="5">
        <f t="shared" si="80"/>
        <v>0</v>
      </c>
      <c r="W599" s="5"/>
      <c r="X599" s="5"/>
      <c r="Y599" s="5"/>
      <c r="Z599" s="5"/>
      <c r="AA599" s="5"/>
      <c r="AB599" s="4"/>
      <c r="AC599" s="4"/>
      <c r="AD599" s="4"/>
      <c r="AE599" s="4"/>
      <c r="AF599" s="5"/>
      <c r="AG599" s="4"/>
      <c r="AH599" s="4"/>
      <c r="AI599" s="4"/>
      <c r="AJ599" s="4"/>
      <c r="AK599" s="4"/>
      <c r="AL599" s="4"/>
      <c r="AM599" s="4"/>
      <c r="AN599" s="4"/>
      <c r="AO599" s="4"/>
      <c r="AP599" s="144"/>
      <c r="AQ599" s="144"/>
      <c r="AR599" s="144"/>
      <c r="AS599" s="144"/>
      <c r="AT599" s="4"/>
    </row>
    <row r="600" spans="1:46" s="77" customFormat="1" ht="15" customHeight="1">
      <c r="A600" s="926" t="str">
        <f>Formular!BN56</f>
        <v xml:space="preserve"> </v>
      </c>
      <c r="B600" s="922"/>
      <c r="C600" s="922"/>
      <c r="D600" s="922"/>
      <c r="E600" s="922"/>
      <c r="F600" s="922"/>
      <c r="G600" s="922"/>
      <c r="H600" s="922"/>
      <c r="I600" s="922">
        <f>CEILING(Formular!BO56,10)</f>
        <v>0</v>
      </c>
      <c r="J600" s="922"/>
      <c r="K600" s="922"/>
      <c r="L600" s="922"/>
      <c r="M600" s="922"/>
      <c r="N600" s="922"/>
      <c r="O600" s="922"/>
      <c r="P600" s="923"/>
      <c r="Q600" s="296">
        <f>Formular!BQ56</f>
        <v>0</v>
      </c>
      <c r="R600" s="350">
        <f t="shared" si="91"/>
        <v>0</v>
      </c>
      <c r="S600" s="917">
        <f t="shared" si="90"/>
        <v>0</v>
      </c>
      <c r="T600" s="918"/>
      <c r="U600" s="431"/>
      <c r="V600" s="5">
        <f t="shared" si="80"/>
        <v>0</v>
      </c>
      <c r="W600" s="5"/>
      <c r="X600" s="5"/>
      <c r="Y600" s="5"/>
      <c r="Z600" s="5"/>
      <c r="AA600" s="5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  <c r="AM600" s="4"/>
      <c r="AN600" s="4"/>
      <c r="AO600" s="4"/>
      <c r="AP600" s="144"/>
      <c r="AQ600" s="144"/>
      <c r="AR600" s="144"/>
      <c r="AS600" s="144"/>
      <c r="AT600" s="4"/>
    </row>
    <row r="601" spans="1:46" s="77" customFormat="1" ht="15" customHeight="1">
      <c r="A601" s="926" t="str">
        <f>Formular!BN57</f>
        <v xml:space="preserve"> </v>
      </c>
      <c r="B601" s="922"/>
      <c r="C601" s="922"/>
      <c r="D601" s="922"/>
      <c r="E601" s="922"/>
      <c r="F601" s="922"/>
      <c r="G601" s="922"/>
      <c r="H601" s="922"/>
      <c r="I601" s="922">
        <f>CEILING(Formular!BO57,10)</f>
        <v>0</v>
      </c>
      <c r="J601" s="922"/>
      <c r="K601" s="922"/>
      <c r="L601" s="922"/>
      <c r="M601" s="922"/>
      <c r="N601" s="922"/>
      <c r="O601" s="922"/>
      <c r="P601" s="923"/>
      <c r="Q601" s="296">
        <f>Formular!BQ57</f>
        <v>0</v>
      </c>
      <c r="R601" s="350">
        <f t="shared" si="91"/>
        <v>0</v>
      </c>
      <c r="S601" s="917">
        <f t="shared" si="90"/>
        <v>0</v>
      </c>
      <c r="T601" s="918"/>
      <c r="U601" s="431"/>
      <c r="V601" s="5">
        <f t="shared" si="80"/>
        <v>0</v>
      </c>
      <c r="W601" s="5"/>
      <c r="X601" s="5"/>
      <c r="Y601" s="5"/>
      <c r="Z601" s="5"/>
      <c r="AA601" s="5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  <c r="AM601" s="4"/>
      <c r="AN601" s="4"/>
      <c r="AO601" s="4"/>
      <c r="AP601" s="144"/>
      <c r="AQ601" s="144"/>
      <c r="AR601" s="144"/>
      <c r="AS601" s="144"/>
      <c r="AT601" s="4"/>
    </row>
    <row r="602" spans="1:46" s="77" customFormat="1" ht="15" customHeight="1">
      <c r="A602" s="926" t="str">
        <f>Formular!BN58</f>
        <v xml:space="preserve"> </v>
      </c>
      <c r="B602" s="922"/>
      <c r="C602" s="922"/>
      <c r="D602" s="922"/>
      <c r="E602" s="922"/>
      <c r="F602" s="922"/>
      <c r="G602" s="922"/>
      <c r="H602" s="922"/>
      <c r="I602" s="922">
        <f>CEILING(Formular!BO58,10)</f>
        <v>0</v>
      </c>
      <c r="J602" s="922"/>
      <c r="K602" s="922"/>
      <c r="L602" s="922"/>
      <c r="M602" s="922"/>
      <c r="N602" s="922"/>
      <c r="O602" s="922"/>
      <c r="P602" s="923"/>
      <c r="Q602" s="296">
        <f>Formular!BQ58</f>
        <v>0</v>
      </c>
      <c r="R602" s="350">
        <f t="shared" si="91"/>
        <v>0</v>
      </c>
      <c r="S602" s="917">
        <f t="shared" si="90"/>
        <v>0</v>
      </c>
      <c r="T602" s="918"/>
      <c r="U602" s="431"/>
      <c r="V602" s="5">
        <f t="shared" si="80"/>
        <v>0</v>
      </c>
      <c r="W602" s="5"/>
      <c r="X602" s="5"/>
      <c r="Y602" s="5"/>
      <c r="Z602" s="5"/>
      <c r="AA602" s="5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  <c r="AM602" s="4"/>
      <c r="AN602" s="4"/>
      <c r="AO602" s="4"/>
      <c r="AP602" s="144"/>
      <c r="AQ602" s="144"/>
      <c r="AR602" s="144"/>
      <c r="AS602" s="144"/>
      <c r="AT602" s="4"/>
    </row>
    <row r="603" spans="1:46" s="77" customFormat="1" ht="15" customHeight="1">
      <c r="A603" s="926" t="str">
        <f>Formular!BN59</f>
        <v xml:space="preserve"> </v>
      </c>
      <c r="B603" s="922"/>
      <c r="C603" s="922"/>
      <c r="D603" s="922"/>
      <c r="E603" s="922"/>
      <c r="F603" s="922"/>
      <c r="G603" s="922"/>
      <c r="H603" s="922"/>
      <c r="I603" s="922">
        <f>CEILING(Formular!BO59,10)</f>
        <v>0</v>
      </c>
      <c r="J603" s="922"/>
      <c r="K603" s="922"/>
      <c r="L603" s="922"/>
      <c r="M603" s="922"/>
      <c r="N603" s="922"/>
      <c r="O603" s="922"/>
      <c r="P603" s="923"/>
      <c r="Q603" s="296">
        <f>Formular!BQ59</f>
        <v>0</v>
      </c>
      <c r="R603" s="350">
        <f t="shared" si="91"/>
        <v>0</v>
      </c>
      <c r="S603" s="917">
        <f t="shared" si="90"/>
        <v>0</v>
      </c>
      <c r="T603" s="918"/>
      <c r="U603" s="431"/>
      <c r="V603" s="5">
        <f t="shared" si="80"/>
        <v>0</v>
      </c>
      <c r="W603" s="5"/>
      <c r="X603" s="5"/>
      <c r="Y603" s="5"/>
      <c r="Z603" s="5"/>
      <c r="AA603" s="5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  <c r="AM603" s="4"/>
      <c r="AN603" s="4"/>
      <c r="AO603" s="4"/>
      <c r="AP603" s="144"/>
      <c r="AQ603" s="144"/>
      <c r="AR603" s="144"/>
      <c r="AS603" s="144"/>
      <c r="AT603" s="4"/>
    </row>
    <row r="604" spans="1:46" s="77" customFormat="1" ht="15" customHeight="1">
      <c r="A604" s="926" t="str">
        <f>Formular!BN60</f>
        <v xml:space="preserve"> </v>
      </c>
      <c r="B604" s="922"/>
      <c r="C604" s="922"/>
      <c r="D604" s="922"/>
      <c r="E604" s="922"/>
      <c r="F604" s="922"/>
      <c r="G604" s="922"/>
      <c r="H604" s="922"/>
      <c r="I604" s="922">
        <f>CEILING(Formular!BO60,10)</f>
        <v>0</v>
      </c>
      <c r="J604" s="922"/>
      <c r="K604" s="922"/>
      <c r="L604" s="922"/>
      <c r="M604" s="922"/>
      <c r="N604" s="922"/>
      <c r="O604" s="922"/>
      <c r="P604" s="923"/>
      <c r="Q604" s="296">
        <f>Formular!BQ60</f>
        <v>0</v>
      </c>
      <c r="R604" s="350">
        <f t="shared" si="91"/>
        <v>0</v>
      </c>
      <c r="S604" s="917">
        <f t="shared" si="90"/>
        <v>0</v>
      </c>
      <c r="T604" s="918"/>
      <c r="U604" s="431"/>
      <c r="V604" s="5">
        <f t="shared" si="80"/>
        <v>0</v>
      </c>
      <c r="W604" s="5"/>
      <c r="X604" s="5"/>
      <c r="Y604" s="5"/>
      <c r="Z604" s="5"/>
      <c r="AA604" s="5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  <c r="AM604" s="4"/>
      <c r="AN604" s="4"/>
      <c r="AO604" s="4"/>
      <c r="AP604" s="144"/>
      <c r="AQ604" s="144"/>
      <c r="AR604" s="144"/>
      <c r="AS604" s="144"/>
      <c r="AT604" s="4"/>
    </row>
    <row r="605" spans="1:46" s="77" customFormat="1" ht="15" customHeight="1">
      <c r="A605" s="926" t="str">
        <f>Formular!BN61</f>
        <v xml:space="preserve"> </v>
      </c>
      <c r="B605" s="922"/>
      <c r="C605" s="922"/>
      <c r="D605" s="922"/>
      <c r="E605" s="922"/>
      <c r="F605" s="922"/>
      <c r="G605" s="922"/>
      <c r="H605" s="922"/>
      <c r="I605" s="922">
        <f>CEILING(Formular!BO61,10)</f>
        <v>0</v>
      </c>
      <c r="J605" s="922"/>
      <c r="K605" s="922"/>
      <c r="L605" s="922"/>
      <c r="M605" s="922"/>
      <c r="N605" s="922"/>
      <c r="O605" s="922"/>
      <c r="P605" s="923"/>
      <c r="Q605" s="296">
        <f>Formular!BQ61</f>
        <v>0</v>
      </c>
      <c r="R605" s="350">
        <f t="shared" si="91"/>
        <v>0</v>
      </c>
      <c r="S605" s="917">
        <f t="shared" si="90"/>
        <v>0</v>
      </c>
      <c r="T605" s="918"/>
      <c r="U605" s="431"/>
      <c r="V605" s="5">
        <f t="shared" si="80"/>
        <v>0</v>
      </c>
      <c r="W605" s="5"/>
      <c r="X605" s="5"/>
      <c r="Y605" s="5"/>
      <c r="Z605" s="5"/>
      <c r="AA605" s="5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  <c r="AM605" s="4"/>
      <c r="AN605" s="4"/>
      <c r="AO605" s="4"/>
      <c r="AP605" s="144"/>
      <c r="AQ605" s="144"/>
      <c r="AR605" s="144"/>
      <c r="AS605" s="144"/>
      <c r="AT605" s="4"/>
    </row>
    <row r="606" spans="1:46" s="77" customFormat="1" ht="15" customHeight="1">
      <c r="A606" s="926" t="str">
        <f>Formular!BN62</f>
        <v xml:space="preserve"> </v>
      </c>
      <c r="B606" s="922"/>
      <c r="C606" s="922"/>
      <c r="D606" s="922"/>
      <c r="E606" s="922"/>
      <c r="F606" s="922"/>
      <c r="G606" s="922"/>
      <c r="H606" s="922"/>
      <c r="I606" s="922">
        <f>CEILING(Formular!BO62,10)</f>
        <v>0</v>
      </c>
      <c r="J606" s="922"/>
      <c r="K606" s="922"/>
      <c r="L606" s="922"/>
      <c r="M606" s="922"/>
      <c r="N606" s="922"/>
      <c r="O606" s="922"/>
      <c r="P606" s="923"/>
      <c r="Q606" s="296">
        <f>Formular!BQ62</f>
        <v>0</v>
      </c>
      <c r="R606" s="350">
        <f t="shared" si="91"/>
        <v>0</v>
      </c>
      <c r="S606" s="917">
        <f t="shared" si="90"/>
        <v>0</v>
      </c>
      <c r="T606" s="918"/>
      <c r="U606" s="431"/>
      <c r="V606" s="5">
        <f t="shared" si="80"/>
        <v>0</v>
      </c>
      <c r="W606" s="5"/>
      <c r="X606" s="5"/>
      <c r="Y606" s="5"/>
      <c r="Z606" s="5"/>
      <c r="AA606" s="5"/>
      <c r="AB606" s="114"/>
      <c r="AC606" s="4"/>
      <c r="AD606" s="4"/>
      <c r="AE606" s="4"/>
      <c r="AF606" s="4"/>
      <c r="AG606" s="4"/>
      <c r="AH606" s="4"/>
      <c r="AI606" s="4"/>
      <c r="AJ606" s="4"/>
      <c r="AK606" s="4"/>
      <c r="AL606" s="4"/>
      <c r="AM606" s="4"/>
      <c r="AN606" s="4"/>
      <c r="AO606" s="4"/>
      <c r="AP606" s="144"/>
      <c r="AQ606" s="144"/>
      <c r="AR606" s="144"/>
      <c r="AS606" s="144"/>
      <c r="AT606" s="4"/>
    </row>
    <row r="607" spans="1:46" s="77" customFormat="1" ht="15" customHeight="1">
      <c r="A607" s="926" t="str">
        <f>Formular!BN63</f>
        <v xml:space="preserve"> </v>
      </c>
      <c r="B607" s="922"/>
      <c r="C607" s="922"/>
      <c r="D607" s="922"/>
      <c r="E607" s="922"/>
      <c r="F607" s="922"/>
      <c r="G607" s="922"/>
      <c r="H607" s="922"/>
      <c r="I607" s="922">
        <f>CEILING(Formular!BO63,10)</f>
        <v>0</v>
      </c>
      <c r="J607" s="922"/>
      <c r="K607" s="922"/>
      <c r="L607" s="922"/>
      <c r="M607" s="922"/>
      <c r="N607" s="922"/>
      <c r="O607" s="922"/>
      <c r="P607" s="923"/>
      <c r="Q607" s="296">
        <f>Formular!BQ63</f>
        <v>0</v>
      </c>
      <c r="R607" s="350">
        <f t="shared" si="91"/>
        <v>0</v>
      </c>
      <c r="S607" s="917">
        <f t="shared" si="90"/>
        <v>0</v>
      </c>
      <c r="T607" s="918"/>
      <c r="U607" s="431"/>
      <c r="V607" s="5">
        <f t="shared" si="80"/>
        <v>0</v>
      </c>
      <c r="W607" s="5"/>
      <c r="X607" s="5"/>
      <c r="Y607" s="5"/>
      <c r="Z607" s="5"/>
      <c r="AA607" s="5"/>
      <c r="AB607" s="114"/>
      <c r="AC607" s="4"/>
      <c r="AD607" s="4"/>
      <c r="AE607" s="4"/>
      <c r="AF607" s="4"/>
      <c r="AG607" s="4"/>
      <c r="AH607" s="4"/>
      <c r="AI607" s="4"/>
      <c r="AJ607" s="4"/>
      <c r="AK607" s="4"/>
      <c r="AL607" s="4"/>
      <c r="AM607" s="4"/>
      <c r="AN607" s="4"/>
      <c r="AO607" s="4"/>
      <c r="AP607" s="144"/>
      <c r="AQ607" s="144"/>
      <c r="AR607" s="144"/>
      <c r="AS607" s="144"/>
      <c r="AT607" s="4"/>
    </row>
    <row r="608" spans="1:46" s="77" customFormat="1" ht="15" customHeight="1">
      <c r="A608" s="926" t="str">
        <f>Formular!BN64</f>
        <v xml:space="preserve"> </v>
      </c>
      <c r="B608" s="922"/>
      <c r="C608" s="922"/>
      <c r="D608" s="922"/>
      <c r="E608" s="922"/>
      <c r="F608" s="922"/>
      <c r="G608" s="922"/>
      <c r="H608" s="922"/>
      <c r="I608" s="922">
        <f>CEILING(Formular!BO64,10)</f>
        <v>0</v>
      </c>
      <c r="J608" s="922"/>
      <c r="K608" s="922"/>
      <c r="L608" s="922"/>
      <c r="M608" s="922"/>
      <c r="N608" s="922"/>
      <c r="O608" s="922"/>
      <c r="P608" s="923"/>
      <c r="Q608" s="296">
        <f>Formular!BQ64</f>
        <v>0</v>
      </c>
      <c r="R608" s="350">
        <f t="shared" si="91"/>
        <v>0</v>
      </c>
      <c r="S608" s="917">
        <f t="shared" si="90"/>
        <v>0</v>
      </c>
      <c r="T608" s="918"/>
      <c r="U608" s="435"/>
      <c r="V608" s="5">
        <f t="shared" si="80"/>
        <v>0</v>
      </c>
      <c r="W608" s="5"/>
      <c r="X608" s="5"/>
      <c r="Y608" s="5"/>
      <c r="Z608" s="5"/>
      <c r="AA608" s="5"/>
      <c r="AB608" s="114"/>
      <c r="AC608" s="4"/>
      <c r="AD608" s="4"/>
      <c r="AE608" s="4"/>
      <c r="AF608" s="4"/>
      <c r="AG608" s="4"/>
      <c r="AH608" s="4"/>
      <c r="AI608" s="4"/>
      <c r="AJ608" s="4"/>
      <c r="AK608" s="4"/>
      <c r="AL608" s="4"/>
      <c r="AM608" s="4"/>
      <c r="AN608" s="4"/>
      <c r="AO608" s="4"/>
      <c r="AP608" s="144"/>
      <c r="AQ608" s="144"/>
      <c r="AR608" s="144"/>
      <c r="AS608" s="144"/>
      <c r="AT608" s="4"/>
    </row>
    <row r="609" spans="1:54" ht="15" customHeight="1">
      <c r="A609" s="919" t="str">
        <f>Lang!A415</f>
        <v xml:space="preserve">DISCOUNT </v>
      </c>
      <c r="B609" s="920"/>
      <c r="C609" s="920"/>
      <c r="D609" s="920"/>
      <c r="E609" s="920"/>
      <c r="F609" s="920"/>
      <c r="G609" s="920"/>
      <c r="H609" s="920"/>
      <c r="I609" s="920"/>
      <c r="J609" s="920"/>
      <c r="K609" s="920"/>
      <c r="L609" s="920"/>
      <c r="M609" s="920"/>
      <c r="N609" s="920"/>
      <c r="O609" s="920"/>
      <c r="P609" s="921"/>
      <c r="Q609" s="257">
        <f>IF(AND(AF2&lt;31%,AF2&gt;0%,OR(Formular!A52=2,Formular!A52=3)),1,0)</f>
        <v>0</v>
      </c>
      <c r="R609" s="48">
        <f>AS2</f>
        <v>0</v>
      </c>
      <c r="S609" s="917">
        <f>R609*Q609</f>
        <v>0</v>
      </c>
      <c r="T609" s="918"/>
      <c r="U609" s="353"/>
      <c r="V609" s="5"/>
      <c r="W609" s="5"/>
      <c r="X609" s="5"/>
      <c r="Y609" s="5"/>
      <c r="Z609" s="5"/>
      <c r="AA609" s="5"/>
      <c r="AB609" s="131"/>
      <c r="AC609" s="4"/>
      <c r="AD609" s="4"/>
      <c r="AE609" s="4"/>
      <c r="AF609" s="4"/>
      <c r="AG609" s="4"/>
      <c r="AP609" s="144"/>
      <c r="AQ609" s="144"/>
      <c r="AR609" s="144"/>
      <c r="AS609" s="144"/>
      <c r="AU609"/>
      <c r="AV609"/>
      <c r="AW609"/>
      <c r="AX609"/>
      <c r="AY609"/>
      <c r="AZ609"/>
      <c r="BA609"/>
      <c r="BB609"/>
    </row>
    <row r="610" spans="1:54">
      <c r="A610" s="1005" t="str">
        <f>Lang!A416</f>
        <v>TAXA TRANSPORT</v>
      </c>
      <c r="B610" s="1005"/>
      <c r="C610" s="1005"/>
      <c r="D610" s="1005"/>
      <c r="E610" s="1005"/>
      <c r="F610" s="1005"/>
      <c r="G610" s="1005"/>
      <c r="H610" s="1005"/>
      <c r="I610" s="1005"/>
      <c r="J610" s="1005"/>
      <c r="K610" s="1005"/>
      <c r="L610" s="1005"/>
      <c r="M610" s="1005"/>
      <c r="N610" s="1005"/>
      <c r="O610" s="1005"/>
      <c r="P610" s="1005"/>
      <c r="Q610" s="476">
        <f>IF(AB610=2,0,IF(W610&gt;Z610,0,1))</f>
        <v>1</v>
      </c>
      <c r="R610" s="350">
        <f>IF(W610&lt;X610,Y610,IF(W610&lt;Z610,AA610,0))</f>
        <v>19.398642095053344</v>
      </c>
      <c r="S610" s="917">
        <f>R610*Q610</f>
        <v>19.398642095053344</v>
      </c>
      <c r="T610" s="918"/>
      <c r="U610" s="476"/>
      <c r="V610" s="480"/>
      <c r="W610" s="481">
        <f>(SUM(S26:T608))*T16</f>
        <v>0</v>
      </c>
      <c r="X610" s="480">
        <v>1000</v>
      </c>
      <c r="Y610" s="480">
        <f>100/T16</f>
        <v>19.398642095053344</v>
      </c>
      <c r="Z610" s="480">
        <v>1500</v>
      </c>
      <c r="AA610" s="480">
        <f>80/T16</f>
        <v>15.518913676042676</v>
      </c>
      <c r="AB610" s="131">
        <f>Select!BO1</f>
        <v>3</v>
      </c>
      <c r="AC610" s="4"/>
      <c r="AD610" s="4"/>
      <c r="AE610" s="4"/>
    </row>
    <row r="611" spans="1:54">
      <c r="V611" s="480"/>
      <c r="W611" s="480"/>
      <c r="X611" s="480"/>
      <c r="Y611" s="480"/>
      <c r="Z611" s="480"/>
      <c r="AA611" s="480"/>
      <c r="AB611" s="114">
        <f t="shared" ref="AB611" si="92">AB610/$T$16</f>
        <v>0.58195926285160038</v>
      </c>
      <c r="AC611" s="4"/>
      <c r="AD611" s="4"/>
      <c r="AE611" s="4"/>
    </row>
    <row r="612" spans="1:54">
      <c r="V612" s="5"/>
      <c r="W612" s="5"/>
      <c r="X612" s="5"/>
      <c r="Y612" s="5"/>
      <c r="Z612" s="5"/>
      <c r="AA612" s="5"/>
      <c r="AB612" s="131"/>
      <c r="AC612" s="4"/>
      <c r="AD612" s="4"/>
      <c r="AE612" s="4"/>
    </row>
    <row r="613" spans="1:54">
      <c r="V613" s="5"/>
      <c r="W613" s="5"/>
      <c r="X613" s="5"/>
      <c r="Y613" s="5"/>
      <c r="Z613" s="5"/>
      <c r="AA613" s="5"/>
      <c r="AB613" s="131"/>
    </row>
    <row r="614" spans="1:54">
      <c r="AB614" s="114"/>
    </row>
  </sheetData>
  <sheetProtection algorithmName="SHA-512" hashValue="lQkYBXnhpx5vNnGTYQwvYLl9gUSfAT/H8Af4RjijfbFcSeDAASEkp0Fx8hxSKcTkGP57QU5DHE/H28CLweOdwA==" saltValue="fhvp8l9yiiZ4AkNZ5F3qGw==" spinCount="100000" sheet="1" autoFilter="0"/>
  <protectedRanges>
    <protectedRange sqref="T16" name="Range3"/>
    <protectedRange sqref="D11:M16 D9 G19 T16" name="Range1"/>
    <protectedRange sqref="AG2" name="Range2"/>
    <protectedRange sqref="Q548 Q586 Q581 Q576 Q571 Q566 Q561 Q556 Q551 Q591:Q608 Q553 Q558 Q563 Q568 Q573 Q578 Q583 Q588" name="Range4"/>
    <protectedRange sqref="D17:M18" name="Range1_1"/>
  </protectedRanges>
  <autoFilter ref="Q23:Q611" xr:uid="{00000000-0009-0000-0000-000009000000}"/>
  <mergeCells count="2328">
    <mergeCell ref="S214:T214"/>
    <mergeCell ref="A217:P217"/>
    <mergeCell ref="A163:P163"/>
    <mergeCell ref="E219:H219"/>
    <mergeCell ref="G204:P204"/>
    <mergeCell ref="G214:P214"/>
    <mergeCell ref="A210:P210"/>
    <mergeCell ref="E220:H220"/>
    <mergeCell ref="M221:P221"/>
    <mergeCell ref="M219:P219"/>
    <mergeCell ref="A225:D225"/>
    <mergeCell ref="I220:L220"/>
    <mergeCell ref="A215:P215"/>
    <mergeCell ref="A186:P186"/>
    <mergeCell ref="A187:P187"/>
    <mergeCell ref="A167:P167"/>
    <mergeCell ref="A196:P196"/>
    <mergeCell ref="A164:P164"/>
    <mergeCell ref="A171:P171"/>
    <mergeCell ref="A211:P211"/>
    <mergeCell ref="A212:P212"/>
    <mergeCell ref="A214:F214"/>
    <mergeCell ref="S199:T199"/>
    <mergeCell ref="A180:P180"/>
    <mergeCell ref="S197:T197"/>
    <mergeCell ref="S195:T195"/>
    <mergeCell ref="S187:T187"/>
    <mergeCell ref="S188:T188"/>
    <mergeCell ref="M223:P223"/>
    <mergeCell ref="A221:D221"/>
    <mergeCell ref="E221:H221"/>
    <mergeCell ref="S108:T108"/>
    <mergeCell ref="S193:T193"/>
    <mergeCell ref="A444:I444"/>
    <mergeCell ref="A427:I427"/>
    <mergeCell ref="A428:I428"/>
    <mergeCell ref="A429:I429"/>
    <mergeCell ref="A430:I430"/>
    <mergeCell ref="A431:I431"/>
    <mergeCell ref="A432:I432"/>
    <mergeCell ref="A433:I433"/>
    <mergeCell ref="A434:I434"/>
    <mergeCell ref="A435:I435"/>
    <mergeCell ref="A436:I436"/>
    <mergeCell ref="A437:I437"/>
    <mergeCell ref="A438:I438"/>
    <mergeCell ref="A439:I439"/>
    <mergeCell ref="A440:I440"/>
    <mergeCell ref="A441:I441"/>
    <mergeCell ref="S170:T170"/>
    <mergeCell ref="S166:T166"/>
    <mergeCell ref="S165:T165"/>
    <mergeCell ref="S164:T164"/>
    <mergeCell ref="S163:T163"/>
    <mergeCell ref="S175:T175"/>
    <mergeCell ref="A202:P202"/>
    <mergeCell ref="A231:D231"/>
    <mergeCell ref="E231:H231"/>
    <mergeCell ref="N282:P282"/>
    <mergeCell ref="A190:P190"/>
    <mergeCell ref="A191:P191"/>
    <mergeCell ref="A192:P192"/>
    <mergeCell ref="I234:L234"/>
    <mergeCell ref="A205:F205"/>
    <mergeCell ref="A204:F204"/>
    <mergeCell ref="A193:P193"/>
    <mergeCell ref="A194:P194"/>
    <mergeCell ref="A195:P195"/>
    <mergeCell ref="A207:F207"/>
    <mergeCell ref="I226:L226"/>
    <mergeCell ref="F182:H182"/>
    <mergeCell ref="S190:T190"/>
    <mergeCell ref="S159:T159"/>
    <mergeCell ref="S224:T224"/>
    <mergeCell ref="A213:P213"/>
    <mergeCell ref="S207:T207"/>
    <mergeCell ref="S202:T202"/>
    <mergeCell ref="A219:D219"/>
    <mergeCell ref="K201:P201"/>
    <mergeCell ref="S225:T225"/>
    <mergeCell ref="S226:T226"/>
    <mergeCell ref="S200:T200"/>
    <mergeCell ref="S201:T201"/>
    <mergeCell ref="S213:T213"/>
    <mergeCell ref="S209:T209"/>
    <mergeCell ref="A199:P199"/>
    <mergeCell ref="S198:T198"/>
    <mergeCell ref="S196:T196"/>
    <mergeCell ref="A200:J200"/>
    <mergeCell ref="A201:J201"/>
    <mergeCell ref="K200:P200"/>
    <mergeCell ref="A161:P161"/>
    <mergeCell ref="A209:F209"/>
    <mergeCell ref="S174:T174"/>
    <mergeCell ref="S205:T205"/>
    <mergeCell ref="A229:D229"/>
    <mergeCell ref="A203:P203"/>
    <mergeCell ref="H260:J260"/>
    <mergeCell ref="S194:T194"/>
    <mergeCell ref="I231:L231"/>
    <mergeCell ref="E235:H235"/>
    <mergeCell ref="A176:P176"/>
    <mergeCell ref="S266:T266"/>
    <mergeCell ref="S160:T160"/>
    <mergeCell ref="S153:T153"/>
    <mergeCell ref="S154:T154"/>
    <mergeCell ref="E227:H227"/>
    <mergeCell ref="S176:T176"/>
    <mergeCell ref="S244:T244"/>
    <mergeCell ref="S242:T242"/>
    <mergeCell ref="S262:T262"/>
    <mergeCell ref="E232:H232"/>
    <mergeCell ref="A237:D237"/>
    <mergeCell ref="E237:H237"/>
    <mergeCell ref="K261:M261"/>
    <mergeCell ref="N259:P259"/>
    <mergeCell ref="H262:J262"/>
    <mergeCell ref="N262:P262"/>
    <mergeCell ref="F260:G260"/>
    <mergeCell ref="H264:J264"/>
    <mergeCell ref="A251:P251"/>
    <mergeCell ref="F255:G255"/>
    <mergeCell ref="A223:D223"/>
    <mergeCell ref="E223:H223"/>
    <mergeCell ref="A188:P188"/>
    <mergeCell ref="A216:P216"/>
    <mergeCell ref="I229:L229"/>
    <mergeCell ref="S151:T151"/>
    <mergeCell ref="S152:T152"/>
    <mergeCell ref="S131:T131"/>
    <mergeCell ref="S147:T147"/>
    <mergeCell ref="M229:P229"/>
    <mergeCell ref="S230:T230"/>
    <mergeCell ref="S235:T235"/>
    <mergeCell ref="S219:T219"/>
    <mergeCell ref="S227:T227"/>
    <mergeCell ref="S263:T263"/>
    <mergeCell ref="S178:T178"/>
    <mergeCell ref="A185:P185"/>
    <mergeCell ref="K254:M254"/>
    <mergeCell ref="K260:M260"/>
    <mergeCell ref="I228:L228"/>
    <mergeCell ref="I242:L242"/>
    <mergeCell ref="M242:P242"/>
    <mergeCell ref="S177:T177"/>
    <mergeCell ref="I241:L241"/>
    <mergeCell ref="S218:T218"/>
    <mergeCell ref="S234:T234"/>
    <mergeCell ref="S173:T173"/>
    <mergeCell ref="S172:T172"/>
    <mergeCell ref="S149:T149"/>
    <mergeCell ref="S161:T161"/>
    <mergeCell ref="S192:T192"/>
    <mergeCell ref="I230:L230"/>
    <mergeCell ref="I232:L232"/>
    <mergeCell ref="A235:D235"/>
    <mergeCell ref="M235:P235"/>
    <mergeCell ref="I238:L238"/>
    <mergeCell ref="M231:P231"/>
    <mergeCell ref="A610:P610"/>
    <mergeCell ref="S610:T610"/>
    <mergeCell ref="S391:T391"/>
    <mergeCell ref="S392:T392"/>
    <mergeCell ref="A342:E342"/>
    <mergeCell ref="A343:E343"/>
    <mergeCell ref="S393:T393"/>
    <mergeCell ref="S394:T394"/>
    <mergeCell ref="S395:T395"/>
    <mergeCell ref="S396:T396"/>
    <mergeCell ref="S397:T397"/>
    <mergeCell ref="S573:T573"/>
    <mergeCell ref="S534:T534"/>
    <mergeCell ref="S405:T405"/>
    <mergeCell ref="S452:T452"/>
    <mergeCell ref="S464:T464"/>
    <mergeCell ref="A525:C525"/>
    <mergeCell ref="N417:P417"/>
    <mergeCell ref="A408:J408"/>
    <mergeCell ref="K394:M394"/>
    <mergeCell ref="K395:M395"/>
    <mergeCell ref="K396:M396"/>
    <mergeCell ref="K397:M397"/>
    <mergeCell ref="A512:C512"/>
    <mergeCell ref="S416:T416"/>
    <mergeCell ref="S361:T361"/>
    <mergeCell ref="S556:T556"/>
    <mergeCell ref="S555:T555"/>
    <mergeCell ref="S112:T112"/>
    <mergeCell ref="S117:T117"/>
    <mergeCell ref="S124:T124"/>
    <mergeCell ref="S132:T132"/>
    <mergeCell ref="A513:C513"/>
    <mergeCell ref="A514:C514"/>
    <mergeCell ref="A515:C515"/>
    <mergeCell ref="S267:T267"/>
    <mergeCell ref="S268:T268"/>
    <mergeCell ref="A608:H608"/>
    <mergeCell ref="I608:P608"/>
    <mergeCell ref="S398:T398"/>
    <mergeCell ref="H342:J342"/>
    <mergeCell ref="N393:P393"/>
    <mergeCell ref="N394:P394"/>
    <mergeCell ref="S342:T342"/>
    <mergeCell ref="S203:T203"/>
    <mergeCell ref="S204:T204"/>
    <mergeCell ref="S206:T206"/>
    <mergeCell ref="S221:T221"/>
    <mergeCell ref="S222:T222"/>
    <mergeCell ref="S284:T284"/>
    <mergeCell ref="S282:T282"/>
    <mergeCell ref="S283:T283"/>
    <mergeCell ref="S276:T276"/>
    <mergeCell ref="S580:T580"/>
    <mergeCell ref="S236:T236"/>
    <mergeCell ref="S237:T237"/>
    <mergeCell ref="I237:L237"/>
    <mergeCell ref="M230:P230"/>
    <mergeCell ref="A298:E298"/>
    <mergeCell ref="F298:G298"/>
    <mergeCell ref="S286:T286"/>
    <mergeCell ref="S292:T292"/>
    <mergeCell ref="S254:T254"/>
    <mergeCell ref="S251:T251"/>
    <mergeCell ref="S281:T281"/>
    <mergeCell ref="K283:M283"/>
    <mergeCell ref="S228:T228"/>
    <mergeCell ref="S229:T229"/>
    <mergeCell ref="S243:T243"/>
    <mergeCell ref="S250:T250"/>
    <mergeCell ref="S271:T271"/>
    <mergeCell ref="S272:T272"/>
    <mergeCell ref="S273:T273"/>
    <mergeCell ref="S277:T277"/>
    <mergeCell ref="S258:T258"/>
    <mergeCell ref="S259:T259"/>
    <mergeCell ref="S260:T260"/>
    <mergeCell ref="S256:T256"/>
    <mergeCell ref="S257:T257"/>
    <mergeCell ref="S274:T274"/>
    <mergeCell ref="S232:T232"/>
    <mergeCell ref="S233:T233"/>
    <mergeCell ref="S241:T241"/>
    <mergeCell ref="S279:T279"/>
    <mergeCell ref="S249:T249"/>
    <mergeCell ref="S238:T238"/>
    <mergeCell ref="M232:P232"/>
    <mergeCell ref="N284:P284"/>
    <mergeCell ref="S247:T247"/>
    <mergeCell ref="S246:T246"/>
    <mergeCell ref="S245:T245"/>
    <mergeCell ref="S231:T231"/>
    <mergeCell ref="N338:P338"/>
    <mergeCell ref="N384:P384"/>
    <mergeCell ref="H340:J340"/>
    <mergeCell ref="S516:T516"/>
    <mergeCell ref="S347:T347"/>
    <mergeCell ref="S429:T429"/>
    <mergeCell ref="S430:T430"/>
    <mergeCell ref="S428:T428"/>
    <mergeCell ref="S427:T427"/>
    <mergeCell ref="S415:T415"/>
    <mergeCell ref="S431:T431"/>
    <mergeCell ref="S560:T560"/>
    <mergeCell ref="S559:T559"/>
    <mergeCell ref="S558:T558"/>
    <mergeCell ref="S557:T557"/>
    <mergeCell ref="S413:T413"/>
    <mergeCell ref="S411:T411"/>
    <mergeCell ref="S410:T410"/>
    <mergeCell ref="S551:T551"/>
    <mergeCell ref="S550:T550"/>
    <mergeCell ref="S549:T549"/>
    <mergeCell ref="S548:T548"/>
    <mergeCell ref="S547:T547"/>
    <mergeCell ref="S473:T473"/>
    <mergeCell ref="S608:T608"/>
    <mergeCell ref="A522:C522"/>
    <mergeCell ref="A523:C523"/>
    <mergeCell ref="A524:C524"/>
    <mergeCell ref="A505:D505"/>
    <mergeCell ref="A506:D506"/>
    <mergeCell ref="A507:C507"/>
    <mergeCell ref="A508:C508"/>
    <mergeCell ref="A509:C509"/>
    <mergeCell ref="A510:C510"/>
    <mergeCell ref="I243:L243"/>
    <mergeCell ref="N391:P391"/>
    <mergeCell ref="N392:P392"/>
    <mergeCell ref="N395:P395"/>
    <mergeCell ref="N396:P396"/>
    <mergeCell ref="A519:C519"/>
    <mergeCell ref="F312:G312"/>
    <mergeCell ref="F340:G340"/>
    <mergeCell ref="A341:E341"/>
    <mergeCell ref="D531:G531"/>
    <mergeCell ref="I523:K523"/>
    <mergeCell ref="L523:P523"/>
    <mergeCell ref="D533:G533"/>
    <mergeCell ref="A313:E313"/>
    <mergeCell ref="H294:J294"/>
    <mergeCell ref="K294:M294"/>
    <mergeCell ref="F313:G313"/>
    <mergeCell ref="S300:T300"/>
    <mergeCell ref="S311:T311"/>
    <mergeCell ref="S310:T310"/>
    <mergeCell ref="S261:T261"/>
    <mergeCell ref="S579:T579"/>
    <mergeCell ref="S474:T474"/>
    <mergeCell ref="S481:T481"/>
    <mergeCell ref="S478:T478"/>
    <mergeCell ref="S479:T479"/>
    <mergeCell ref="S484:T484"/>
    <mergeCell ref="S496:T496"/>
    <mergeCell ref="F289:G289"/>
    <mergeCell ref="S412:T412"/>
    <mergeCell ref="S333:T333"/>
    <mergeCell ref="S370:T370"/>
    <mergeCell ref="S255:T255"/>
    <mergeCell ref="S399:T399"/>
    <mergeCell ref="S403:T403"/>
    <mergeCell ref="S359:T359"/>
    <mergeCell ref="S360:T360"/>
    <mergeCell ref="S353:T353"/>
    <mergeCell ref="S341:T341"/>
    <mergeCell ref="S381:T381"/>
    <mergeCell ref="S380:T380"/>
    <mergeCell ref="S379:T379"/>
    <mergeCell ref="S290:T290"/>
    <mergeCell ref="S287:T287"/>
    <mergeCell ref="S288:T288"/>
    <mergeCell ref="S289:T289"/>
    <mergeCell ref="S275:T275"/>
    <mergeCell ref="S280:T280"/>
    <mergeCell ref="S264:T264"/>
    <mergeCell ref="S265:T265"/>
    <mergeCell ref="S278:T278"/>
    <mergeCell ref="S322:T322"/>
    <mergeCell ref="S362:T362"/>
    <mergeCell ref="S318:T318"/>
    <mergeCell ref="S475:T475"/>
    <mergeCell ref="S527:T527"/>
    <mergeCell ref="S535:T535"/>
    <mergeCell ref="S525:T525"/>
    <mergeCell ref="S507:T507"/>
    <mergeCell ref="S485:T485"/>
    <mergeCell ref="S483:T483"/>
    <mergeCell ref="S487:T487"/>
    <mergeCell ref="S486:T486"/>
    <mergeCell ref="S493:T493"/>
    <mergeCell ref="S502:T502"/>
    <mergeCell ref="S503:T503"/>
    <mergeCell ref="S499:T499"/>
    <mergeCell ref="S509:T509"/>
    <mergeCell ref="S508:T508"/>
    <mergeCell ref="S495:T495"/>
    <mergeCell ref="S494:T494"/>
    <mergeCell ref="S498:T498"/>
    <mergeCell ref="S489:T489"/>
    <mergeCell ref="S531:T531"/>
    <mergeCell ref="S532:T532"/>
    <mergeCell ref="S533:T533"/>
    <mergeCell ref="S457:T457"/>
    <mergeCell ref="S460:T460"/>
    <mergeCell ref="S440:T440"/>
    <mergeCell ref="S438:T438"/>
    <mergeCell ref="S435:T435"/>
    <mergeCell ref="S433:T433"/>
    <mergeCell ref="S315:T315"/>
    <mergeCell ref="S302:T302"/>
    <mergeCell ref="S303:T303"/>
    <mergeCell ref="S304:T304"/>
    <mergeCell ref="S377:T377"/>
    <mergeCell ref="S378:T378"/>
    <mergeCell ref="S346:T346"/>
    <mergeCell ref="S450:T450"/>
    <mergeCell ref="S451:T451"/>
    <mergeCell ref="S446:T446"/>
    <mergeCell ref="S327:T327"/>
    <mergeCell ref="S326:T326"/>
    <mergeCell ref="S325:T325"/>
    <mergeCell ref="S324:T324"/>
    <mergeCell ref="S323:T323"/>
    <mergeCell ref="S329:T329"/>
    <mergeCell ref="S383:T383"/>
    <mergeCell ref="S376:T376"/>
    <mergeCell ref="S319:T319"/>
    <mergeCell ref="S330:T330"/>
    <mergeCell ref="S320:T320"/>
    <mergeCell ref="S313:T313"/>
    <mergeCell ref="S455:T455"/>
    <mergeCell ref="S388:T388"/>
    <mergeCell ref="S312:T312"/>
    <mergeCell ref="S465:T465"/>
    <mergeCell ref="S463:T463"/>
    <mergeCell ref="S449:T449"/>
    <mergeCell ref="S442:T442"/>
    <mergeCell ref="S443:T443"/>
    <mergeCell ref="S459:T459"/>
    <mergeCell ref="S454:T454"/>
    <mergeCell ref="S331:T331"/>
    <mergeCell ref="S338:T338"/>
    <mergeCell ref="S366:T366"/>
    <mergeCell ref="S355:T355"/>
    <mergeCell ref="S354:T354"/>
    <mergeCell ref="S456:T456"/>
    <mergeCell ref="S372:T372"/>
    <mergeCell ref="S364:T364"/>
    <mergeCell ref="S335:T335"/>
    <mergeCell ref="S336:T336"/>
    <mergeCell ref="S340:T340"/>
    <mergeCell ref="S332:T332"/>
    <mergeCell ref="S406:T406"/>
    <mergeCell ref="S407:T407"/>
    <mergeCell ref="S408:T408"/>
    <mergeCell ref="S350:T350"/>
    <mergeCell ref="S418:T418"/>
    <mergeCell ref="S337:T337"/>
    <mergeCell ref="S356:T356"/>
    <mergeCell ref="S432:T432"/>
    <mergeCell ref="S439:T439"/>
    <mergeCell ref="S389:T389"/>
    <mergeCell ref="S387:T387"/>
    <mergeCell ref="S384:T384"/>
    <mergeCell ref="S363:T363"/>
    <mergeCell ref="A518:C518"/>
    <mergeCell ref="F510:H510"/>
    <mergeCell ref="F513:H513"/>
    <mergeCell ref="F514:H514"/>
    <mergeCell ref="F515:H515"/>
    <mergeCell ref="H531:K531"/>
    <mergeCell ref="A526:C526"/>
    <mergeCell ref="A527:C527"/>
    <mergeCell ref="A520:C520"/>
    <mergeCell ref="A521:C521"/>
    <mergeCell ref="I517:K517"/>
    <mergeCell ref="I518:K518"/>
    <mergeCell ref="A530:C530"/>
    <mergeCell ref="D498:P498"/>
    <mergeCell ref="S506:T506"/>
    <mergeCell ref="S505:T505"/>
    <mergeCell ref="D525:E525"/>
    <mergeCell ref="L506:P506"/>
    <mergeCell ref="E505:H505"/>
    <mergeCell ref="E506:H506"/>
    <mergeCell ref="I507:K507"/>
    <mergeCell ref="I515:K515"/>
    <mergeCell ref="L515:P515"/>
    <mergeCell ref="F517:H517"/>
    <mergeCell ref="F518:H518"/>
    <mergeCell ref="F519:H519"/>
    <mergeCell ref="L505:P505"/>
    <mergeCell ref="L510:P510"/>
    <mergeCell ref="L511:P511"/>
    <mergeCell ref="L524:P524"/>
    <mergeCell ref="I512:K512"/>
    <mergeCell ref="I513:K513"/>
    <mergeCell ref="I514:K514"/>
    <mergeCell ref="I508:K508"/>
    <mergeCell ref="F509:H509"/>
    <mergeCell ref="L508:P508"/>
    <mergeCell ref="L509:P509"/>
    <mergeCell ref="D512:E512"/>
    <mergeCell ref="I510:K510"/>
    <mergeCell ref="S521:T521"/>
    <mergeCell ref="S517:T517"/>
    <mergeCell ref="S513:T513"/>
    <mergeCell ref="S512:T512"/>
    <mergeCell ref="S511:T511"/>
    <mergeCell ref="F525:H525"/>
    <mergeCell ref="F526:H526"/>
    <mergeCell ref="L518:P518"/>
    <mergeCell ref="I520:K520"/>
    <mergeCell ref="S514:T514"/>
    <mergeCell ref="F527:H527"/>
    <mergeCell ref="I525:P525"/>
    <mergeCell ref="I526:P526"/>
    <mergeCell ref="D524:E524"/>
    <mergeCell ref="D523:E523"/>
    <mergeCell ref="S523:T523"/>
    <mergeCell ref="S520:T520"/>
    <mergeCell ref="L522:P522"/>
    <mergeCell ref="I521:K521"/>
    <mergeCell ref="I516:K516"/>
    <mergeCell ref="F507:H507"/>
    <mergeCell ref="D508:E508"/>
    <mergeCell ref="D509:E509"/>
    <mergeCell ref="D510:E510"/>
    <mergeCell ref="D530:G530"/>
    <mergeCell ref="H530:K530"/>
    <mergeCell ref="L530:P530"/>
    <mergeCell ref="S524:T524"/>
    <mergeCell ref="S510:T510"/>
    <mergeCell ref="S518:T518"/>
    <mergeCell ref="S519:T519"/>
    <mergeCell ref="S526:T526"/>
    <mergeCell ref="S522:T522"/>
    <mergeCell ref="A528:P528"/>
    <mergeCell ref="A529:P529"/>
    <mergeCell ref="S530:T530"/>
    <mergeCell ref="D518:E518"/>
    <mergeCell ref="D519:E519"/>
    <mergeCell ref="D520:E520"/>
    <mergeCell ref="D521:E521"/>
    <mergeCell ref="D522:E522"/>
    <mergeCell ref="I524:K524"/>
    <mergeCell ref="A498:C498"/>
    <mergeCell ref="S497:T497"/>
    <mergeCell ref="S500:T500"/>
    <mergeCell ref="A511:C511"/>
    <mergeCell ref="D513:E513"/>
    <mergeCell ref="A495:C495"/>
    <mergeCell ref="S504:T504"/>
    <mergeCell ref="I511:K511"/>
    <mergeCell ref="L512:P512"/>
    <mergeCell ref="D511:E511"/>
    <mergeCell ref="A517:C517"/>
    <mergeCell ref="F511:H511"/>
    <mergeCell ref="D495:P495"/>
    <mergeCell ref="D507:E507"/>
    <mergeCell ref="A503:C503"/>
    <mergeCell ref="A496:C496"/>
    <mergeCell ref="D496:P496"/>
    <mergeCell ref="L513:P513"/>
    <mergeCell ref="L514:P514"/>
    <mergeCell ref="I505:K505"/>
    <mergeCell ref="I506:K506"/>
    <mergeCell ref="I509:K509"/>
    <mergeCell ref="F508:H508"/>
    <mergeCell ref="F512:H512"/>
    <mergeCell ref="S501:T501"/>
    <mergeCell ref="D517:E517"/>
    <mergeCell ref="S515:T515"/>
    <mergeCell ref="L516:P516"/>
    <mergeCell ref="L517:P517"/>
    <mergeCell ref="I527:P527"/>
    <mergeCell ref="A561:H561"/>
    <mergeCell ref="F516:H516"/>
    <mergeCell ref="A516:C516"/>
    <mergeCell ref="H532:K532"/>
    <mergeCell ref="I556:P556"/>
    <mergeCell ref="A550:H550"/>
    <mergeCell ref="I550:P550"/>
    <mergeCell ref="S536:T536"/>
    <mergeCell ref="A535:C535"/>
    <mergeCell ref="A536:C536"/>
    <mergeCell ref="A552:E552"/>
    <mergeCell ref="L521:P521"/>
    <mergeCell ref="A556:H556"/>
    <mergeCell ref="L520:P520"/>
    <mergeCell ref="I519:K519"/>
    <mergeCell ref="L531:P531"/>
    <mergeCell ref="I522:K522"/>
    <mergeCell ref="D527:E527"/>
    <mergeCell ref="D526:E526"/>
    <mergeCell ref="L519:P519"/>
    <mergeCell ref="A534:C534"/>
    <mergeCell ref="A541:C541"/>
    <mergeCell ref="A542:C542"/>
    <mergeCell ref="A543:C543"/>
    <mergeCell ref="A544:C544"/>
    <mergeCell ref="D541:G541"/>
    <mergeCell ref="D542:G542"/>
    <mergeCell ref="H541:K541"/>
    <mergeCell ref="L541:P541"/>
    <mergeCell ref="A551:H551"/>
    <mergeCell ref="H537:K537"/>
    <mergeCell ref="A467:I467"/>
    <mergeCell ref="A470:I470"/>
    <mergeCell ref="A471:I471"/>
    <mergeCell ref="A472:I472"/>
    <mergeCell ref="J469:P469"/>
    <mergeCell ref="A425:P425"/>
    <mergeCell ref="A426:P426"/>
    <mergeCell ref="M438:P438"/>
    <mergeCell ref="A468:I468"/>
    <mergeCell ref="A469:I469"/>
    <mergeCell ref="A501:C501"/>
    <mergeCell ref="D501:P501"/>
    <mergeCell ref="A502:C502"/>
    <mergeCell ref="N405:P405"/>
    <mergeCell ref="K406:M406"/>
    <mergeCell ref="N406:P406"/>
    <mergeCell ref="K421:M421"/>
    <mergeCell ref="A409:J409"/>
    <mergeCell ref="A415:J415"/>
    <mergeCell ref="K422:M422"/>
    <mergeCell ref="A445:I445"/>
    <mergeCell ref="A446:I446"/>
    <mergeCell ref="A447:I447"/>
    <mergeCell ref="A448:I448"/>
    <mergeCell ref="A449:I449"/>
    <mergeCell ref="D497:P497"/>
    <mergeCell ref="D500:P500"/>
    <mergeCell ref="A497:C497"/>
    <mergeCell ref="A499:C499"/>
    <mergeCell ref="D499:P499"/>
    <mergeCell ref="A500:C500"/>
    <mergeCell ref="D502:P502"/>
    <mergeCell ref="A419:J419"/>
    <mergeCell ref="A420:J420"/>
    <mergeCell ref="A421:J421"/>
    <mergeCell ref="A422:J422"/>
    <mergeCell ref="A423:J423"/>
    <mergeCell ref="A424:J424"/>
    <mergeCell ref="S296:T296"/>
    <mergeCell ref="S297:T297"/>
    <mergeCell ref="S298:T298"/>
    <mergeCell ref="S299:T299"/>
    <mergeCell ref="S183:T183"/>
    <mergeCell ref="S181:T181"/>
    <mergeCell ref="A369:J369"/>
    <mergeCell ref="A372:J372"/>
    <mergeCell ref="A373:J373"/>
    <mergeCell ref="A406:J406"/>
    <mergeCell ref="A378:J378"/>
    <mergeCell ref="A383:J383"/>
    <mergeCell ref="S386:T386"/>
    <mergeCell ref="A371:J371"/>
    <mergeCell ref="A386:J386"/>
    <mergeCell ref="N403:P403"/>
    <mergeCell ref="S414:T414"/>
    <mergeCell ref="S321:T321"/>
    <mergeCell ref="S295:T295"/>
    <mergeCell ref="S316:T316"/>
    <mergeCell ref="S317:T317"/>
    <mergeCell ref="K392:M392"/>
    <mergeCell ref="S314:T314"/>
    <mergeCell ref="S404:T404"/>
    <mergeCell ref="S400:T400"/>
    <mergeCell ref="S285:T285"/>
    <mergeCell ref="K393:M393"/>
    <mergeCell ref="K389:M389"/>
    <mergeCell ref="S373:T373"/>
    <mergeCell ref="S369:T369"/>
    <mergeCell ref="S349:T349"/>
    <mergeCell ref="S382:T382"/>
    <mergeCell ref="S409:T409"/>
    <mergeCell ref="S365:T365"/>
    <mergeCell ref="N388:P388"/>
    <mergeCell ref="N374:P374"/>
    <mergeCell ref="S385:T385"/>
    <mergeCell ref="K398:M398"/>
    <mergeCell ref="S352:T352"/>
    <mergeCell ref="S390:T390"/>
    <mergeCell ref="N398:P398"/>
    <mergeCell ref="A450:I450"/>
    <mergeCell ref="N422:P422"/>
    <mergeCell ref="J438:L438"/>
    <mergeCell ref="A356:P356"/>
    <mergeCell ref="A402:P402"/>
    <mergeCell ref="A403:J403"/>
    <mergeCell ref="A410:J410"/>
    <mergeCell ref="A411:J411"/>
    <mergeCell ref="A412:J412"/>
    <mergeCell ref="A413:J413"/>
    <mergeCell ref="A414:J414"/>
    <mergeCell ref="N412:P412"/>
    <mergeCell ref="K413:M413"/>
    <mergeCell ref="A391:J391"/>
    <mergeCell ref="A392:J392"/>
    <mergeCell ref="K391:M391"/>
    <mergeCell ref="N389:P389"/>
    <mergeCell ref="H337:J337"/>
    <mergeCell ref="K337:M337"/>
    <mergeCell ref="N337:P337"/>
    <mergeCell ref="K387:M387"/>
    <mergeCell ref="K375:M375"/>
    <mergeCell ref="N375:P375"/>
    <mergeCell ref="S375:T375"/>
    <mergeCell ref="S348:T348"/>
    <mergeCell ref="S357:T357"/>
    <mergeCell ref="S351:T351"/>
    <mergeCell ref="S374:T374"/>
    <mergeCell ref="A340:E340"/>
    <mergeCell ref="K342:M342"/>
    <mergeCell ref="K341:M341"/>
    <mergeCell ref="K338:M338"/>
    <mergeCell ref="H339:J339"/>
    <mergeCell ref="S339:T339"/>
    <mergeCell ref="F342:G342"/>
    <mergeCell ref="S358:T358"/>
    <mergeCell ref="S371:T371"/>
    <mergeCell ref="K372:M372"/>
    <mergeCell ref="K370:M370"/>
    <mergeCell ref="A370:J370"/>
    <mergeCell ref="S343:T343"/>
    <mergeCell ref="N372:P372"/>
    <mergeCell ref="K373:M373"/>
    <mergeCell ref="N373:P373"/>
    <mergeCell ref="K374:M374"/>
    <mergeCell ref="N371:P371"/>
    <mergeCell ref="H343:J343"/>
    <mergeCell ref="A348:P348"/>
    <mergeCell ref="A349:P349"/>
    <mergeCell ref="K390:M390"/>
    <mergeCell ref="N390:P390"/>
    <mergeCell ref="N387:P387"/>
    <mergeCell ref="A375:J375"/>
    <mergeCell ref="N383:P383"/>
    <mergeCell ref="K384:M384"/>
    <mergeCell ref="K378:M378"/>
    <mergeCell ref="N410:P410"/>
    <mergeCell ref="K411:M411"/>
    <mergeCell ref="A405:J405"/>
    <mergeCell ref="A404:J404"/>
    <mergeCell ref="A387:J387"/>
    <mergeCell ref="A401:P401"/>
    <mergeCell ref="K404:M404"/>
    <mergeCell ref="N407:P407"/>
    <mergeCell ref="K408:M408"/>
    <mergeCell ref="A380:J380"/>
    <mergeCell ref="A381:J381"/>
    <mergeCell ref="A382:J382"/>
    <mergeCell ref="A390:J390"/>
    <mergeCell ref="N397:P397"/>
    <mergeCell ref="A389:J389"/>
    <mergeCell ref="A384:J384"/>
    <mergeCell ref="A385:J385"/>
    <mergeCell ref="K377:M377"/>
    <mergeCell ref="K385:M385"/>
    <mergeCell ref="A376:J376"/>
    <mergeCell ref="A377:J377"/>
    <mergeCell ref="K383:M383"/>
    <mergeCell ref="A379:J379"/>
    <mergeCell ref="A397:J397"/>
    <mergeCell ref="A398:J398"/>
    <mergeCell ref="A350:P350"/>
    <mergeCell ref="A351:P351"/>
    <mergeCell ref="A352:P352"/>
    <mergeCell ref="A357:P357"/>
    <mergeCell ref="A358:P358"/>
    <mergeCell ref="A359:P359"/>
    <mergeCell ref="K381:M381"/>
    <mergeCell ref="N381:P381"/>
    <mergeCell ref="A345:P345"/>
    <mergeCell ref="A355:P355"/>
    <mergeCell ref="A362:P362"/>
    <mergeCell ref="S328:T328"/>
    <mergeCell ref="K323:M323"/>
    <mergeCell ref="N323:P323"/>
    <mergeCell ref="S270:T270"/>
    <mergeCell ref="S18:U18"/>
    <mergeCell ref="K329:M329"/>
    <mergeCell ref="N334:P334"/>
    <mergeCell ref="A336:E336"/>
    <mergeCell ref="H327:J327"/>
    <mergeCell ref="F331:G331"/>
    <mergeCell ref="H331:J331"/>
    <mergeCell ref="K331:M331"/>
    <mergeCell ref="N331:P331"/>
    <mergeCell ref="H325:J325"/>
    <mergeCell ref="N329:P329"/>
    <mergeCell ref="A330:E330"/>
    <mergeCell ref="N328:P328"/>
    <mergeCell ref="A334:E334"/>
    <mergeCell ref="S334:T334"/>
    <mergeCell ref="A323:E323"/>
    <mergeCell ref="F323:G323"/>
    <mergeCell ref="K334:M334"/>
    <mergeCell ref="K335:M335"/>
    <mergeCell ref="A335:E335"/>
    <mergeCell ref="F335:G335"/>
    <mergeCell ref="K325:M325"/>
    <mergeCell ref="F326:G326"/>
    <mergeCell ref="AC2:AE2"/>
    <mergeCell ref="O12:Q12"/>
    <mergeCell ref="O19:R19"/>
    <mergeCell ref="D13:M13"/>
    <mergeCell ref="D15:M15"/>
    <mergeCell ref="K40:L40"/>
    <mergeCell ref="D16:M16"/>
    <mergeCell ref="D17:M17"/>
    <mergeCell ref="D18:M18"/>
    <mergeCell ref="A23:U23"/>
    <mergeCell ref="A15:C15"/>
    <mergeCell ref="A16:C16"/>
    <mergeCell ref="A17:C17"/>
    <mergeCell ref="A18:C18"/>
    <mergeCell ref="O17:R17"/>
    <mergeCell ref="O18:R18"/>
    <mergeCell ref="O20:R20"/>
    <mergeCell ref="S17:U17"/>
    <mergeCell ref="S19:U19"/>
    <mergeCell ref="S20:U20"/>
    <mergeCell ref="O36:P36"/>
    <mergeCell ref="D14:M14"/>
    <mergeCell ref="S269:T269"/>
    <mergeCell ref="K307:M307"/>
    <mergeCell ref="N335:P335"/>
    <mergeCell ref="K313:M313"/>
    <mergeCell ref="A12:C12"/>
    <mergeCell ref="A13:C13"/>
    <mergeCell ref="O11:P11"/>
    <mergeCell ref="A24:P24"/>
    <mergeCell ref="A25:P25"/>
    <mergeCell ref="M33:N33"/>
    <mergeCell ref="M34:N34"/>
    <mergeCell ref="T16:U16"/>
    <mergeCell ref="A6:Q7"/>
    <mergeCell ref="A26:J26"/>
    <mergeCell ref="S34:T34"/>
    <mergeCell ref="R6:U7"/>
    <mergeCell ref="A27:J27"/>
    <mergeCell ref="A28:J28"/>
    <mergeCell ref="A29:J29"/>
    <mergeCell ref="A30:J30"/>
    <mergeCell ref="A31:J31"/>
    <mergeCell ref="A32:J32"/>
    <mergeCell ref="A33:J33"/>
    <mergeCell ref="A34:J34"/>
    <mergeCell ref="D10:M10"/>
    <mergeCell ref="D11:M11"/>
    <mergeCell ref="D12:M12"/>
    <mergeCell ref="A21:F21"/>
    <mergeCell ref="M32:N32"/>
    <mergeCell ref="G19:M19"/>
    <mergeCell ref="D9:M9"/>
    <mergeCell ref="S609:T609"/>
    <mergeCell ref="AC4:AG5"/>
    <mergeCell ref="AC3:AG3"/>
    <mergeCell ref="N380:P380"/>
    <mergeCell ref="A609:P609"/>
    <mergeCell ref="K48:L48"/>
    <mergeCell ref="N94:P94"/>
    <mergeCell ref="N88:P88"/>
    <mergeCell ref="N89:P89"/>
    <mergeCell ref="D8:M8"/>
    <mergeCell ref="A84:E84"/>
    <mergeCell ref="F84:J84"/>
    <mergeCell ref="N411:P411"/>
    <mergeCell ref="K336:M336"/>
    <mergeCell ref="N385:P385"/>
    <mergeCell ref="K386:M386"/>
    <mergeCell ref="N386:P386"/>
    <mergeCell ref="N378:P378"/>
    <mergeCell ref="K379:M379"/>
    <mergeCell ref="N379:P379"/>
    <mergeCell ref="N382:P382"/>
    <mergeCell ref="F329:G329"/>
    <mergeCell ref="M429:P429"/>
    <mergeCell ref="A10:C10"/>
    <mergeCell ref="A11:C11"/>
    <mergeCell ref="S33:T33"/>
    <mergeCell ref="S32:T32"/>
    <mergeCell ref="M30:N30"/>
    <mergeCell ref="O31:P31"/>
    <mergeCell ref="O32:P32"/>
    <mergeCell ref="O33:P33"/>
    <mergeCell ref="M31:N31"/>
    <mergeCell ref="K31:L31"/>
    <mergeCell ref="O34:P34"/>
    <mergeCell ref="N404:P404"/>
    <mergeCell ref="A393:J393"/>
    <mergeCell ref="A394:J394"/>
    <mergeCell ref="N420:P420"/>
    <mergeCell ref="N416:P416"/>
    <mergeCell ref="K417:M417"/>
    <mergeCell ref="K420:M420"/>
    <mergeCell ref="A395:J395"/>
    <mergeCell ref="A396:J396"/>
    <mergeCell ref="A407:J407"/>
    <mergeCell ref="K419:M419"/>
    <mergeCell ref="N419:P419"/>
    <mergeCell ref="K414:M414"/>
    <mergeCell ref="K418:M418"/>
    <mergeCell ref="K405:M405"/>
    <mergeCell ref="K409:M409"/>
    <mergeCell ref="A35:J35"/>
    <mergeCell ref="A36:J36"/>
    <mergeCell ref="H323:J323"/>
    <mergeCell ref="A331:E331"/>
    <mergeCell ref="A327:E327"/>
    <mergeCell ref="F327:G327"/>
    <mergeCell ref="F330:G330"/>
    <mergeCell ref="N408:P408"/>
    <mergeCell ref="N409:P409"/>
    <mergeCell ref="K410:M410"/>
    <mergeCell ref="K403:M403"/>
    <mergeCell ref="A230:D230"/>
    <mergeCell ref="E230:H230"/>
    <mergeCell ref="A388:J388"/>
    <mergeCell ref="S54:T54"/>
    <mergeCell ref="S53:T53"/>
    <mergeCell ref="K49:L49"/>
    <mergeCell ref="M54:N54"/>
    <mergeCell ref="S50:T50"/>
    <mergeCell ref="M44:N44"/>
    <mergeCell ref="K39:L39"/>
    <mergeCell ref="S42:T42"/>
    <mergeCell ref="S43:T43"/>
    <mergeCell ref="K41:L41"/>
    <mergeCell ref="K60:L60"/>
    <mergeCell ref="A165:P165"/>
    <mergeCell ref="K388:M388"/>
    <mergeCell ref="M220:P220"/>
    <mergeCell ref="G76:J76"/>
    <mergeCell ref="A172:P172"/>
    <mergeCell ref="A206:P206"/>
    <mergeCell ref="A119:P119"/>
    <mergeCell ref="A120:P120"/>
    <mergeCell ref="A145:P145"/>
    <mergeCell ref="A146:P146"/>
    <mergeCell ref="M42:N42"/>
    <mergeCell ref="S156:T156"/>
    <mergeCell ref="S155:T155"/>
    <mergeCell ref="S157:T157"/>
    <mergeCell ref="K35:L35"/>
    <mergeCell ref="S30:T30"/>
    <mergeCell ref="S31:T31"/>
    <mergeCell ref="O39:P39"/>
    <mergeCell ref="O50:P50"/>
    <mergeCell ref="S51:T51"/>
    <mergeCell ref="S52:T52"/>
    <mergeCell ref="K34:L34"/>
    <mergeCell ref="S57:T57"/>
    <mergeCell ref="O56:P56"/>
    <mergeCell ref="O40:P40"/>
    <mergeCell ref="O51:P51"/>
    <mergeCell ref="S40:T40"/>
    <mergeCell ref="S48:T48"/>
    <mergeCell ref="S46:T46"/>
    <mergeCell ref="S55:T55"/>
    <mergeCell ref="S49:T49"/>
    <mergeCell ref="O57:P57"/>
    <mergeCell ref="O38:P38"/>
    <mergeCell ref="M51:N51"/>
    <mergeCell ref="M52:N52"/>
    <mergeCell ref="O55:P55"/>
    <mergeCell ref="M50:N50"/>
    <mergeCell ref="M48:N48"/>
    <mergeCell ref="M35:N35"/>
    <mergeCell ref="M36:N36"/>
    <mergeCell ref="M37:N37"/>
    <mergeCell ref="M38:N38"/>
    <mergeCell ref="K44:L44"/>
    <mergeCell ref="M46:N46"/>
    <mergeCell ref="K46:L46"/>
    <mergeCell ref="M41:N41"/>
    <mergeCell ref="A37:J37"/>
    <mergeCell ref="A38:J38"/>
    <mergeCell ref="A39:J39"/>
    <mergeCell ref="S41:T41"/>
    <mergeCell ref="K36:L36"/>
    <mergeCell ref="K37:L37"/>
    <mergeCell ref="K38:L38"/>
    <mergeCell ref="O41:P41"/>
    <mergeCell ref="M39:N39"/>
    <mergeCell ref="A54:J54"/>
    <mergeCell ref="M47:N47"/>
    <mergeCell ref="O30:P30"/>
    <mergeCell ref="S36:T36"/>
    <mergeCell ref="S38:T38"/>
    <mergeCell ref="S39:T39"/>
    <mergeCell ref="K53:L53"/>
    <mergeCell ref="K54:L54"/>
    <mergeCell ref="K30:L30"/>
    <mergeCell ref="K32:L32"/>
    <mergeCell ref="S44:T44"/>
    <mergeCell ref="S35:T35"/>
    <mergeCell ref="S45:T45"/>
    <mergeCell ref="O53:P53"/>
    <mergeCell ref="S47:T47"/>
    <mergeCell ref="M40:N40"/>
    <mergeCell ref="K45:L45"/>
    <mergeCell ref="M45:N45"/>
    <mergeCell ref="O54:P54"/>
    <mergeCell ref="M53:N53"/>
    <mergeCell ref="O52:P52"/>
    <mergeCell ref="M49:N49"/>
    <mergeCell ref="O37:P37"/>
    <mergeCell ref="O35:P35"/>
    <mergeCell ref="K42:L42"/>
    <mergeCell ref="M43:N43"/>
    <mergeCell ref="O42:P42"/>
    <mergeCell ref="O44:P44"/>
    <mergeCell ref="A43:J43"/>
    <mergeCell ref="K73:P73"/>
    <mergeCell ref="N85:P85"/>
    <mergeCell ref="K78:P78"/>
    <mergeCell ref="A149:P149"/>
    <mergeCell ref="S106:T106"/>
    <mergeCell ref="S107:T107"/>
    <mergeCell ref="S128:T128"/>
    <mergeCell ref="S129:T129"/>
    <mergeCell ref="S125:T125"/>
    <mergeCell ref="S138:T138"/>
    <mergeCell ref="S109:T109"/>
    <mergeCell ref="S110:T110"/>
    <mergeCell ref="S143:T143"/>
    <mergeCell ref="A83:F83"/>
    <mergeCell ref="A78:F78"/>
    <mergeCell ref="G95:J95"/>
    <mergeCell ref="G96:J96"/>
    <mergeCell ref="K67:P67"/>
    <mergeCell ref="S69:T69"/>
    <mergeCell ref="S73:T73"/>
    <mergeCell ref="K103:M103"/>
    <mergeCell ref="N102:P102"/>
    <mergeCell ref="G100:J100"/>
    <mergeCell ref="K102:M102"/>
    <mergeCell ref="S102:T102"/>
    <mergeCell ref="S99:T99"/>
    <mergeCell ref="S158:T158"/>
    <mergeCell ref="S142:T142"/>
    <mergeCell ref="S140:T140"/>
    <mergeCell ref="S56:T56"/>
    <mergeCell ref="K69:P69"/>
    <mergeCell ref="N87:P87"/>
    <mergeCell ref="S144:T144"/>
    <mergeCell ref="K79:P79"/>
    <mergeCell ref="K72:P72"/>
    <mergeCell ref="K74:P74"/>
    <mergeCell ref="S123:T123"/>
    <mergeCell ref="S84:T84"/>
    <mergeCell ref="S148:T148"/>
    <mergeCell ref="S89:T89"/>
    <mergeCell ref="S87:T87"/>
    <mergeCell ref="S115:T115"/>
    <mergeCell ref="S126:T126"/>
    <mergeCell ref="S127:T127"/>
    <mergeCell ref="S105:T105"/>
    <mergeCell ref="S111:T111"/>
    <mergeCell ref="S113:T113"/>
    <mergeCell ref="S114:T114"/>
    <mergeCell ref="S141:T141"/>
    <mergeCell ref="S139:T139"/>
    <mergeCell ref="S137:T137"/>
    <mergeCell ref="S130:T130"/>
    <mergeCell ref="S135:T135"/>
    <mergeCell ref="S136:T136"/>
    <mergeCell ref="K118:M118"/>
    <mergeCell ref="N118:P118"/>
    <mergeCell ref="S61:T61"/>
    <mergeCell ref="S59:T59"/>
    <mergeCell ref="A162:P162"/>
    <mergeCell ref="S185:T185"/>
    <mergeCell ref="S167:T167"/>
    <mergeCell ref="S186:T186"/>
    <mergeCell ref="A159:P159"/>
    <mergeCell ref="S122:T122"/>
    <mergeCell ref="S150:T150"/>
    <mergeCell ref="K380:M380"/>
    <mergeCell ref="K376:M376"/>
    <mergeCell ref="N376:P376"/>
    <mergeCell ref="F343:G343"/>
    <mergeCell ref="N370:P370"/>
    <mergeCell ref="N340:P340"/>
    <mergeCell ref="A360:P360"/>
    <mergeCell ref="K371:M371"/>
    <mergeCell ref="A368:P368"/>
    <mergeCell ref="H338:J338"/>
    <mergeCell ref="K339:M339"/>
    <mergeCell ref="K369:M369"/>
    <mergeCell ref="H315:J315"/>
    <mergeCell ref="K315:M315"/>
    <mergeCell ref="F320:G320"/>
    <mergeCell ref="N369:P369"/>
    <mergeCell ref="H334:J334"/>
    <mergeCell ref="A367:P367"/>
    <mergeCell ref="A346:P346"/>
    <mergeCell ref="A374:J374"/>
    <mergeCell ref="A361:P361"/>
    <mergeCell ref="N326:P326"/>
    <mergeCell ref="K319:M319"/>
    <mergeCell ref="N319:P319"/>
    <mergeCell ref="A322:E322"/>
    <mergeCell ref="H335:J335"/>
    <mergeCell ref="K340:M340"/>
    <mergeCell ref="F338:G338"/>
    <mergeCell ref="A363:P363"/>
    <mergeCell ref="F341:G341"/>
    <mergeCell ref="H341:J341"/>
    <mergeCell ref="A338:E338"/>
    <mergeCell ref="K330:M330"/>
    <mergeCell ref="N330:P330"/>
    <mergeCell ref="A312:E312"/>
    <mergeCell ref="N314:P314"/>
    <mergeCell ref="K316:M316"/>
    <mergeCell ref="N316:P316"/>
    <mergeCell ref="K322:M322"/>
    <mergeCell ref="N322:P322"/>
    <mergeCell ref="F328:G328"/>
    <mergeCell ref="H328:J328"/>
    <mergeCell ref="A317:E317"/>
    <mergeCell ref="A319:E319"/>
    <mergeCell ref="N312:P312"/>
    <mergeCell ref="N324:P324"/>
    <mergeCell ref="A325:E325"/>
    <mergeCell ref="A333:E333"/>
    <mergeCell ref="A329:E329"/>
    <mergeCell ref="K328:M328"/>
    <mergeCell ref="H326:J326"/>
    <mergeCell ref="K326:M326"/>
    <mergeCell ref="H329:J329"/>
    <mergeCell ref="H330:J330"/>
    <mergeCell ref="K327:M327"/>
    <mergeCell ref="N327:P327"/>
    <mergeCell ref="A328:E328"/>
    <mergeCell ref="N279:P279"/>
    <mergeCell ref="N273:P273"/>
    <mergeCell ref="N325:P325"/>
    <mergeCell ref="F333:G333"/>
    <mergeCell ref="H333:J333"/>
    <mergeCell ref="K333:M333"/>
    <mergeCell ref="N333:P333"/>
    <mergeCell ref="A332:E332"/>
    <mergeCell ref="F332:G332"/>
    <mergeCell ref="H332:J332"/>
    <mergeCell ref="A316:E316"/>
    <mergeCell ref="F316:G316"/>
    <mergeCell ref="H316:J316"/>
    <mergeCell ref="F325:G325"/>
    <mergeCell ref="A315:E315"/>
    <mergeCell ref="F324:G324"/>
    <mergeCell ref="H324:J324"/>
    <mergeCell ref="F321:G321"/>
    <mergeCell ref="H321:J321"/>
    <mergeCell ref="K321:M321"/>
    <mergeCell ref="F317:G317"/>
    <mergeCell ref="A320:E320"/>
    <mergeCell ref="K324:M324"/>
    <mergeCell ref="K312:M312"/>
    <mergeCell ref="H313:J313"/>
    <mergeCell ref="N313:P313"/>
    <mergeCell ref="H289:J289"/>
    <mergeCell ref="H298:J298"/>
    <mergeCell ref="A321:E321"/>
    <mergeCell ref="A326:E326"/>
    <mergeCell ref="M234:P234"/>
    <mergeCell ref="A234:D234"/>
    <mergeCell ref="E240:H240"/>
    <mergeCell ref="A243:D243"/>
    <mergeCell ref="E239:H239"/>
    <mergeCell ref="I240:L240"/>
    <mergeCell ref="F315:G315"/>
    <mergeCell ref="F304:G304"/>
    <mergeCell ref="H304:J304"/>
    <mergeCell ref="K343:M343"/>
    <mergeCell ref="N342:P342"/>
    <mergeCell ref="F334:G334"/>
    <mergeCell ref="H336:J336"/>
    <mergeCell ref="N339:P339"/>
    <mergeCell ref="F336:G336"/>
    <mergeCell ref="A337:E337"/>
    <mergeCell ref="F337:G337"/>
    <mergeCell ref="N343:P343"/>
    <mergeCell ref="A339:E339"/>
    <mergeCell ref="F339:G339"/>
    <mergeCell ref="F297:G297"/>
    <mergeCell ref="N302:P302"/>
    <mergeCell ref="N304:P304"/>
    <mergeCell ref="N305:P305"/>
    <mergeCell ref="K279:M279"/>
    <mergeCell ref="A305:E305"/>
    <mergeCell ref="F305:G305"/>
    <mergeCell ref="H305:J305"/>
    <mergeCell ref="K305:M305"/>
    <mergeCell ref="H322:J322"/>
    <mergeCell ref="K382:M382"/>
    <mergeCell ref="K317:M317"/>
    <mergeCell ref="N377:P377"/>
    <mergeCell ref="N336:P336"/>
    <mergeCell ref="A324:E324"/>
    <mergeCell ref="F322:G322"/>
    <mergeCell ref="M59:N59"/>
    <mergeCell ref="F282:G282"/>
    <mergeCell ref="F283:G283"/>
    <mergeCell ref="H282:J282"/>
    <mergeCell ref="H283:J283"/>
    <mergeCell ref="K282:M282"/>
    <mergeCell ref="F303:G303"/>
    <mergeCell ref="H303:J303"/>
    <mergeCell ref="K303:M303"/>
    <mergeCell ref="K332:M332"/>
    <mergeCell ref="N332:P332"/>
    <mergeCell ref="N341:P341"/>
    <mergeCell ref="A344:P344"/>
    <mergeCell ref="H320:J320"/>
    <mergeCell ref="K320:M320"/>
    <mergeCell ref="N320:P320"/>
    <mergeCell ref="K318:M318"/>
    <mergeCell ref="N315:P315"/>
    <mergeCell ref="K272:M272"/>
    <mergeCell ref="F309:G309"/>
    <mergeCell ref="N297:P297"/>
    <mergeCell ref="F311:G311"/>
    <mergeCell ref="N307:P307"/>
    <mergeCell ref="A295:E295"/>
    <mergeCell ref="F295:G295"/>
    <mergeCell ref="N318:P318"/>
    <mergeCell ref="K288:M288"/>
    <mergeCell ref="N288:P288"/>
    <mergeCell ref="K285:M285"/>
    <mergeCell ref="N287:P287"/>
    <mergeCell ref="N285:P285"/>
    <mergeCell ref="N280:P280"/>
    <mergeCell ref="K290:M290"/>
    <mergeCell ref="N272:P272"/>
    <mergeCell ref="H286:J286"/>
    <mergeCell ref="N317:P317"/>
    <mergeCell ref="N277:P277"/>
    <mergeCell ref="S293:T293"/>
    <mergeCell ref="K304:M304"/>
    <mergeCell ref="S291:T291"/>
    <mergeCell ref="H297:J297"/>
    <mergeCell ref="K297:M297"/>
    <mergeCell ref="S305:T305"/>
    <mergeCell ref="S306:T306"/>
    <mergeCell ref="S307:T307"/>
    <mergeCell ref="S294:T294"/>
    <mergeCell ref="S301:T301"/>
    <mergeCell ref="N294:P294"/>
    <mergeCell ref="S308:T308"/>
    <mergeCell ref="S309:T309"/>
    <mergeCell ref="H308:J308"/>
    <mergeCell ref="K308:M308"/>
    <mergeCell ref="N308:P308"/>
    <mergeCell ref="H307:J307"/>
    <mergeCell ref="H309:J309"/>
    <mergeCell ref="K295:M295"/>
    <mergeCell ref="N295:P295"/>
    <mergeCell ref="K289:M289"/>
    <mergeCell ref="H295:J295"/>
    <mergeCell ref="A301:E301"/>
    <mergeCell ref="F301:G301"/>
    <mergeCell ref="H301:J301"/>
    <mergeCell ref="K301:M301"/>
    <mergeCell ref="A299:E299"/>
    <mergeCell ref="F299:G299"/>
    <mergeCell ref="H299:J299"/>
    <mergeCell ref="K299:M299"/>
    <mergeCell ref="N299:P299"/>
    <mergeCell ref="A300:E300"/>
    <mergeCell ref="F300:G300"/>
    <mergeCell ref="H300:J300"/>
    <mergeCell ref="A304:E304"/>
    <mergeCell ref="H302:J302"/>
    <mergeCell ref="N303:P303"/>
    <mergeCell ref="N301:P301"/>
    <mergeCell ref="K302:M302"/>
    <mergeCell ref="K300:M300"/>
    <mergeCell ref="A311:E311"/>
    <mergeCell ref="F319:G319"/>
    <mergeCell ref="H319:J319"/>
    <mergeCell ref="H311:J311"/>
    <mergeCell ref="K311:M311"/>
    <mergeCell ref="N311:P311"/>
    <mergeCell ref="A318:E318"/>
    <mergeCell ref="F318:G318"/>
    <mergeCell ref="H318:J318"/>
    <mergeCell ref="A309:E309"/>
    <mergeCell ref="K309:M309"/>
    <mergeCell ref="A310:E310"/>
    <mergeCell ref="F310:G310"/>
    <mergeCell ref="H310:J310"/>
    <mergeCell ref="K310:M310"/>
    <mergeCell ref="N310:P310"/>
    <mergeCell ref="K298:M298"/>
    <mergeCell ref="N300:P300"/>
    <mergeCell ref="K306:M306"/>
    <mergeCell ref="N298:P298"/>
    <mergeCell ref="A307:E307"/>
    <mergeCell ref="F307:G307"/>
    <mergeCell ref="N306:P306"/>
    <mergeCell ref="A314:E314"/>
    <mergeCell ref="F314:G314"/>
    <mergeCell ref="H312:J312"/>
    <mergeCell ref="N309:P309"/>
    <mergeCell ref="H275:J275"/>
    <mergeCell ref="H278:J278"/>
    <mergeCell ref="A294:E294"/>
    <mergeCell ref="F294:G294"/>
    <mergeCell ref="A278:E278"/>
    <mergeCell ref="F278:G278"/>
    <mergeCell ref="H285:J285"/>
    <mergeCell ref="H277:J277"/>
    <mergeCell ref="A276:E276"/>
    <mergeCell ref="F276:G276"/>
    <mergeCell ref="H276:J276"/>
    <mergeCell ref="K276:M276"/>
    <mergeCell ref="K278:M278"/>
    <mergeCell ref="N276:P276"/>
    <mergeCell ref="A287:E287"/>
    <mergeCell ref="F287:G287"/>
    <mergeCell ref="H287:J287"/>
    <mergeCell ref="K287:M287"/>
    <mergeCell ref="N289:P289"/>
    <mergeCell ref="N278:P278"/>
    <mergeCell ref="N281:P281"/>
    <mergeCell ref="F277:G277"/>
    <mergeCell ref="F291:G291"/>
    <mergeCell ref="H291:J291"/>
    <mergeCell ref="K291:M291"/>
    <mergeCell ref="N291:P291"/>
    <mergeCell ref="A292:E292"/>
    <mergeCell ref="F292:G292"/>
    <mergeCell ref="H292:J292"/>
    <mergeCell ref="K292:M292"/>
    <mergeCell ref="N292:P292"/>
    <mergeCell ref="H288:J288"/>
    <mergeCell ref="M237:P237"/>
    <mergeCell ref="M246:P246"/>
    <mergeCell ref="E244:P244"/>
    <mergeCell ref="E242:H242"/>
    <mergeCell ref="E246:H246"/>
    <mergeCell ref="I246:L246"/>
    <mergeCell ref="M238:P238"/>
    <mergeCell ref="A242:D242"/>
    <mergeCell ref="E238:H238"/>
    <mergeCell ref="M241:P241"/>
    <mergeCell ref="M240:P240"/>
    <mergeCell ref="A264:E264"/>
    <mergeCell ref="F264:G264"/>
    <mergeCell ref="F257:G257"/>
    <mergeCell ref="A258:E258"/>
    <mergeCell ref="A247:D247"/>
    <mergeCell ref="N260:P260"/>
    <mergeCell ref="H255:J255"/>
    <mergeCell ref="K255:M255"/>
    <mergeCell ref="F254:G254"/>
    <mergeCell ref="F258:G258"/>
    <mergeCell ref="H258:J258"/>
    <mergeCell ref="A260:E260"/>
    <mergeCell ref="N257:P257"/>
    <mergeCell ref="E241:H241"/>
    <mergeCell ref="E245:P245"/>
    <mergeCell ref="A248:P248"/>
    <mergeCell ref="N256:P256"/>
    <mergeCell ref="A259:E259"/>
    <mergeCell ref="A273:E273"/>
    <mergeCell ref="F273:G273"/>
    <mergeCell ref="H273:J273"/>
    <mergeCell ref="K273:M273"/>
    <mergeCell ref="F262:G262"/>
    <mergeCell ref="A256:E256"/>
    <mergeCell ref="F259:G259"/>
    <mergeCell ref="H261:J261"/>
    <mergeCell ref="I239:L239"/>
    <mergeCell ref="H263:J263"/>
    <mergeCell ref="K263:M263"/>
    <mergeCell ref="N263:P263"/>
    <mergeCell ref="H259:J259"/>
    <mergeCell ref="K259:M259"/>
    <mergeCell ref="F261:G261"/>
    <mergeCell ref="A255:E255"/>
    <mergeCell ref="N258:P258"/>
    <mergeCell ref="K258:M258"/>
    <mergeCell ref="A252:P252"/>
    <mergeCell ref="A253:P253"/>
    <mergeCell ref="G209:P209"/>
    <mergeCell ref="I223:L223"/>
    <mergeCell ref="A45:J45"/>
    <mergeCell ref="A46:J46"/>
    <mergeCell ref="A47:J47"/>
    <mergeCell ref="A48:J48"/>
    <mergeCell ref="A49:J49"/>
    <mergeCell ref="A50:J50"/>
    <mergeCell ref="A51:J51"/>
    <mergeCell ref="A52:J52"/>
    <mergeCell ref="A58:J58"/>
    <mergeCell ref="A59:J59"/>
    <mergeCell ref="K64:P64"/>
    <mergeCell ref="A60:J60"/>
    <mergeCell ref="A61:J61"/>
    <mergeCell ref="A53:J53"/>
    <mergeCell ref="O49:P49"/>
    <mergeCell ref="K55:L55"/>
    <mergeCell ref="O48:P48"/>
    <mergeCell ref="G71:J71"/>
    <mergeCell ref="A81:F81"/>
    <mergeCell ref="A156:P156"/>
    <mergeCell ref="A157:P157"/>
    <mergeCell ref="A158:P158"/>
    <mergeCell ref="A166:P166"/>
    <mergeCell ref="A197:P197"/>
    <mergeCell ref="N97:P97"/>
    <mergeCell ref="K88:M88"/>
    <mergeCell ref="K84:P84"/>
    <mergeCell ref="O45:P45"/>
    <mergeCell ref="O46:P46"/>
    <mergeCell ref="O47:P47"/>
    <mergeCell ref="N255:P255"/>
    <mergeCell ref="N254:P254"/>
    <mergeCell ref="E247:H247"/>
    <mergeCell ref="A240:D240"/>
    <mergeCell ref="A232:D232"/>
    <mergeCell ref="M233:P233"/>
    <mergeCell ref="A233:D233"/>
    <mergeCell ref="E233:H233"/>
    <mergeCell ref="I233:L233"/>
    <mergeCell ref="A245:D245"/>
    <mergeCell ref="A241:D241"/>
    <mergeCell ref="M243:P243"/>
    <mergeCell ref="A239:D239"/>
    <mergeCell ref="K257:M257"/>
    <mergeCell ref="E234:H234"/>
    <mergeCell ref="F263:G263"/>
    <mergeCell ref="A262:E262"/>
    <mergeCell ref="A249:P249"/>
    <mergeCell ref="A250:P250"/>
    <mergeCell ref="K262:M262"/>
    <mergeCell ref="A263:E263"/>
    <mergeCell ref="F256:G256"/>
    <mergeCell ref="M247:P247"/>
    <mergeCell ref="H256:J256"/>
    <mergeCell ref="K256:M256"/>
    <mergeCell ref="A254:E254"/>
    <mergeCell ref="H257:J257"/>
    <mergeCell ref="M239:P239"/>
    <mergeCell ref="A261:E261"/>
    <mergeCell ref="N261:P261"/>
    <mergeCell ref="A246:D246"/>
    <mergeCell ref="H254:J254"/>
    <mergeCell ref="S189:T189"/>
    <mergeCell ref="A189:P189"/>
    <mergeCell ref="A182:E182"/>
    <mergeCell ref="A181:P181"/>
    <mergeCell ref="A177:P177"/>
    <mergeCell ref="A147:P147"/>
    <mergeCell ref="S182:T182"/>
    <mergeCell ref="S162:T162"/>
    <mergeCell ref="S212:T212"/>
    <mergeCell ref="S210:T210"/>
    <mergeCell ref="A208:P208"/>
    <mergeCell ref="G205:P205"/>
    <mergeCell ref="G207:P207"/>
    <mergeCell ref="S184:T184"/>
    <mergeCell ref="S179:T179"/>
    <mergeCell ref="S168:T168"/>
    <mergeCell ref="S169:T169"/>
    <mergeCell ref="S180:T180"/>
    <mergeCell ref="S211:T211"/>
    <mergeCell ref="S191:T191"/>
    <mergeCell ref="S171:T171"/>
    <mergeCell ref="A151:P151"/>
    <mergeCell ref="A160:P160"/>
    <mergeCell ref="A173:P173"/>
    <mergeCell ref="A183:P183"/>
    <mergeCell ref="A184:P184"/>
    <mergeCell ref="I182:P182"/>
    <mergeCell ref="A178:P178"/>
    <mergeCell ref="A170:P170"/>
    <mergeCell ref="A174:P174"/>
    <mergeCell ref="A175:P175"/>
    <mergeCell ref="A179:P179"/>
    <mergeCell ref="S248:T248"/>
    <mergeCell ref="A244:D244"/>
    <mergeCell ref="I218:L218"/>
    <mergeCell ref="M218:P218"/>
    <mergeCell ref="A218:D218"/>
    <mergeCell ref="E218:H218"/>
    <mergeCell ref="S240:T240"/>
    <mergeCell ref="S239:T239"/>
    <mergeCell ref="A224:D224"/>
    <mergeCell ref="E224:H224"/>
    <mergeCell ref="I224:L224"/>
    <mergeCell ref="S220:T220"/>
    <mergeCell ref="I219:L219"/>
    <mergeCell ref="A222:D222"/>
    <mergeCell ref="A228:D228"/>
    <mergeCell ref="E243:H243"/>
    <mergeCell ref="A238:D238"/>
    <mergeCell ref="I235:L235"/>
    <mergeCell ref="M226:P226"/>
    <mergeCell ref="A227:D227"/>
    <mergeCell ref="A220:D220"/>
    <mergeCell ref="A226:D226"/>
    <mergeCell ref="E229:H229"/>
    <mergeCell ref="M228:P228"/>
    <mergeCell ref="S223:T223"/>
    <mergeCell ref="I221:L221"/>
    <mergeCell ref="E222:H222"/>
    <mergeCell ref="I222:L222"/>
    <mergeCell ref="A236:D236"/>
    <mergeCell ref="E236:H236"/>
    <mergeCell ref="I236:L236"/>
    <mergeCell ref="M236:P236"/>
    <mergeCell ref="S215:T215"/>
    <mergeCell ref="M227:P227"/>
    <mergeCell ref="N117:P117"/>
    <mergeCell ref="M222:P222"/>
    <mergeCell ref="I247:L247"/>
    <mergeCell ref="A257:E257"/>
    <mergeCell ref="AF11:AG11"/>
    <mergeCell ref="AF12:AG12"/>
    <mergeCell ref="S22:U22"/>
    <mergeCell ref="N22:R22"/>
    <mergeCell ref="N21:R21"/>
    <mergeCell ref="S21:U21"/>
    <mergeCell ref="S118:T118"/>
    <mergeCell ref="K85:M85"/>
    <mergeCell ref="K80:P80"/>
    <mergeCell ref="G85:J85"/>
    <mergeCell ref="K91:M91"/>
    <mergeCell ref="K93:M93"/>
    <mergeCell ref="K94:M94"/>
    <mergeCell ref="G102:J102"/>
    <mergeCell ref="N101:P101"/>
    <mergeCell ref="K76:P76"/>
    <mergeCell ref="S121:T121"/>
    <mergeCell ref="S116:T116"/>
    <mergeCell ref="N113:P113"/>
    <mergeCell ref="N109:P109"/>
    <mergeCell ref="A56:J56"/>
    <mergeCell ref="A57:J57"/>
    <mergeCell ref="S208:T208"/>
    <mergeCell ref="A169:P169"/>
    <mergeCell ref="A155:P155"/>
    <mergeCell ref="S64:T64"/>
    <mergeCell ref="S79:T79"/>
    <mergeCell ref="K83:P83"/>
    <mergeCell ref="K92:M92"/>
    <mergeCell ref="S86:T86"/>
    <mergeCell ref="S85:T85"/>
    <mergeCell ref="S90:T90"/>
    <mergeCell ref="S95:T95"/>
    <mergeCell ref="S101:T101"/>
    <mergeCell ref="S98:T98"/>
    <mergeCell ref="S96:T96"/>
    <mergeCell ref="S103:T103"/>
    <mergeCell ref="S88:T88"/>
    <mergeCell ref="S91:T91"/>
    <mergeCell ref="S92:T92"/>
    <mergeCell ref="S93:T93"/>
    <mergeCell ref="S77:T77"/>
    <mergeCell ref="K58:L58"/>
    <mergeCell ref="K59:L59"/>
    <mergeCell ref="K66:P66"/>
    <mergeCell ref="N95:P95"/>
    <mergeCell ref="S66:T66"/>
    <mergeCell ref="S76:T76"/>
    <mergeCell ref="S83:T83"/>
    <mergeCell ref="S72:T72"/>
    <mergeCell ref="S68:T68"/>
    <mergeCell ref="S71:T71"/>
    <mergeCell ref="N96:P96"/>
    <mergeCell ref="AD12:AE12"/>
    <mergeCell ref="S75:T75"/>
    <mergeCell ref="S104:T104"/>
    <mergeCell ref="S100:T100"/>
    <mergeCell ref="S82:T82"/>
    <mergeCell ref="S78:T78"/>
    <mergeCell ref="S81:T81"/>
    <mergeCell ref="S97:T97"/>
    <mergeCell ref="G93:J93"/>
    <mergeCell ref="N100:P100"/>
    <mergeCell ref="K100:M100"/>
    <mergeCell ref="G91:J91"/>
    <mergeCell ref="K95:M95"/>
    <mergeCell ref="N90:P90"/>
    <mergeCell ref="S94:T94"/>
    <mergeCell ref="S80:T80"/>
    <mergeCell ref="A100:E100"/>
    <mergeCell ref="A97:E97"/>
    <mergeCell ref="K98:M98"/>
    <mergeCell ref="K99:M99"/>
    <mergeCell ref="G97:J97"/>
    <mergeCell ref="G98:J98"/>
    <mergeCell ref="K104:M104"/>
    <mergeCell ref="A82:F82"/>
    <mergeCell ref="G83:J83"/>
    <mergeCell ref="G74:J74"/>
    <mergeCell ref="G77:J77"/>
    <mergeCell ref="G92:J92"/>
    <mergeCell ref="K90:M90"/>
    <mergeCell ref="K97:M97"/>
    <mergeCell ref="A76:F76"/>
    <mergeCell ref="A77:F77"/>
    <mergeCell ref="G21:M21"/>
    <mergeCell ref="A22:F22"/>
    <mergeCell ref="G22:M22"/>
    <mergeCell ref="K43:L43"/>
    <mergeCell ref="S74:T74"/>
    <mergeCell ref="G75:J75"/>
    <mergeCell ref="M57:N57"/>
    <mergeCell ref="N105:P105"/>
    <mergeCell ref="G106:J106"/>
    <mergeCell ref="K109:M109"/>
    <mergeCell ref="G105:J105"/>
    <mergeCell ref="A73:F73"/>
    <mergeCell ref="A72:F72"/>
    <mergeCell ref="A62:P62"/>
    <mergeCell ref="A63:P63"/>
    <mergeCell ref="K70:P70"/>
    <mergeCell ref="K71:P71"/>
    <mergeCell ref="A74:F74"/>
    <mergeCell ref="A65:F65"/>
    <mergeCell ref="A66:F66"/>
    <mergeCell ref="A68:F68"/>
    <mergeCell ref="A69:F69"/>
    <mergeCell ref="A109:E109"/>
    <mergeCell ref="G109:J109"/>
    <mergeCell ref="K108:M108"/>
    <mergeCell ref="G81:J81"/>
    <mergeCell ref="G78:J78"/>
    <mergeCell ref="A79:F79"/>
    <mergeCell ref="G86:J86"/>
    <mergeCell ref="A90:E90"/>
    <mergeCell ref="K86:M86"/>
    <mergeCell ref="A96:E96"/>
    <mergeCell ref="A67:F67"/>
    <mergeCell ref="A89:E89"/>
    <mergeCell ref="K81:P81"/>
    <mergeCell ref="N92:P92"/>
    <mergeCell ref="N86:P86"/>
    <mergeCell ref="G82:J82"/>
    <mergeCell ref="AD11:AE11"/>
    <mergeCell ref="R16:S16"/>
    <mergeCell ref="S26:T26"/>
    <mergeCell ref="S27:T27"/>
    <mergeCell ref="S28:T28"/>
    <mergeCell ref="S29:T29"/>
    <mergeCell ref="S60:T60"/>
    <mergeCell ref="S58:T58"/>
    <mergeCell ref="M60:N60"/>
    <mergeCell ref="A64:F64"/>
    <mergeCell ref="A75:F75"/>
    <mergeCell ref="G68:J68"/>
    <mergeCell ref="S70:T70"/>
    <mergeCell ref="O58:P58"/>
    <mergeCell ref="K57:L57"/>
    <mergeCell ref="K56:L56"/>
    <mergeCell ref="S37:T37"/>
    <mergeCell ref="S65:T65"/>
    <mergeCell ref="G70:J70"/>
    <mergeCell ref="S67:T67"/>
    <mergeCell ref="O59:P59"/>
    <mergeCell ref="K68:P68"/>
    <mergeCell ref="K26:L26"/>
    <mergeCell ref="K27:L27"/>
    <mergeCell ref="K28:L28"/>
    <mergeCell ref="K29:L29"/>
    <mergeCell ref="A92:E92"/>
    <mergeCell ref="A87:E87"/>
    <mergeCell ref="A88:E88"/>
    <mergeCell ref="A70:F70"/>
    <mergeCell ref="A71:F71"/>
    <mergeCell ref="A80:F80"/>
    <mergeCell ref="G89:J89"/>
    <mergeCell ref="K87:M87"/>
    <mergeCell ref="A93:E93"/>
    <mergeCell ref="A85:E85"/>
    <mergeCell ref="N93:P93"/>
    <mergeCell ref="A86:E86"/>
    <mergeCell ref="K77:P77"/>
    <mergeCell ref="G87:J87"/>
    <mergeCell ref="G88:J88"/>
    <mergeCell ref="K89:M89"/>
    <mergeCell ref="A91:E91"/>
    <mergeCell ref="G72:J72"/>
    <mergeCell ref="G117:J117"/>
    <mergeCell ref="N104:P104"/>
    <mergeCell ref="A112:E112"/>
    <mergeCell ref="G112:J112"/>
    <mergeCell ref="A106:E106"/>
    <mergeCell ref="A94:E94"/>
    <mergeCell ref="A95:E95"/>
    <mergeCell ref="N106:P106"/>
    <mergeCell ref="N108:P108"/>
    <mergeCell ref="K96:M96"/>
    <mergeCell ref="N116:P116"/>
    <mergeCell ref="G107:J107"/>
    <mergeCell ref="K105:M105"/>
    <mergeCell ref="N98:P98"/>
    <mergeCell ref="A99:E99"/>
    <mergeCell ref="K115:M115"/>
    <mergeCell ref="N99:P99"/>
    <mergeCell ref="G115:J115"/>
    <mergeCell ref="N110:P110"/>
    <mergeCell ref="K106:M106"/>
    <mergeCell ref="G113:J113"/>
    <mergeCell ref="K113:M113"/>
    <mergeCell ref="A98:E98"/>
    <mergeCell ref="K114:M114"/>
    <mergeCell ref="A116:E116"/>
    <mergeCell ref="A105:E105"/>
    <mergeCell ref="G111:J111"/>
    <mergeCell ref="A102:E102"/>
    <mergeCell ref="A108:E108"/>
    <mergeCell ref="G108:J108"/>
    <mergeCell ref="A103:E103"/>
    <mergeCell ref="A104:E104"/>
    <mergeCell ref="K117:M117"/>
    <mergeCell ref="N115:P115"/>
    <mergeCell ref="K107:M107"/>
    <mergeCell ref="A111:E111"/>
    <mergeCell ref="H267:J267"/>
    <mergeCell ref="K267:M267"/>
    <mergeCell ref="N267:P267"/>
    <mergeCell ref="K264:M264"/>
    <mergeCell ref="G118:J118"/>
    <mergeCell ref="N270:P270"/>
    <mergeCell ref="A117:E117"/>
    <mergeCell ref="N264:P264"/>
    <mergeCell ref="N266:P266"/>
    <mergeCell ref="A267:E267"/>
    <mergeCell ref="F267:G267"/>
    <mergeCell ref="H266:J266"/>
    <mergeCell ref="K266:M266"/>
    <mergeCell ref="M225:P225"/>
    <mergeCell ref="I227:L227"/>
    <mergeCell ref="A168:P168"/>
    <mergeCell ref="G114:J114"/>
    <mergeCell ref="K112:M112"/>
    <mergeCell ref="A115:E115"/>
    <mergeCell ref="A110:E110"/>
    <mergeCell ref="G110:J110"/>
    <mergeCell ref="N107:P107"/>
    <mergeCell ref="A127:P127"/>
    <mergeCell ref="A128:P128"/>
    <mergeCell ref="A129:P129"/>
    <mergeCell ref="A130:P130"/>
    <mergeCell ref="A131:P131"/>
    <mergeCell ref="A132:P132"/>
    <mergeCell ref="A114:E114"/>
    <mergeCell ref="M26:N26"/>
    <mergeCell ref="M27:N27"/>
    <mergeCell ref="M28:N28"/>
    <mergeCell ref="M29:N29"/>
    <mergeCell ref="O26:P26"/>
    <mergeCell ref="O27:P27"/>
    <mergeCell ref="O28:P28"/>
    <mergeCell ref="O29:P29"/>
    <mergeCell ref="N91:P91"/>
    <mergeCell ref="G94:J94"/>
    <mergeCell ref="K33:L33"/>
    <mergeCell ref="G80:J80"/>
    <mergeCell ref="G90:J90"/>
    <mergeCell ref="G65:J65"/>
    <mergeCell ref="K75:P75"/>
    <mergeCell ref="G69:J69"/>
    <mergeCell ref="G73:J73"/>
    <mergeCell ref="K82:P82"/>
    <mergeCell ref="K61:L61"/>
    <mergeCell ref="O61:P61"/>
    <mergeCell ref="G64:J64"/>
    <mergeCell ref="G79:J79"/>
    <mergeCell ref="K47:L47"/>
    <mergeCell ref="G66:J66"/>
    <mergeCell ref="G103:J103"/>
    <mergeCell ref="K111:M111"/>
    <mergeCell ref="N111:P111"/>
    <mergeCell ref="A101:E101"/>
    <mergeCell ref="K101:M101"/>
    <mergeCell ref="G101:J101"/>
    <mergeCell ref="G67:J67"/>
    <mergeCell ref="A42:J42"/>
    <mergeCell ref="K51:L51"/>
    <mergeCell ref="K52:L52"/>
    <mergeCell ref="A40:J40"/>
    <mergeCell ref="A41:J41"/>
    <mergeCell ref="K50:L50"/>
    <mergeCell ref="O43:P43"/>
    <mergeCell ref="N418:P418"/>
    <mergeCell ref="S419:T419"/>
    <mergeCell ref="S420:T420"/>
    <mergeCell ref="M435:P435"/>
    <mergeCell ref="A118:E118"/>
    <mergeCell ref="M55:N55"/>
    <mergeCell ref="A44:J44"/>
    <mergeCell ref="K65:P65"/>
    <mergeCell ref="M61:N61"/>
    <mergeCell ref="M58:N58"/>
    <mergeCell ref="O60:P60"/>
    <mergeCell ref="A55:J55"/>
    <mergeCell ref="A277:E277"/>
    <mergeCell ref="A284:E284"/>
    <mergeCell ref="K280:M280"/>
    <mergeCell ref="A265:E265"/>
    <mergeCell ref="F265:G265"/>
    <mergeCell ref="H265:J265"/>
    <mergeCell ref="K265:M265"/>
    <mergeCell ref="G116:J116"/>
    <mergeCell ref="K116:M116"/>
    <mergeCell ref="N114:P114"/>
    <mergeCell ref="A148:P148"/>
    <mergeCell ref="A153:P153"/>
    <mergeCell ref="A150:P150"/>
    <mergeCell ref="S441:T441"/>
    <mergeCell ref="S422:T422"/>
    <mergeCell ref="S417:T417"/>
    <mergeCell ref="S421:T421"/>
    <mergeCell ref="N414:P414"/>
    <mergeCell ref="N413:P413"/>
    <mergeCell ref="K412:M412"/>
    <mergeCell ref="J431:L431"/>
    <mergeCell ref="J430:L430"/>
    <mergeCell ref="M430:P430"/>
    <mergeCell ref="J428:L428"/>
    <mergeCell ref="M428:P428"/>
    <mergeCell ref="N423:P423"/>
    <mergeCell ref="K415:M415"/>
    <mergeCell ref="K424:M424"/>
    <mergeCell ref="N424:P424"/>
    <mergeCell ref="S424:T424"/>
    <mergeCell ref="S423:T423"/>
    <mergeCell ref="M436:P436"/>
    <mergeCell ref="K423:M423"/>
    <mergeCell ref="M437:P437"/>
    <mergeCell ref="N421:P421"/>
    <mergeCell ref="J429:L429"/>
    <mergeCell ref="J433:L433"/>
    <mergeCell ref="M433:P433"/>
    <mergeCell ref="M427:P427"/>
    <mergeCell ref="J427:L427"/>
    <mergeCell ref="N415:P415"/>
    <mergeCell ref="K416:M416"/>
    <mergeCell ref="A416:J416"/>
    <mergeCell ref="A417:J417"/>
    <mergeCell ref="A418:J418"/>
    <mergeCell ref="E228:H228"/>
    <mergeCell ref="A198:P198"/>
    <mergeCell ref="G99:J99"/>
    <mergeCell ref="G104:J104"/>
    <mergeCell ref="N103:P103"/>
    <mergeCell ref="M56:N56"/>
    <mergeCell ref="K110:M110"/>
    <mergeCell ref="N112:P112"/>
    <mergeCell ref="A113:E113"/>
    <mergeCell ref="E225:H225"/>
    <mergeCell ref="I225:L225"/>
    <mergeCell ref="E226:H226"/>
    <mergeCell ref="A152:P152"/>
    <mergeCell ref="A154:P154"/>
    <mergeCell ref="F270:G270"/>
    <mergeCell ref="A107:E107"/>
    <mergeCell ref="K270:M270"/>
    <mergeCell ref="A268:E268"/>
    <mergeCell ref="H269:J269"/>
    <mergeCell ref="K269:M269"/>
    <mergeCell ref="N268:P268"/>
    <mergeCell ref="A269:E269"/>
    <mergeCell ref="F269:G269"/>
    <mergeCell ref="F268:G268"/>
    <mergeCell ref="H268:J268"/>
    <mergeCell ref="A121:P121"/>
    <mergeCell ref="A122:P122"/>
    <mergeCell ref="A123:P123"/>
    <mergeCell ref="A124:P124"/>
    <mergeCell ref="A125:P125"/>
    <mergeCell ref="A126:P126"/>
    <mergeCell ref="M224:P224"/>
    <mergeCell ref="K281:M281"/>
    <mergeCell ref="A282:E282"/>
    <mergeCell ref="A283:E283"/>
    <mergeCell ref="A286:E286"/>
    <mergeCell ref="F286:G286"/>
    <mergeCell ref="A279:E279"/>
    <mergeCell ref="F279:G279"/>
    <mergeCell ref="H279:J279"/>
    <mergeCell ref="A280:E280"/>
    <mergeCell ref="F280:G280"/>
    <mergeCell ref="H280:J280"/>
    <mergeCell ref="N283:P283"/>
    <mergeCell ref="K286:M286"/>
    <mergeCell ref="N286:P286"/>
    <mergeCell ref="F284:G284"/>
    <mergeCell ref="N265:P265"/>
    <mergeCell ref="A266:E266"/>
    <mergeCell ref="F266:G266"/>
    <mergeCell ref="F271:G271"/>
    <mergeCell ref="H271:J271"/>
    <mergeCell ref="K271:M271"/>
    <mergeCell ref="N271:P271"/>
    <mergeCell ref="A274:E274"/>
    <mergeCell ref="K274:M274"/>
    <mergeCell ref="N274:P274"/>
    <mergeCell ref="N275:P275"/>
    <mergeCell ref="K275:M275"/>
    <mergeCell ref="F274:G274"/>
    <mergeCell ref="H274:J274"/>
    <mergeCell ref="K277:M277"/>
    <mergeCell ref="A275:E275"/>
    <mergeCell ref="F275:G275"/>
    <mergeCell ref="S447:T447"/>
    <mergeCell ref="S437:T437"/>
    <mergeCell ref="J448:L448"/>
    <mergeCell ref="J450:L450"/>
    <mergeCell ref="N290:P290"/>
    <mergeCell ref="A291:E291"/>
    <mergeCell ref="K407:M407"/>
    <mergeCell ref="A281:E281"/>
    <mergeCell ref="A399:P399"/>
    <mergeCell ref="A400:P400"/>
    <mergeCell ref="H284:J284"/>
    <mergeCell ref="K284:M284"/>
    <mergeCell ref="A293:E293"/>
    <mergeCell ref="F293:G293"/>
    <mergeCell ref="H293:J293"/>
    <mergeCell ref="K293:M293"/>
    <mergeCell ref="N293:P293"/>
    <mergeCell ref="H317:J317"/>
    <mergeCell ref="A306:E306"/>
    <mergeCell ref="F306:G306"/>
    <mergeCell ref="H306:J306"/>
    <mergeCell ref="A308:E308"/>
    <mergeCell ref="F308:G308"/>
    <mergeCell ref="A296:E296"/>
    <mergeCell ref="F296:G296"/>
    <mergeCell ref="H296:J296"/>
    <mergeCell ref="K296:M296"/>
    <mergeCell ref="J432:L432"/>
    <mergeCell ref="M432:P432"/>
    <mergeCell ref="S434:T434"/>
    <mergeCell ref="M431:P431"/>
    <mergeCell ref="S436:T436"/>
    <mergeCell ref="S462:T462"/>
    <mergeCell ref="S461:T461"/>
    <mergeCell ref="S453:T453"/>
    <mergeCell ref="J434:L434"/>
    <mergeCell ref="M434:P434"/>
    <mergeCell ref="J439:L439"/>
    <mergeCell ref="M439:P439"/>
    <mergeCell ref="S458:T458"/>
    <mergeCell ref="J444:L444"/>
    <mergeCell ref="M444:P444"/>
    <mergeCell ref="J442:L442"/>
    <mergeCell ref="M450:P450"/>
    <mergeCell ref="J445:L445"/>
    <mergeCell ref="M446:P446"/>
    <mergeCell ref="M440:P440"/>
    <mergeCell ref="D454:P454"/>
    <mergeCell ref="J457:P457"/>
    <mergeCell ref="M448:P448"/>
    <mergeCell ref="M451:P451"/>
    <mergeCell ref="J451:L451"/>
    <mergeCell ref="S448:T448"/>
    <mergeCell ref="J443:L443"/>
    <mergeCell ref="M443:P443"/>
    <mergeCell ref="J436:L436"/>
    <mergeCell ref="A451:I451"/>
    <mergeCell ref="A442:I442"/>
    <mergeCell ref="A443:I443"/>
    <mergeCell ref="J461:P461"/>
    <mergeCell ref="A453:C453"/>
    <mergeCell ref="A456:C456"/>
    <mergeCell ref="A452:C452"/>
    <mergeCell ref="J435:L435"/>
    <mergeCell ref="K268:M268"/>
    <mergeCell ref="A270:E270"/>
    <mergeCell ref="H270:J270"/>
    <mergeCell ref="A271:E271"/>
    <mergeCell ref="N269:P269"/>
    <mergeCell ref="J447:L447"/>
    <mergeCell ref="M447:P447"/>
    <mergeCell ref="A288:E288"/>
    <mergeCell ref="F288:G288"/>
    <mergeCell ref="J446:L446"/>
    <mergeCell ref="A347:P347"/>
    <mergeCell ref="M445:P445"/>
    <mergeCell ref="N321:P321"/>
    <mergeCell ref="A303:E303"/>
    <mergeCell ref="H314:J314"/>
    <mergeCell ref="K314:M314"/>
    <mergeCell ref="A302:E302"/>
    <mergeCell ref="F302:G302"/>
    <mergeCell ref="A290:E290"/>
    <mergeCell ref="F290:G290"/>
    <mergeCell ref="H290:J290"/>
    <mergeCell ref="N296:P296"/>
    <mergeCell ref="A297:E297"/>
    <mergeCell ref="A364:P364"/>
    <mergeCell ref="A365:P365"/>
    <mergeCell ref="A366:P366"/>
    <mergeCell ref="J440:L440"/>
    <mergeCell ref="J437:L437"/>
    <mergeCell ref="A285:E285"/>
    <mergeCell ref="F285:G285"/>
    <mergeCell ref="F281:G281"/>
    <mergeCell ref="H281:J281"/>
    <mergeCell ref="J464:P464"/>
    <mergeCell ref="J465:P465"/>
    <mergeCell ref="D452:P452"/>
    <mergeCell ref="D453:P453"/>
    <mergeCell ref="A485:C485"/>
    <mergeCell ref="D485:P485"/>
    <mergeCell ref="J458:P458"/>
    <mergeCell ref="J459:P459"/>
    <mergeCell ref="J477:P477"/>
    <mergeCell ref="A475:I475"/>
    <mergeCell ref="A476:I476"/>
    <mergeCell ref="A464:I464"/>
    <mergeCell ref="A465:I465"/>
    <mergeCell ref="A466:I466"/>
    <mergeCell ref="A473:I473"/>
    <mergeCell ref="A474:I474"/>
    <mergeCell ref="A478:I478"/>
    <mergeCell ref="J470:P470"/>
    <mergeCell ref="J467:P467"/>
    <mergeCell ref="J468:P468"/>
    <mergeCell ref="D455:P455"/>
    <mergeCell ref="A481:D481"/>
    <mergeCell ref="J478:P478"/>
    <mergeCell ref="J466:P466"/>
    <mergeCell ref="J476:P476"/>
    <mergeCell ref="A457:F457"/>
    <mergeCell ref="H457:I457"/>
    <mergeCell ref="A458:I458"/>
    <mergeCell ref="A477:I477"/>
    <mergeCell ref="A454:C454"/>
    <mergeCell ref="A455:C455"/>
    <mergeCell ref="A462:I462"/>
    <mergeCell ref="A463:I463"/>
    <mergeCell ref="J462:P462"/>
    <mergeCell ref="A289:E289"/>
    <mergeCell ref="S444:T444"/>
    <mergeCell ref="S445:T445"/>
    <mergeCell ref="M442:P442"/>
    <mergeCell ref="S133:T133"/>
    <mergeCell ref="S134:T134"/>
    <mergeCell ref="G483:I483"/>
    <mergeCell ref="S466:T466"/>
    <mergeCell ref="S480:T480"/>
    <mergeCell ref="E481:F481"/>
    <mergeCell ref="G481:I481"/>
    <mergeCell ref="A482:D482"/>
    <mergeCell ref="A459:I459"/>
    <mergeCell ref="A460:I460"/>
    <mergeCell ref="A461:I461"/>
    <mergeCell ref="M441:P441"/>
    <mergeCell ref="J449:L449"/>
    <mergeCell ref="M449:P449"/>
    <mergeCell ref="A272:E272"/>
    <mergeCell ref="F272:G272"/>
    <mergeCell ref="H272:J272"/>
    <mergeCell ref="J441:L441"/>
    <mergeCell ref="S467:T467"/>
    <mergeCell ref="J481:P481"/>
    <mergeCell ref="A353:P353"/>
    <mergeCell ref="A354:P354"/>
    <mergeCell ref="D456:P456"/>
    <mergeCell ref="J463:P463"/>
    <mergeCell ref="J460:P460"/>
    <mergeCell ref="S470:T470"/>
    <mergeCell ref="S468:T468"/>
    <mergeCell ref="S491:T491"/>
    <mergeCell ref="S492:T492"/>
    <mergeCell ref="S477:T477"/>
    <mergeCell ref="S476:T476"/>
    <mergeCell ref="S471:T471"/>
    <mergeCell ref="J475:P475"/>
    <mergeCell ref="A483:D483"/>
    <mergeCell ref="A479:F479"/>
    <mergeCell ref="A480:F480"/>
    <mergeCell ref="E483:F483"/>
    <mergeCell ref="D492:P492"/>
    <mergeCell ref="A493:C493"/>
    <mergeCell ref="D490:P490"/>
    <mergeCell ref="A488:C488"/>
    <mergeCell ref="A486:C486"/>
    <mergeCell ref="D486:P486"/>
    <mergeCell ref="J482:P482"/>
    <mergeCell ref="G482:I482"/>
    <mergeCell ref="E482:F482"/>
    <mergeCell ref="D487:P487"/>
    <mergeCell ref="J483:P483"/>
    <mergeCell ref="J484:P484"/>
    <mergeCell ref="A487:C487"/>
    <mergeCell ref="J471:P471"/>
    <mergeCell ref="J472:P472"/>
    <mergeCell ref="G479:I479"/>
    <mergeCell ref="G480:I480"/>
    <mergeCell ref="S469:T469"/>
    <mergeCell ref="A490:C490"/>
    <mergeCell ref="J473:P473"/>
    <mergeCell ref="S472:T472"/>
    <mergeCell ref="J479:P479"/>
    <mergeCell ref="J480:P480"/>
    <mergeCell ref="J474:P474"/>
    <mergeCell ref="S490:T490"/>
    <mergeCell ref="S482:T482"/>
    <mergeCell ref="A484:D484"/>
    <mergeCell ref="E484:F484"/>
    <mergeCell ref="G484:I484"/>
    <mergeCell ref="S488:T488"/>
    <mergeCell ref="A492:C492"/>
    <mergeCell ref="D488:P488"/>
    <mergeCell ref="D493:P493"/>
    <mergeCell ref="A489:C489"/>
    <mergeCell ref="D489:P489"/>
    <mergeCell ref="L507:P507"/>
    <mergeCell ref="A531:C531"/>
    <mergeCell ref="D536:G536"/>
    <mergeCell ref="A491:C491"/>
    <mergeCell ref="D491:P491"/>
    <mergeCell ref="A494:C494"/>
    <mergeCell ref="D494:P494"/>
    <mergeCell ref="D503:P503"/>
    <mergeCell ref="A504:C504"/>
    <mergeCell ref="D504:P504"/>
    <mergeCell ref="F520:H520"/>
    <mergeCell ref="F521:H521"/>
    <mergeCell ref="F522:H522"/>
    <mergeCell ref="F523:H523"/>
    <mergeCell ref="F524:H524"/>
    <mergeCell ref="D514:E514"/>
    <mergeCell ref="D515:E515"/>
    <mergeCell ref="D516:E516"/>
    <mergeCell ref="L532:P532"/>
    <mergeCell ref="L533:P533"/>
    <mergeCell ref="I549:P549"/>
    <mergeCell ref="F547:H547"/>
    <mergeCell ref="A547:E547"/>
    <mergeCell ref="I547:P547"/>
    <mergeCell ref="D532:G532"/>
    <mergeCell ref="A532:C532"/>
    <mergeCell ref="A540:C540"/>
    <mergeCell ref="D540:G540"/>
    <mergeCell ref="L534:P534"/>
    <mergeCell ref="H535:K535"/>
    <mergeCell ref="H538:K538"/>
    <mergeCell ref="L538:P538"/>
    <mergeCell ref="H539:K539"/>
    <mergeCell ref="L539:P539"/>
    <mergeCell ref="D534:G534"/>
    <mergeCell ref="I548:P548"/>
    <mergeCell ref="A539:C539"/>
    <mergeCell ref="D535:G535"/>
    <mergeCell ref="H543:K543"/>
    <mergeCell ref="L543:P543"/>
    <mergeCell ref="H544:K544"/>
    <mergeCell ref="L544:P544"/>
    <mergeCell ref="D538:G538"/>
    <mergeCell ref="D539:G539"/>
    <mergeCell ref="A533:C533"/>
    <mergeCell ref="L536:P536"/>
    <mergeCell ref="D537:G537"/>
    <mergeCell ref="S537:T537"/>
    <mergeCell ref="S538:T538"/>
    <mergeCell ref="I573:P573"/>
    <mergeCell ref="A566:H566"/>
    <mergeCell ref="I566:P566"/>
    <mergeCell ref="A570:H570"/>
    <mergeCell ref="I570:P570"/>
    <mergeCell ref="A571:H571"/>
    <mergeCell ref="I571:P571"/>
    <mergeCell ref="S539:T539"/>
    <mergeCell ref="S540:T540"/>
    <mergeCell ref="S541:T541"/>
    <mergeCell ref="S542:T542"/>
    <mergeCell ref="S543:T543"/>
    <mergeCell ref="S544:T544"/>
    <mergeCell ref="H540:K540"/>
    <mergeCell ref="L540:P540"/>
    <mergeCell ref="A553:H553"/>
    <mergeCell ref="I553:P553"/>
    <mergeCell ref="A545:P545"/>
    <mergeCell ref="A546:P546"/>
    <mergeCell ref="A548:H548"/>
    <mergeCell ref="A549:H549"/>
    <mergeCell ref="A537:C537"/>
    <mergeCell ref="A538:C538"/>
    <mergeCell ref="D544:G544"/>
    <mergeCell ref="A554:H554"/>
    <mergeCell ref="H542:K542"/>
    <mergeCell ref="L542:P542"/>
    <mergeCell ref="L537:P537"/>
    <mergeCell ref="S562:T562"/>
    <mergeCell ref="S561:T561"/>
    <mergeCell ref="S577:T577"/>
    <mergeCell ref="S576:T576"/>
    <mergeCell ref="S574:T574"/>
    <mergeCell ref="F552:H552"/>
    <mergeCell ref="I552:P552"/>
    <mergeCell ref="D543:G543"/>
    <mergeCell ref="S565:T565"/>
    <mergeCell ref="S554:T554"/>
    <mergeCell ref="S553:T553"/>
    <mergeCell ref="S552:T552"/>
    <mergeCell ref="F577:H577"/>
    <mergeCell ref="I577:P577"/>
    <mergeCell ref="A578:H578"/>
    <mergeCell ref="I578:P578"/>
    <mergeCell ref="A579:H579"/>
    <mergeCell ref="I579:P579"/>
    <mergeCell ref="I554:P554"/>
    <mergeCell ref="I551:P551"/>
    <mergeCell ref="S578:T578"/>
    <mergeCell ref="A555:H555"/>
    <mergeCell ref="I555:P555"/>
    <mergeCell ref="S606:T606"/>
    <mergeCell ref="S607:T607"/>
    <mergeCell ref="A593:H593"/>
    <mergeCell ref="A594:H594"/>
    <mergeCell ref="A595:H595"/>
    <mergeCell ref="A596:H596"/>
    <mergeCell ref="A597:H597"/>
    <mergeCell ref="A598:H598"/>
    <mergeCell ref="A599:H599"/>
    <mergeCell ref="S564:T564"/>
    <mergeCell ref="S584:T584"/>
    <mergeCell ref="S583:T583"/>
    <mergeCell ref="S582:T582"/>
    <mergeCell ref="S581:T581"/>
    <mergeCell ref="A564:H564"/>
    <mergeCell ref="A569:H569"/>
    <mergeCell ref="I569:P569"/>
    <mergeCell ref="A567:E567"/>
    <mergeCell ref="F567:H567"/>
    <mergeCell ref="I567:P567"/>
    <mergeCell ref="I584:P584"/>
    <mergeCell ref="A585:H585"/>
    <mergeCell ref="I585:P585"/>
    <mergeCell ref="A586:H586"/>
    <mergeCell ref="I586:P586"/>
    <mergeCell ref="A582:E582"/>
    <mergeCell ref="F582:H582"/>
    <mergeCell ref="I557:P557"/>
    <mergeCell ref="A557:E557"/>
    <mergeCell ref="F557:H557"/>
    <mergeCell ref="A558:H558"/>
    <mergeCell ref="I558:P558"/>
    <mergeCell ref="A559:H559"/>
    <mergeCell ref="I559:P559"/>
    <mergeCell ref="A560:H560"/>
    <mergeCell ref="A575:H575"/>
    <mergeCell ref="I575:P575"/>
    <mergeCell ref="A576:H576"/>
    <mergeCell ref="I576:P576"/>
    <mergeCell ref="S601:T601"/>
    <mergeCell ref="I588:P588"/>
    <mergeCell ref="A589:H589"/>
    <mergeCell ref="I582:P582"/>
    <mergeCell ref="A583:H583"/>
    <mergeCell ref="I583:P583"/>
    <mergeCell ref="A584:H584"/>
    <mergeCell ref="S592:T592"/>
    <mergeCell ref="S591:T591"/>
    <mergeCell ref="S590:T590"/>
    <mergeCell ref="S589:T589"/>
    <mergeCell ref="S588:T588"/>
    <mergeCell ref="S587:T587"/>
    <mergeCell ref="I595:P595"/>
    <mergeCell ref="I596:P596"/>
    <mergeCell ref="I597:P597"/>
    <mergeCell ref="A591:H591"/>
    <mergeCell ref="I591:P591"/>
    <mergeCell ref="A592:H592"/>
    <mergeCell ref="I592:P592"/>
    <mergeCell ref="I599:P599"/>
    <mergeCell ref="I600:P600"/>
    <mergeCell ref="I601:P601"/>
    <mergeCell ref="S593:T593"/>
    <mergeCell ref="S594:T594"/>
    <mergeCell ref="S595:T595"/>
    <mergeCell ref="S596:T596"/>
    <mergeCell ref="S597:T597"/>
    <mergeCell ref="S598:T598"/>
    <mergeCell ref="S599:T599"/>
    <mergeCell ref="S600:T600"/>
    <mergeCell ref="A587:E587"/>
    <mergeCell ref="A600:H600"/>
    <mergeCell ref="A601:H601"/>
    <mergeCell ref="A602:H602"/>
    <mergeCell ref="A603:H603"/>
    <mergeCell ref="A604:H604"/>
    <mergeCell ref="A605:H605"/>
    <mergeCell ref="A606:H606"/>
    <mergeCell ref="A607:H607"/>
    <mergeCell ref="I593:P593"/>
    <mergeCell ref="I594:P594"/>
    <mergeCell ref="I606:P606"/>
    <mergeCell ref="I607:P607"/>
    <mergeCell ref="S602:T602"/>
    <mergeCell ref="I602:P602"/>
    <mergeCell ref="I603:P603"/>
    <mergeCell ref="I604:P604"/>
    <mergeCell ref="I605:P605"/>
    <mergeCell ref="I598:P598"/>
    <mergeCell ref="S603:T603"/>
    <mergeCell ref="S604:T604"/>
    <mergeCell ref="S605:T605"/>
    <mergeCell ref="I561:P561"/>
    <mergeCell ref="A573:H573"/>
    <mergeCell ref="I590:P590"/>
    <mergeCell ref="I563:P563"/>
    <mergeCell ref="A574:H574"/>
    <mergeCell ref="I574:P574"/>
    <mergeCell ref="I564:P564"/>
    <mergeCell ref="A565:H565"/>
    <mergeCell ref="I565:P565"/>
    <mergeCell ref="A568:H568"/>
    <mergeCell ref="I568:P568"/>
    <mergeCell ref="A572:E572"/>
    <mergeCell ref="F572:H572"/>
    <mergeCell ref="I572:P572"/>
    <mergeCell ref="A577:E577"/>
    <mergeCell ref="F587:H587"/>
    <mergeCell ref="I587:P587"/>
    <mergeCell ref="A588:H588"/>
    <mergeCell ref="I589:P589"/>
    <mergeCell ref="A590:H590"/>
    <mergeCell ref="A580:H580"/>
    <mergeCell ref="I580:P580"/>
    <mergeCell ref="A581:H581"/>
    <mergeCell ref="I581:P581"/>
    <mergeCell ref="S586:T586"/>
    <mergeCell ref="S585:T585"/>
    <mergeCell ref="A133:P133"/>
    <mergeCell ref="A134:P134"/>
    <mergeCell ref="A135:P135"/>
    <mergeCell ref="A136:P136"/>
    <mergeCell ref="A137:P137"/>
    <mergeCell ref="A138:P138"/>
    <mergeCell ref="A139:P139"/>
    <mergeCell ref="A140:P140"/>
    <mergeCell ref="A141:P141"/>
    <mergeCell ref="A142:P142"/>
    <mergeCell ref="A143:P143"/>
    <mergeCell ref="A144:P144"/>
    <mergeCell ref="H533:K533"/>
    <mergeCell ref="H534:K534"/>
    <mergeCell ref="L535:P535"/>
    <mergeCell ref="H536:K536"/>
    <mergeCell ref="S572:T572"/>
    <mergeCell ref="S569:T569"/>
    <mergeCell ref="S568:T568"/>
    <mergeCell ref="S575:T575"/>
    <mergeCell ref="S567:T567"/>
    <mergeCell ref="S570:T570"/>
    <mergeCell ref="S571:T571"/>
    <mergeCell ref="S563:T563"/>
    <mergeCell ref="S566:T566"/>
    <mergeCell ref="I560:P560"/>
    <mergeCell ref="F562:H562"/>
    <mergeCell ref="I562:P562"/>
    <mergeCell ref="A563:H563"/>
    <mergeCell ref="A562:E562"/>
  </mergeCells>
  <conditionalFormatting sqref="A23">
    <cfRule type="expression" dxfId="4" priority="12">
      <formula>$AR$19=3</formula>
    </cfRule>
    <cfRule type="expression" dxfId="3" priority="13">
      <formula>$AR$19=2</formula>
    </cfRule>
    <cfRule type="expression" dxfId="2" priority="14">
      <formula>$AR$19=1</formula>
    </cfRule>
  </conditionalFormatting>
  <conditionalFormatting sqref="A21:U22">
    <cfRule type="expression" dxfId="1" priority="15">
      <formula>$AS$12&lt;4</formula>
    </cfRule>
  </conditionalFormatting>
  <conditionalFormatting sqref="X10">
    <cfRule type="expression" dxfId="0" priority="7">
      <formula>$X$19=2</formula>
    </cfRule>
  </conditionalFormatting>
  <pageMargins left="0.25" right="0.25" top="0.75" bottom="0.75" header="0.3" footer="0.3"/>
  <pageSetup scale="86" orientation="portrait" r:id="rId1"/>
  <headerFooter>
    <oddFooter>&amp;L&amp;Z&amp;F&amp;R&amp;T&amp;D</oddFooter>
  </headerFooter>
  <ignoredErrors>
    <ignoredError sqref="R95 F95 G85 R403 R507 N284 N314 A505 A507 R592:S592 A284 F284 H284 R284 A314 H314 F314 R314 K255:M282 L283:M283 K284:M343 K28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" r:id="rId4" name="Drop Down 5">
              <controlPr defaultSize="0" autoLine="0" autoPict="0">
                <anchor moveWithCells="1">
                  <from>
                    <xdr:col>17</xdr:col>
                    <xdr:colOff>220980</xdr:colOff>
                    <xdr:row>9</xdr:row>
                    <xdr:rowOff>15240</xdr:rowOff>
                  </from>
                  <to>
                    <xdr:col>19</xdr:col>
                    <xdr:colOff>518160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5" name="Drop Down 8">
              <controlPr defaultSize="0" autoLine="0" autoPict="0">
                <anchor moveWithCells="1">
                  <from>
                    <xdr:col>17</xdr:col>
                    <xdr:colOff>228600</xdr:colOff>
                    <xdr:row>10</xdr:row>
                    <xdr:rowOff>15240</xdr:rowOff>
                  </from>
                  <to>
                    <xdr:col>19</xdr:col>
                    <xdr:colOff>518160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Drop Down 11">
              <controlPr defaultSize="0" autoLine="0" autoPict="0">
                <anchor moveWithCells="1">
                  <from>
                    <xdr:col>18</xdr:col>
                    <xdr:colOff>0</xdr:colOff>
                    <xdr:row>12</xdr:row>
                    <xdr:rowOff>114300</xdr:rowOff>
                  </from>
                  <to>
                    <xdr:col>19</xdr:col>
                    <xdr:colOff>480060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Drop Down 12">
              <controlPr defaultSize="0" autoLine="0" autoPict="0">
                <anchor moveWithCells="1">
                  <from>
                    <xdr:col>17</xdr:col>
                    <xdr:colOff>220980</xdr:colOff>
                    <xdr:row>11</xdr:row>
                    <xdr:rowOff>15240</xdr:rowOff>
                  </from>
                  <to>
                    <xdr:col>19</xdr:col>
                    <xdr:colOff>510540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Drop Down 13">
              <controlPr defaultSize="0" autoLine="0" autoPict="0">
                <anchor mov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10</xdr:col>
                    <xdr:colOff>365760</xdr:colOff>
                    <xdr:row>12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Drop Down 14">
              <controlPr defaultSize="0" autoLine="0" autoPict="0">
                <anchor moveWithCells="1">
                  <from>
                    <xdr:col>17</xdr:col>
                    <xdr:colOff>236220</xdr:colOff>
                    <xdr:row>7</xdr:row>
                    <xdr:rowOff>160020</xdr:rowOff>
                  </from>
                  <to>
                    <xdr:col>19</xdr:col>
                    <xdr:colOff>518160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85"/>
  <sheetViews>
    <sheetView zoomScale="115" zoomScaleNormal="115" zoomScaleSheetLayoutView="130" workbookViewId="0">
      <selection activeCell="V17" sqref="V17"/>
    </sheetView>
  </sheetViews>
  <sheetFormatPr defaultColWidth="9.109375" defaultRowHeight="14.4"/>
  <cols>
    <col min="1" max="1" width="1.109375" style="77" customWidth="1"/>
    <col min="2" max="2" width="2.33203125" style="77" customWidth="1"/>
    <col min="3" max="15" width="5.6640625" style="77" customWidth="1"/>
    <col min="16" max="16" width="2.5546875" style="77" customWidth="1"/>
    <col min="17" max="17" width="1.33203125" style="77" customWidth="1"/>
    <col min="18" max="16384" width="9.109375" style="77"/>
  </cols>
  <sheetData>
    <row r="1" spans="1:21" ht="6.75" customHeight="1">
      <c r="A1" s="398"/>
      <c r="B1" s="399"/>
      <c r="C1" s="399"/>
      <c r="D1" s="399"/>
      <c r="E1" s="399"/>
      <c r="F1" s="399"/>
      <c r="G1" s="399"/>
      <c r="H1" s="399"/>
      <c r="I1" s="399"/>
      <c r="J1" s="399"/>
      <c r="K1" s="399"/>
      <c r="L1" s="399"/>
      <c r="M1" s="399"/>
      <c r="N1" s="399"/>
      <c r="O1" s="399"/>
      <c r="P1" s="399"/>
      <c r="Q1" s="400"/>
    </row>
    <row r="2" spans="1:21" ht="9.9" customHeight="1">
      <c r="A2" s="1021"/>
      <c r="B2" s="1012"/>
      <c r="C2" s="1012"/>
      <c r="D2" s="1012"/>
      <c r="E2" s="1012"/>
      <c r="F2" s="368"/>
      <c r="G2" s="369"/>
      <c r="H2" s="370"/>
      <c r="I2" s="370"/>
      <c r="J2" s="370"/>
      <c r="K2" s="1013"/>
      <c r="L2" s="1013"/>
      <c r="M2" s="1014"/>
      <c r="N2" s="1014"/>
      <c r="O2" s="1014"/>
      <c r="P2" s="137"/>
      <c r="Q2" s="401"/>
    </row>
    <row r="3" spans="1:21" ht="9.9" customHeight="1">
      <c r="A3" s="1021"/>
      <c r="B3" s="1012"/>
      <c r="C3" s="1012"/>
      <c r="D3" s="1012"/>
      <c r="E3" s="1012"/>
      <c r="F3" s="371"/>
      <c r="G3" s="369"/>
      <c r="H3" s="370"/>
      <c r="I3" s="370"/>
      <c r="J3" s="370"/>
      <c r="K3" s="1013"/>
      <c r="L3" s="1013"/>
      <c r="M3" s="1014"/>
      <c r="N3" s="1014"/>
      <c r="O3" s="1014"/>
      <c r="P3" s="137"/>
      <c r="Q3" s="401"/>
    </row>
    <row r="4" spans="1:21" ht="9.9" customHeight="1">
      <c r="A4" s="1021"/>
      <c r="B4" s="1012"/>
      <c r="C4" s="1012"/>
      <c r="D4" s="1012"/>
      <c r="E4" s="1012"/>
      <c r="F4" s="372"/>
      <c r="G4" s="369"/>
      <c r="H4" s="370"/>
      <c r="I4" s="370"/>
      <c r="J4" s="370"/>
      <c r="K4" s="1013"/>
      <c r="L4" s="1013"/>
      <c r="M4" s="1014"/>
      <c r="N4" s="1014"/>
      <c r="O4" s="1014"/>
      <c r="P4" s="137"/>
      <c r="Q4" s="401"/>
    </row>
    <row r="5" spans="1:21" ht="9.9" customHeight="1">
      <c r="A5" s="1021"/>
      <c r="B5" s="1012"/>
      <c r="C5" s="1012"/>
      <c r="D5" s="1012"/>
      <c r="E5" s="1012"/>
      <c r="F5" s="373"/>
      <c r="G5" s="369"/>
      <c r="H5" s="370"/>
      <c r="I5" s="370"/>
      <c r="J5" s="370"/>
      <c r="K5" s="1013"/>
      <c r="L5" s="1013"/>
      <c r="M5" s="1014"/>
      <c r="N5" s="1014"/>
      <c r="O5" s="1014"/>
      <c r="P5" s="137"/>
      <c r="Q5" s="401"/>
      <c r="U5" s="403"/>
    </row>
    <row r="6" spans="1:21" ht="9.9" customHeight="1">
      <c r="A6" s="1021"/>
      <c r="B6" s="6"/>
      <c r="C6" s="6"/>
      <c r="D6" s="6"/>
      <c r="E6" s="6"/>
      <c r="F6" s="373"/>
      <c r="G6" s="369"/>
      <c r="H6" s="370"/>
      <c r="I6" s="370"/>
      <c r="J6" s="370"/>
      <c r="K6" s="1013"/>
      <c r="L6" s="1013"/>
      <c r="M6" s="1014"/>
      <c r="N6" s="1014"/>
      <c r="O6" s="1014"/>
      <c r="P6" s="137"/>
      <c r="Q6" s="401"/>
      <c r="U6" s="403"/>
    </row>
    <row r="7" spans="1:21" ht="9.9" customHeight="1">
      <c r="A7" s="1021"/>
      <c r="B7" s="6"/>
      <c r="C7" s="1022" t="s">
        <v>2032</v>
      </c>
      <c r="D7" s="1022"/>
      <c r="E7" s="1022"/>
      <c r="F7" s="1022"/>
      <c r="G7" s="1022"/>
      <c r="H7" s="1022"/>
      <c r="I7" s="1022"/>
      <c r="J7" s="1022"/>
      <c r="K7" s="1022"/>
      <c r="L7" s="1022"/>
      <c r="M7" s="1022"/>
      <c r="N7" s="1022"/>
      <c r="O7" s="1022"/>
      <c r="P7" s="137"/>
      <c r="Q7" s="401"/>
      <c r="U7" s="403"/>
    </row>
    <row r="8" spans="1:21" ht="9.9" customHeight="1">
      <c r="A8" s="1021"/>
      <c r="B8" s="6"/>
      <c r="C8" s="1022"/>
      <c r="D8" s="1022"/>
      <c r="E8" s="1022"/>
      <c r="F8" s="1022"/>
      <c r="G8" s="1022"/>
      <c r="H8" s="1022"/>
      <c r="I8" s="1022"/>
      <c r="J8" s="1022"/>
      <c r="K8" s="1022"/>
      <c r="L8" s="1022"/>
      <c r="M8" s="1022"/>
      <c r="N8" s="1022"/>
      <c r="O8" s="1022"/>
      <c r="P8" s="137"/>
      <c r="Q8" s="401"/>
      <c r="U8" s="403"/>
    </row>
    <row r="9" spans="1:21" ht="9" customHeight="1">
      <c r="A9" s="1021"/>
      <c r="B9" s="6"/>
      <c r="C9" s="1022"/>
      <c r="D9" s="1022"/>
      <c r="E9" s="1022"/>
      <c r="F9" s="1022"/>
      <c r="G9" s="1022"/>
      <c r="H9" s="1022"/>
      <c r="I9" s="1022"/>
      <c r="J9" s="1022"/>
      <c r="K9" s="1022"/>
      <c r="L9" s="1022"/>
      <c r="M9" s="1022"/>
      <c r="N9" s="1022"/>
      <c r="O9" s="1022"/>
      <c r="P9" s="375"/>
      <c r="Q9" s="401"/>
      <c r="U9" s="403"/>
    </row>
    <row r="10" spans="1:21" ht="8.1" customHeight="1">
      <c r="A10" s="1021"/>
      <c r="B10" s="374"/>
      <c r="C10" s="1006" t="str">
        <f>Print!A24</f>
        <v xml:space="preserve">TIGLA METALICA 0  </v>
      </c>
      <c r="D10" s="1006"/>
      <c r="E10" s="1006"/>
      <c r="F10" s="1006"/>
      <c r="G10" s="1006"/>
      <c r="H10" s="1006"/>
      <c r="I10" s="1006"/>
      <c r="J10" s="1006"/>
      <c r="K10" s="1006"/>
      <c r="L10" s="1006"/>
      <c r="M10" s="1006"/>
      <c r="N10" s="1006"/>
      <c r="O10" s="1006"/>
      <c r="P10" s="375">
        <f>IF(F12&gt;0,1,0)</f>
        <v>0</v>
      </c>
      <c r="Q10" s="401"/>
      <c r="U10" s="403"/>
    </row>
    <row r="11" spans="1:21" ht="8.1" customHeight="1">
      <c r="A11" s="1021"/>
      <c r="B11" s="374"/>
      <c r="C11" s="1015"/>
      <c r="D11" s="1015"/>
      <c r="E11" s="1015"/>
      <c r="F11" s="1015"/>
      <c r="G11" s="1015"/>
      <c r="H11" s="1015"/>
      <c r="I11" s="1015"/>
      <c r="J11" s="1015"/>
      <c r="K11" s="1015"/>
      <c r="L11" s="1015"/>
      <c r="M11" s="1015"/>
      <c r="N11" s="1015"/>
      <c r="O11" s="1015"/>
      <c r="P11" s="375">
        <f>P9</f>
        <v>0</v>
      </c>
      <c r="Q11" s="401"/>
      <c r="U11" s="403"/>
    </row>
    <row r="12" spans="1:21" ht="8.1" customHeight="1">
      <c r="A12" s="1021"/>
      <c r="B12" s="374"/>
      <c r="C12" s="1016" t="s">
        <v>2023</v>
      </c>
      <c r="D12" s="1016"/>
      <c r="E12" s="1016"/>
      <c r="F12" s="1011">
        <f>Print!W26</f>
        <v>0</v>
      </c>
      <c r="G12" s="1017"/>
      <c r="H12" s="1017"/>
      <c r="I12" s="1018" t="s">
        <v>2024</v>
      </c>
      <c r="J12" s="1018"/>
      <c r="K12" s="1018"/>
      <c r="L12" s="1018"/>
      <c r="M12" s="1018"/>
      <c r="N12" s="1011">
        <f>Print!X26</f>
        <v>0</v>
      </c>
      <c r="O12" s="1011"/>
      <c r="P12" s="375">
        <f>P11</f>
        <v>0</v>
      </c>
      <c r="Q12" s="401"/>
      <c r="U12" s="403"/>
    </row>
    <row r="13" spans="1:21" ht="8.1" customHeight="1">
      <c r="A13" s="1021"/>
      <c r="B13" s="374"/>
      <c r="C13" s="41"/>
      <c r="D13" s="41"/>
      <c r="E13" s="41"/>
      <c r="F13" s="41"/>
      <c r="G13" s="41"/>
      <c r="H13" s="41"/>
      <c r="I13" s="376"/>
      <c r="J13" s="376"/>
      <c r="K13" s="376"/>
      <c r="L13" s="376"/>
      <c r="M13" s="377"/>
      <c r="N13" s="76"/>
      <c r="O13" s="378"/>
      <c r="P13" s="375">
        <f>P12</f>
        <v>0</v>
      </c>
      <c r="Q13" s="401"/>
      <c r="U13" s="403"/>
    </row>
    <row r="14" spans="1:21" ht="8.1" customHeight="1">
      <c r="A14" s="1021"/>
      <c r="B14" s="374"/>
      <c r="C14" s="1006" t="str">
        <f>Print!A62</f>
        <v>ACCESORII TIGLA METALICA0 0</v>
      </c>
      <c r="D14" s="1006"/>
      <c r="E14" s="1006"/>
      <c r="F14" s="1006"/>
      <c r="G14" s="1006"/>
      <c r="H14" s="1006"/>
      <c r="I14" s="1006"/>
      <c r="J14" s="1006"/>
      <c r="K14" s="1006"/>
      <c r="L14" s="1006"/>
      <c r="M14" s="1006"/>
      <c r="N14" s="1006"/>
      <c r="O14" s="1006"/>
      <c r="P14" s="375">
        <f>IF(N18&gt;0,1,0)</f>
        <v>0</v>
      </c>
      <c r="Q14" s="401"/>
      <c r="U14" s="403"/>
    </row>
    <row r="15" spans="1:21">
      <c r="A15" s="1021"/>
      <c r="B15" s="374"/>
      <c r="C15" s="1020" t="str">
        <f>CONCATENATE(Print!AA66,Print!AA67,Print!AA68,Print!AA69,Print!AA70,Print!AA71,Print!AA72,Print!AA73,Print!AA74,Print!AA75,Print!AA76,Print!AA77,Print!AA78,Print!AA79,Print!AA80,Print!AA81,Print!AA82,Print!AA83,Print!AA84,Print!AA85,Print!AA86,Print!AA87,Print!AA88,Print!AA89,Print!AA90,Print!AA91,Print!AA92,Print!AA93,Print!AA94,Print!AA95,Print!AA96,Print!AA97,Print!AA98,Print!AA99,Print!AA100,Print!AA101,Print!AA102,Print!AA103,Print!AA104,Print!AA105,Print!AA106,Print!AA107,Print!AA108,Print!AA109,Print!AA110,Print!AA111,Print!AA112,Print!AA113,Print!AA114,Print!AA115,Print!AA116,Print!AA117,Print!AA118)</f>
        <v/>
      </c>
      <c r="D15" s="1020"/>
      <c r="E15" s="1020"/>
      <c r="F15" s="1020"/>
      <c r="G15" s="1020"/>
      <c r="H15" s="1020"/>
      <c r="I15" s="1020"/>
      <c r="J15" s="1020"/>
      <c r="K15" s="1020"/>
      <c r="L15" s="1020"/>
      <c r="M15" s="1020"/>
      <c r="N15" s="1020"/>
      <c r="O15" s="1020"/>
      <c r="P15" s="375">
        <f>P14</f>
        <v>0</v>
      </c>
      <c r="Q15" s="401"/>
      <c r="U15" s="403"/>
    </row>
    <row r="16" spans="1:21">
      <c r="A16" s="1021"/>
      <c r="B16" s="374"/>
      <c r="C16" s="1020"/>
      <c r="D16" s="1020"/>
      <c r="E16" s="1020"/>
      <c r="F16" s="1020"/>
      <c r="G16" s="1020"/>
      <c r="H16" s="1020"/>
      <c r="I16" s="1020"/>
      <c r="J16" s="1020"/>
      <c r="K16" s="1020"/>
      <c r="L16" s="1020"/>
      <c r="M16" s="1020"/>
      <c r="N16" s="1020"/>
      <c r="O16" s="1020"/>
      <c r="P16" s="375">
        <f t="shared" ref="P16:P17" si="0">P15</f>
        <v>0</v>
      </c>
      <c r="Q16" s="401"/>
      <c r="U16" s="403"/>
    </row>
    <row r="17" spans="1:21">
      <c r="A17" s="1021"/>
      <c r="B17" s="374"/>
      <c r="C17" s="1020"/>
      <c r="D17" s="1020"/>
      <c r="E17" s="1020"/>
      <c r="F17" s="1020"/>
      <c r="G17" s="1020"/>
      <c r="H17" s="1020"/>
      <c r="I17" s="1020"/>
      <c r="J17" s="1020"/>
      <c r="K17" s="1020"/>
      <c r="L17" s="1020"/>
      <c r="M17" s="1020"/>
      <c r="N17" s="1020"/>
      <c r="O17" s="1020"/>
      <c r="P17" s="375">
        <f t="shared" si="0"/>
        <v>0</v>
      </c>
      <c r="Q17" s="401"/>
      <c r="U17" s="403"/>
    </row>
    <row r="18" spans="1:21" ht="8.1" customHeight="1">
      <c r="A18" s="1021"/>
      <c r="B18" s="374"/>
      <c r="C18" s="1018" t="s">
        <v>2024</v>
      </c>
      <c r="D18" s="1018"/>
      <c r="E18" s="1018"/>
      <c r="F18" s="1018"/>
      <c r="G18" s="1018"/>
      <c r="H18" s="1018"/>
      <c r="I18" s="1018"/>
      <c r="J18" s="1018"/>
      <c r="K18" s="1018"/>
      <c r="L18" s="1018"/>
      <c r="M18" s="1018"/>
      <c r="N18" s="1011">
        <f>Print!X64</f>
        <v>0</v>
      </c>
      <c r="O18" s="1011"/>
      <c r="P18" s="375">
        <f>P16</f>
        <v>0</v>
      </c>
      <c r="Q18" s="401"/>
      <c r="U18" s="403"/>
    </row>
    <row r="19" spans="1:21" ht="8.1" customHeight="1">
      <c r="A19" s="1021"/>
      <c r="B19" s="374"/>
      <c r="C19" s="379"/>
      <c r="D19" s="379"/>
      <c r="E19" s="379"/>
      <c r="F19" s="379"/>
      <c r="G19" s="379"/>
      <c r="H19" s="379"/>
      <c r="I19" s="376"/>
      <c r="J19" s="376"/>
      <c r="K19" s="376"/>
      <c r="L19" s="376"/>
      <c r="M19" s="377"/>
      <c r="N19" s="76"/>
      <c r="O19" s="378"/>
      <c r="P19" s="375">
        <f>P17</f>
        <v>0</v>
      </c>
      <c r="Q19" s="401"/>
      <c r="U19" s="403"/>
    </row>
    <row r="20" spans="1:21" ht="8.1" customHeight="1">
      <c r="A20" s="1021"/>
      <c r="B20" s="374"/>
      <c r="C20" s="1006" t="str">
        <f>Print!A119</f>
        <v xml:space="preserve">SISTEM PLUVIAL   </v>
      </c>
      <c r="D20" s="1006"/>
      <c r="E20" s="1006"/>
      <c r="F20" s="1006"/>
      <c r="G20" s="1006"/>
      <c r="H20" s="1006"/>
      <c r="I20" s="1006"/>
      <c r="J20" s="1006"/>
      <c r="K20" s="1006"/>
      <c r="L20" s="1006"/>
      <c r="M20" s="1006"/>
      <c r="N20" s="1006"/>
      <c r="O20" s="1006"/>
      <c r="P20" s="375">
        <f>IF(N24&gt;0,1,0)</f>
        <v>0</v>
      </c>
      <c r="Q20" s="401"/>
      <c r="U20" s="403"/>
    </row>
    <row r="21" spans="1:21">
      <c r="A21" s="1021"/>
      <c r="B21" s="374"/>
      <c r="C21" s="1019" t="str">
        <f>CONCATENATE(Print!AA121,Print!AA122,Print!AA123,Print!AA124,Print!AA125,Print!AA126,Print!AA127,Print!AA128,Print!AA129,Print!AA130,Print!AA131,Print!AA132,Print!AA133,Print!AA134,Print!AA135,Print!AA136,Print!AA137,Print!AA138,Print!AA139,Print!AA140,Print!AA141,Print!AA142,Print!AA143,Print!AA144)</f>
        <v/>
      </c>
      <c r="D21" s="1019"/>
      <c r="E21" s="1019"/>
      <c r="F21" s="1019"/>
      <c r="G21" s="1019"/>
      <c r="H21" s="1019"/>
      <c r="I21" s="1019"/>
      <c r="J21" s="1019"/>
      <c r="K21" s="1019"/>
      <c r="L21" s="1019"/>
      <c r="M21" s="1019"/>
      <c r="N21" s="1019"/>
      <c r="O21" s="1019"/>
      <c r="P21" s="375">
        <f>P20</f>
        <v>0</v>
      </c>
      <c r="Q21" s="401"/>
      <c r="U21" s="403"/>
    </row>
    <row r="22" spans="1:21">
      <c r="A22" s="1021"/>
      <c r="B22" s="374"/>
      <c r="C22" s="1019"/>
      <c r="D22" s="1019"/>
      <c r="E22" s="1019"/>
      <c r="F22" s="1019"/>
      <c r="G22" s="1019"/>
      <c r="H22" s="1019"/>
      <c r="I22" s="1019"/>
      <c r="J22" s="1019"/>
      <c r="K22" s="1019"/>
      <c r="L22" s="1019"/>
      <c r="M22" s="1019"/>
      <c r="N22" s="1019"/>
      <c r="O22" s="1019"/>
      <c r="P22" s="375">
        <f t="shared" ref="P22:P23" si="1">P21</f>
        <v>0</v>
      </c>
      <c r="Q22" s="401"/>
      <c r="U22" s="403"/>
    </row>
    <row r="23" spans="1:21">
      <c r="A23" s="1021"/>
      <c r="B23" s="374"/>
      <c r="C23" s="1019"/>
      <c r="D23" s="1019"/>
      <c r="E23" s="1019"/>
      <c r="F23" s="1019"/>
      <c r="G23" s="1019"/>
      <c r="H23" s="1019"/>
      <c r="I23" s="1019"/>
      <c r="J23" s="1019"/>
      <c r="K23" s="1019"/>
      <c r="L23" s="1019"/>
      <c r="M23" s="1019"/>
      <c r="N23" s="1019"/>
      <c r="O23" s="1019"/>
      <c r="P23" s="375">
        <f t="shared" si="1"/>
        <v>0</v>
      </c>
      <c r="Q23" s="401"/>
      <c r="U23" s="403"/>
    </row>
    <row r="24" spans="1:21" ht="8.1" customHeight="1">
      <c r="A24" s="1021"/>
      <c r="B24" s="374"/>
      <c r="C24" s="1018" t="s">
        <v>2024</v>
      </c>
      <c r="D24" s="1018"/>
      <c r="E24" s="1018"/>
      <c r="F24" s="1018"/>
      <c r="G24" s="1018"/>
      <c r="H24" s="1018"/>
      <c r="I24" s="1018"/>
      <c r="J24" s="1018"/>
      <c r="K24" s="1018"/>
      <c r="L24" s="1018"/>
      <c r="M24" s="1018"/>
      <c r="N24" s="1011">
        <f>Print!X121</f>
        <v>0</v>
      </c>
      <c r="O24" s="1011"/>
      <c r="P24" s="375">
        <f>P23</f>
        <v>0</v>
      </c>
      <c r="Q24" s="401"/>
      <c r="U24" s="403"/>
    </row>
    <row r="25" spans="1:21" ht="8.1" customHeight="1">
      <c r="A25" s="1021"/>
      <c r="B25" s="374"/>
      <c r="C25" s="380"/>
      <c r="D25" s="380"/>
      <c r="E25" s="380"/>
      <c r="F25" s="380"/>
      <c r="G25" s="380"/>
      <c r="H25" s="380"/>
      <c r="I25" s="381"/>
      <c r="J25" s="381"/>
      <c r="K25" s="381"/>
      <c r="L25" s="381"/>
      <c r="M25" s="382"/>
      <c r="N25" s="76"/>
      <c r="O25" s="378"/>
      <c r="P25" s="375">
        <f>P23</f>
        <v>0</v>
      </c>
      <c r="Q25" s="401"/>
      <c r="U25" s="403"/>
    </row>
    <row r="26" spans="1:21" ht="8.1" customHeight="1">
      <c r="A26" s="1021"/>
      <c r="B26" s="374"/>
      <c r="C26" s="1006" t="str">
        <f>Print!A145</f>
        <v>MEMBRANE SI ACCESORII / SURUBURI</v>
      </c>
      <c r="D26" s="1006"/>
      <c r="E26" s="1006"/>
      <c r="F26" s="1006"/>
      <c r="G26" s="1006"/>
      <c r="H26" s="1006"/>
      <c r="I26" s="1006"/>
      <c r="J26" s="1006"/>
      <c r="K26" s="1006"/>
      <c r="L26" s="1006"/>
      <c r="M26" s="1006"/>
      <c r="N26" s="1006"/>
      <c r="O26" s="1006"/>
      <c r="P26" s="375">
        <f>IF(N30&gt;0,1,0)</f>
        <v>0</v>
      </c>
      <c r="Q26" s="401"/>
      <c r="U26" s="403"/>
    </row>
    <row r="27" spans="1:21">
      <c r="A27" s="1021"/>
      <c r="B27" s="374"/>
      <c r="C27" s="1020" t="str">
        <f>CONCATENATE(Print!AA147,Print!AA148,Print!AA149,Print!AA150,Print!AA151,Print!AA152,Print!AA153,Print!AA154,Print!AA155,Print!AA156,Print!AA157,Print!AA158,Print!AA159,Print!AA160,Print!AA161,Print!AA162,Print!AA163,Print!AA164,Print!AA165,Print!AA166,Print!AA167,Print!AA168,Print!AA169,Print!AA170,Print!AA171,Print!AA172,Print!AA173,Print!AA174,Print!AA175,Print!AA176,Print!AA177,Print!AA178,Print!AA179,Print!AA180,Print!AA181,Print!AA182,Print!AA183,Print!AA184,Print!AA185,Print!AA202,Print!AA203,Print!AA204,Print!AA205,Print!AA206,Print!AA207,Print!AA208,Print!AA209,Print!AA210,Print!AA211,Print!AA213,Print!AA214,Print!AA215)</f>
        <v/>
      </c>
      <c r="D27" s="1020"/>
      <c r="E27" s="1020"/>
      <c r="F27" s="1020"/>
      <c r="G27" s="1020"/>
      <c r="H27" s="1020"/>
      <c r="I27" s="1020"/>
      <c r="J27" s="1020"/>
      <c r="K27" s="1020"/>
      <c r="L27" s="1020"/>
      <c r="M27" s="1020"/>
      <c r="N27" s="1020"/>
      <c r="O27" s="1020"/>
      <c r="P27" s="375">
        <f>P26</f>
        <v>0</v>
      </c>
      <c r="Q27" s="401"/>
    </row>
    <row r="28" spans="1:21">
      <c r="A28" s="1021"/>
      <c r="B28" s="374"/>
      <c r="C28" s="1020"/>
      <c r="D28" s="1020"/>
      <c r="E28" s="1020"/>
      <c r="F28" s="1020"/>
      <c r="G28" s="1020"/>
      <c r="H28" s="1020"/>
      <c r="I28" s="1020"/>
      <c r="J28" s="1020"/>
      <c r="K28" s="1020"/>
      <c r="L28" s="1020"/>
      <c r="M28" s="1020"/>
      <c r="N28" s="1020"/>
      <c r="O28" s="1020"/>
      <c r="P28" s="375">
        <f t="shared" ref="P28:P29" si="2">P27</f>
        <v>0</v>
      </c>
      <c r="Q28" s="401"/>
    </row>
    <row r="29" spans="1:21">
      <c r="A29" s="1021"/>
      <c r="B29" s="374"/>
      <c r="C29" s="1020"/>
      <c r="D29" s="1020"/>
      <c r="E29" s="1020"/>
      <c r="F29" s="1020"/>
      <c r="G29" s="1020"/>
      <c r="H29" s="1020"/>
      <c r="I29" s="1020"/>
      <c r="J29" s="1020"/>
      <c r="K29" s="1020"/>
      <c r="L29" s="1020"/>
      <c r="M29" s="1020"/>
      <c r="N29" s="1020"/>
      <c r="O29" s="1020"/>
      <c r="P29" s="375">
        <f t="shared" si="2"/>
        <v>0</v>
      </c>
      <c r="Q29" s="401"/>
    </row>
    <row r="30" spans="1:21" ht="8.1" customHeight="1">
      <c r="A30" s="1021"/>
      <c r="B30" s="374"/>
      <c r="C30" s="1018" t="s">
        <v>2024</v>
      </c>
      <c r="D30" s="1018"/>
      <c r="E30" s="1018"/>
      <c r="F30" s="1018"/>
      <c r="G30" s="1018"/>
      <c r="H30" s="1018"/>
      <c r="I30" s="1018"/>
      <c r="J30" s="1018"/>
      <c r="K30" s="1018"/>
      <c r="L30" s="1018"/>
      <c r="M30" s="1018"/>
      <c r="N30" s="1011">
        <f>Print!X147</f>
        <v>0</v>
      </c>
      <c r="O30" s="1011"/>
      <c r="P30" s="375">
        <f>P28</f>
        <v>0</v>
      </c>
      <c r="Q30" s="401"/>
    </row>
    <row r="31" spans="1:21" ht="7.5" customHeight="1">
      <c r="A31" s="1021"/>
      <c r="B31" s="374"/>
      <c r="C31" s="383"/>
      <c r="D31" s="384"/>
      <c r="E31" s="384"/>
      <c r="F31" s="36"/>
      <c r="G31" s="37"/>
      <c r="H31" s="38"/>
      <c r="I31" s="38"/>
      <c r="J31" s="381"/>
      <c r="K31" s="381"/>
      <c r="L31" s="381"/>
      <c r="M31" s="382"/>
      <c r="N31" s="76"/>
      <c r="O31" s="378"/>
      <c r="P31" s="375">
        <f>P29</f>
        <v>0</v>
      </c>
      <c r="Q31" s="401"/>
    </row>
    <row r="32" spans="1:21" ht="8.1" customHeight="1">
      <c r="A32" s="1021"/>
      <c r="B32" s="374"/>
      <c r="C32" s="1006" t="str">
        <f>Print!A367</f>
        <v xml:space="preserve">TABLA CUTATA   </v>
      </c>
      <c r="D32" s="1006"/>
      <c r="E32" s="1006"/>
      <c r="F32" s="1006"/>
      <c r="G32" s="1006"/>
      <c r="H32" s="1006"/>
      <c r="I32" s="1006"/>
      <c r="J32" s="1006"/>
      <c r="K32" s="1006"/>
      <c r="L32" s="1006"/>
      <c r="M32" s="1006"/>
      <c r="N32" s="1006"/>
      <c r="O32" s="1006"/>
      <c r="P32" s="385">
        <f>IF(F34&gt;0,1,0)</f>
        <v>0</v>
      </c>
      <c r="Q32" s="401"/>
    </row>
    <row r="33" spans="1:17" ht="8.1" customHeight="1">
      <c r="A33" s="1021"/>
      <c r="B33" s="374"/>
      <c r="C33" s="1015"/>
      <c r="D33" s="1015"/>
      <c r="E33" s="1015"/>
      <c r="F33" s="1015"/>
      <c r="G33" s="1015"/>
      <c r="H33" s="1015"/>
      <c r="I33" s="1015"/>
      <c r="J33" s="1015"/>
      <c r="K33" s="1015"/>
      <c r="L33" s="1015"/>
      <c r="M33" s="1015"/>
      <c r="N33" s="1015"/>
      <c r="O33" s="1015"/>
      <c r="P33" s="385">
        <f>P32</f>
        <v>0</v>
      </c>
      <c r="Q33" s="401"/>
    </row>
    <row r="34" spans="1:17" ht="8.1" customHeight="1">
      <c r="A34" s="1021"/>
      <c r="B34" s="374"/>
      <c r="C34" s="1018" t="s">
        <v>2023</v>
      </c>
      <c r="D34" s="1018"/>
      <c r="E34" s="1018"/>
      <c r="F34" s="1011">
        <f>Print!W369</f>
        <v>0</v>
      </c>
      <c r="G34" s="1017"/>
      <c r="H34" s="1017"/>
      <c r="I34" s="1018" t="s">
        <v>2024</v>
      </c>
      <c r="J34" s="1018"/>
      <c r="K34" s="1018"/>
      <c r="L34" s="1018"/>
      <c r="M34" s="1018"/>
      <c r="N34" s="1011">
        <f>Print!X369</f>
        <v>0</v>
      </c>
      <c r="O34" s="1011"/>
      <c r="P34" s="385">
        <f>P33</f>
        <v>0</v>
      </c>
      <c r="Q34" s="401"/>
    </row>
    <row r="35" spans="1:17" ht="8.1" customHeight="1">
      <c r="A35" s="1021"/>
      <c r="B35" s="374"/>
      <c r="C35" s="380"/>
      <c r="D35" s="380"/>
      <c r="E35" s="380"/>
      <c r="F35" s="380"/>
      <c r="G35" s="380"/>
      <c r="H35" s="380"/>
      <c r="I35" s="381"/>
      <c r="J35" s="381"/>
      <c r="K35" s="381"/>
      <c r="L35" s="381"/>
      <c r="M35" s="382"/>
      <c r="N35" s="76"/>
      <c r="O35" s="378"/>
      <c r="P35" s="385">
        <f>P34</f>
        <v>0</v>
      </c>
      <c r="Q35" s="401"/>
    </row>
    <row r="36" spans="1:17" ht="8.1" customHeight="1">
      <c r="A36" s="1021"/>
      <c r="B36" s="374"/>
      <c r="C36" s="1006" t="s">
        <v>2025</v>
      </c>
      <c r="D36" s="1006"/>
      <c r="E36" s="1006"/>
      <c r="F36" s="1006"/>
      <c r="G36" s="1006"/>
      <c r="H36" s="1006"/>
      <c r="I36" s="1006"/>
      <c r="J36" s="1006"/>
      <c r="K36" s="1006"/>
      <c r="L36" s="1006"/>
      <c r="M36" s="1006"/>
      <c r="N36" s="1006"/>
      <c r="O36" s="1006"/>
      <c r="P36" s="385">
        <f>IF(N40&gt;0,1,0)</f>
        <v>0</v>
      </c>
      <c r="Q36" s="401"/>
    </row>
    <row r="37" spans="1:17" ht="6.75" customHeight="1">
      <c r="A37" s="1021"/>
      <c r="B37" s="374"/>
      <c r="C37" s="1020" t="str">
        <f>CONCATENATE(Print!AA218,Print!AA219,Print!AA220,Print!AA221,Print!AA222,Print!AA223,Print!AA224,Print!AA225,Print!AA226,Print!AA227,Print!AA228,Print!AA229,Print!AA230,Print!AA231,Print!AA232,Print!AA233,Print!AA234,Print!AA235,Print!AA236,Print!AA237,Print!AA238,Print!AA239,Print!AA240,Print!AA241,Print!AA242,Print!AA243,Print!AA244,Print!AA245,Print!AA246,Print!AA247,Print!AA248,Print!AA249,Print!AA250,Print!AA251)</f>
        <v/>
      </c>
      <c r="D37" s="1020"/>
      <c r="E37" s="1020"/>
      <c r="F37" s="1020"/>
      <c r="G37" s="1020"/>
      <c r="H37" s="1020"/>
      <c r="I37" s="1020"/>
      <c r="J37" s="1020"/>
      <c r="K37" s="1020"/>
      <c r="L37" s="1020"/>
      <c r="M37" s="1020"/>
      <c r="N37" s="1020"/>
      <c r="O37" s="1020"/>
      <c r="P37" s="385">
        <f>P36</f>
        <v>0</v>
      </c>
      <c r="Q37" s="401"/>
    </row>
    <row r="38" spans="1:17" ht="6.75" customHeight="1">
      <c r="A38" s="1021"/>
      <c r="B38" s="374"/>
      <c r="C38" s="1020"/>
      <c r="D38" s="1020"/>
      <c r="E38" s="1020"/>
      <c r="F38" s="1020"/>
      <c r="G38" s="1020"/>
      <c r="H38" s="1020"/>
      <c r="I38" s="1020"/>
      <c r="J38" s="1020"/>
      <c r="K38" s="1020"/>
      <c r="L38" s="1020"/>
      <c r="M38" s="1020"/>
      <c r="N38" s="1020"/>
      <c r="O38" s="1020"/>
      <c r="P38" s="385"/>
      <c r="Q38" s="401"/>
    </row>
    <row r="39" spans="1:17" ht="8.1" customHeight="1">
      <c r="A39" s="1021"/>
      <c r="B39" s="374"/>
      <c r="C39" s="1020"/>
      <c r="D39" s="1020"/>
      <c r="E39" s="1020"/>
      <c r="F39" s="1020"/>
      <c r="G39" s="1020"/>
      <c r="H39" s="1020"/>
      <c r="I39" s="1020"/>
      <c r="J39" s="1020"/>
      <c r="K39" s="1020"/>
      <c r="L39" s="1020"/>
      <c r="M39" s="1020"/>
      <c r="N39" s="1020"/>
      <c r="O39" s="1020"/>
      <c r="P39" s="385">
        <f>P37</f>
        <v>0</v>
      </c>
      <c r="Q39" s="401"/>
    </row>
    <row r="40" spans="1:17" ht="8.1" customHeight="1">
      <c r="A40" s="1021"/>
      <c r="B40" s="374"/>
      <c r="C40" s="1008" t="s">
        <v>2024</v>
      </c>
      <c r="D40" s="1009"/>
      <c r="E40" s="1009"/>
      <c r="F40" s="1009"/>
      <c r="G40" s="1009"/>
      <c r="H40" s="1009"/>
      <c r="I40" s="1009"/>
      <c r="J40" s="1009"/>
      <c r="K40" s="1009"/>
      <c r="L40" s="1009"/>
      <c r="M40" s="1010"/>
      <c r="N40" s="1011">
        <f>Print!Z218</f>
        <v>0</v>
      </c>
      <c r="O40" s="1011"/>
      <c r="P40" s="385">
        <f t="shared" ref="P40:P41" si="3">P39</f>
        <v>0</v>
      </c>
      <c r="Q40" s="401"/>
    </row>
    <row r="41" spans="1:17" ht="8.1" customHeight="1">
      <c r="A41" s="1021"/>
      <c r="B41" s="374"/>
      <c r="C41" s="379"/>
      <c r="D41" s="379"/>
      <c r="E41" s="379"/>
      <c r="F41" s="379"/>
      <c r="G41" s="379"/>
      <c r="H41" s="379"/>
      <c r="I41" s="376"/>
      <c r="J41" s="376"/>
      <c r="K41" s="376"/>
      <c r="L41" s="376"/>
      <c r="M41" s="377"/>
      <c r="N41" s="76"/>
      <c r="O41" s="378"/>
      <c r="P41" s="385">
        <f t="shared" si="3"/>
        <v>0</v>
      </c>
      <c r="Q41" s="401"/>
    </row>
    <row r="42" spans="1:17" ht="8.1" customHeight="1">
      <c r="A42" s="1021"/>
      <c r="B42" s="374"/>
      <c r="C42" s="1006" t="str">
        <f>Print!A252</f>
        <v xml:space="preserve">INVELITORI PLANE  0  </v>
      </c>
      <c r="D42" s="1006"/>
      <c r="E42" s="1006"/>
      <c r="F42" s="1006"/>
      <c r="G42" s="1006"/>
      <c r="H42" s="1006"/>
      <c r="I42" s="1006"/>
      <c r="J42" s="1006"/>
      <c r="K42" s="1006"/>
      <c r="L42" s="1006"/>
      <c r="M42" s="1006"/>
      <c r="N42" s="1006"/>
      <c r="O42" s="1006"/>
      <c r="P42" s="385">
        <f>IF(F44&gt;0,1,0)</f>
        <v>0</v>
      </c>
      <c r="Q42" s="401"/>
    </row>
    <row r="43" spans="1:17" ht="8.1" customHeight="1">
      <c r="A43" s="1021"/>
      <c r="B43" s="374"/>
      <c r="C43" s="1007"/>
      <c r="D43" s="1007"/>
      <c r="E43" s="1007"/>
      <c r="F43" s="1007"/>
      <c r="G43" s="1007"/>
      <c r="H43" s="1007"/>
      <c r="I43" s="1007"/>
      <c r="J43" s="1007"/>
      <c r="K43" s="1007"/>
      <c r="L43" s="1007"/>
      <c r="M43" s="1007"/>
      <c r="N43" s="1007"/>
      <c r="O43" s="1007"/>
      <c r="P43" s="385">
        <f>P42</f>
        <v>0</v>
      </c>
      <c r="Q43" s="401"/>
    </row>
    <row r="44" spans="1:17" ht="8.1" customHeight="1">
      <c r="A44" s="1021"/>
      <c r="B44" s="374"/>
      <c r="C44" s="1018" t="s">
        <v>2023</v>
      </c>
      <c r="D44" s="1018"/>
      <c r="E44" s="1018"/>
      <c r="F44" s="1011">
        <f>Print!W254</f>
        <v>0</v>
      </c>
      <c r="G44" s="1017"/>
      <c r="H44" s="1017"/>
      <c r="I44" s="1018" t="s">
        <v>2024</v>
      </c>
      <c r="J44" s="1018"/>
      <c r="K44" s="1018"/>
      <c r="L44" s="1018"/>
      <c r="M44" s="1018"/>
      <c r="N44" s="1011">
        <f>Print!X254</f>
        <v>0</v>
      </c>
      <c r="O44" s="1011"/>
      <c r="P44" s="385">
        <f>P43</f>
        <v>0</v>
      </c>
      <c r="Q44" s="401"/>
    </row>
    <row r="45" spans="1:17" ht="8.1" customHeight="1" thickBot="1">
      <c r="A45" s="1021"/>
      <c r="B45" s="374"/>
      <c r="C45" s="379"/>
      <c r="D45" s="379"/>
      <c r="E45" s="379"/>
      <c r="F45" s="379"/>
      <c r="G45" s="379"/>
      <c r="H45" s="379"/>
      <c r="I45" s="376"/>
      <c r="J45" s="376"/>
      <c r="K45" s="376"/>
      <c r="L45" s="376"/>
      <c r="M45" s="377"/>
      <c r="N45" s="76"/>
      <c r="O45" s="378"/>
      <c r="P45" s="385">
        <f>P44</f>
        <v>0</v>
      </c>
      <c r="Q45" s="401"/>
    </row>
    <row r="46" spans="1:17" ht="8.1" customHeight="1">
      <c r="A46" s="1021"/>
      <c r="B46" s="374"/>
      <c r="C46" s="1042" t="str">
        <f>Print!A344</f>
        <v xml:space="preserve">ACCESORII INVELITORI PLANE  </v>
      </c>
      <c r="D46" s="1043"/>
      <c r="E46" s="1043"/>
      <c r="F46" s="1043"/>
      <c r="G46" s="1043"/>
      <c r="H46" s="1043"/>
      <c r="I46" s="1043"/>
      <c r="J46" s="1043"/>
      <c r="K46" s="1043"/>
      <c r="L46" s="1043"/>
      <c r="M46" s="1043"/>
      <c r="N46" s="1043"/>
      <c r="O46" s="1044"/>
      <c r="P46" s="375">
        <f>IF(N51&gt;0,1,0)</f>
        <v>0</v>
      </c>
      <c r="Q46" s="401"/>
    </row>
    <row r="47" spans="1:17" ht="8.1" customHeight="1">
      <c r="A47" s="1021"/>
      <c r="B47" s="374"/>
      <c r="C47" s="1045" t="str">
        <f>CONCATENATE(Print!AA346,Print!AA347,Print!AA348,Print!AA349,Print!AA350,Print!AA351,Print!AA352,Print!AA353,Print!AA354,Print!AA355,Print!AA356,Print!AA357,Print!AA358,Print!AA359,Print!AA360,Print!AA361,Print!AA362,Print!AA363,Print!AA364,Print!AA365,Print!AA366)</f>
        <v/>
      </c>
      <c r="D47" s="1046"/>
      <c r="E47" s="1046"/>
      <c r="F47" s="1046"/>
      <c r="G47" s="1046"/>
      <c r="H47" s="1046"/>
      <c r="I47" s="1046"/>
      <c r="J47" s="1046"/>
      <c r="K47" s="1046"/>
      <c r="L47" s="1046"/>
      <c r="M47" s="1046"/>
      <c r="N47" s="1046"/>
      <c r="O47" s="1047"/>
      <c r="P47" s="375">
        <f>P46</f>
        <v>0</v>
      </c>
      <c r="Q47" s="401"/>
    </row>
    <row r="48" spans="1:17" ht="8.1" customHeight="1">
      <c r="A48" s="1021"/>
      <c r="B48" s="374"/>
      <c r="C48" s="1048"/>
      <c r="D48" s="1049"/>
      <c r="E48" s="1049"/>
      <c r="F48" s="1049"/>
      <c r="G48" s="1049"/>
      <c r="H48" s="1049"/>
      <c r="I48" s="1049"/>
      <c r="J48" s="1049"/>
      <c r="K48" s="1049"/>
      <c r="L48" s="1049"/>
      <c r="M48" s="1049"/>
      <c r="N48" s="1049"/>
      <c r="O48" s="1050"/>
      <c r="P48" s="375">
        <f t="shared" ref="P48:P51" si="4">P47</f>
        <v>0</v>
      </c>
      <c r="Q48" s="401"/>
    </row>
    <row r="49" spans="1:17" ht="8.1" customHeight="1">
      <c r="A49" s="1021"/>
      <c r="B49" s="374"/>
      <c r="C49" s="1048"/>
      <c r="D49" s="1049"/>
      <c r="E49" s="1049"/>
      <c r="F49" s="1049"/>
      <c r="G49" s="1049"/>
      <c r="H49" s="1049"/>
      <c r="I49" s="1049"/>
      <c r="J49" s="1049"/>
      <c r="K49" s="1049"/>
      <c r="L49" s="1049"/>
      <c r="M49" s="1049"/>
      <c r="N49" s="1049"/>
      <c r="O49" s="1050"/>
      <c r="P49" s="375">
        <f t="shared" si="4"/>
        <v>0</v>
      </c>
      <c r="Q49" s="401"/>
    </row>
    <row r="50" spans="1:17" ht="8.1" customHeight="1">
      <c r="A50" s="1021"/>
      <c r="B50" s="374"/>
      <c r="C50" s="1051"/>
      <c r="D50" s="1052"/>
      <c r="E50" s="1052"/>
      <c r="F50" s="1052"/>
      <c r="G50" s="1052"/>
      <c r="H50" s="1052"/>
      <c r="I50" s="1052"/>
      <c r="J50" s="1052"/>
      <c r="K50" s="1052"/>
      <c r="L50" s="1052"/>
      <c r="M50" s="1052"/>
      <c r="N50" s="1052"/>
      <c r="O50" s="1053"/>
      <c r="P50" s="375">
        <f t="shared" si="4"/>
        <v>0</v>
      </c>
      <c r="Q50" s="401"/>
    </row>
    <row r="51" spans="1:17" ht="8.1" customHeight="1" thickBot="1">
      <c r="A51" s="1021"/>
      <c r="B51" s="374"/>
      <c r="C51" s="1056" t="s">
        <v>2024</v>
      </c>
      <c r="D51" s="1057"/>
      <c r="E51" s="1057"/>
      <c r="F51" s="1057"/>
      <c r="G51" s="1057"/>
      <c r="H51" s="1057"/>
      <c r="I51" s="1057"/>
      <c r="J51" s="1057"/>
      <c r="K51" s="1057"/>
      <c r="L51" s="1057"/>
      <c r="M51" s="1058"/>
      <c r="N51" s="1054">
        <f>Print!V346</f>
        <v>0</v>
      </c>
      <c r="O51" s="1055"/>
      <c r="P51" s="375">
        <f t="shared" si="4"/>
        <v>0</v>
      </c>
      <c r="Q51" s="402"/>
    </row>
    <row r="52" spans="1:17" ht="8.1" customHeight="1">
      <c r="A52" s="1021"/>
      <c r="B52" s="374"/>
      <c r="C52" s="374"/>
      <c r="D52" s="374"/>
      <c r="E52" s="374"/>
      <c r="F52" s="374"/>
      <c r="G52" s="374"/>
      <c r="H52" s="374"/>
      <c r="I52" s="386"/>
      <c r="J52" s="386"/>
      <c r="K52" s="386"/>
      <c r="L52" s="386"/>
      <c r="M52" s="387"/>
      <c r="N52" s="388"/>
      <c r="O52" s="389"/>
      <c r="P52" s="375">
        <f>P51</f>
        <v>0</v>
      </c>
      <c r="Q52" s="402"/>
    </row>
    <row r="53" spans="1:17" ht="8.1" customHeight="1">
      <c r="A53" s="1021"/>
      <c r="B53" s="374"/>
      <c r="C53" s="1006" t="str">
        <f>Print!A401</f>
        <v xml:space="preserve">MINIRULOU  </v>
      </c>
      <c r="D53" s="1006"/>
      <c r="E53" s="1006"/>
      <c r="F53" s="1006"/>
      <c r="G53" s="1006"/>
      <c r="H53" s="1006"/>
      <c r="I53" s="1006"/>
      <c r="J53" s="1006"/>
      <c r="K53" s="1006"/>
      <c r="L53" s="1006"/>
      <c r="M53" s="1006"/>
      <c r="N53" s="1006"/>
      <c r="O53" s="1006"/>
      <c r="P53" s="385">
        <f>IF(F55&gt;0,1,0)</f>
        <v>0</v>
      </c>
      <c r="Q53" s="401"/>
    </row>
    <row r="54" spans="1:17" ht="8.1" customHeight="1">
      <c r="A54" s="1021"/>
      <c r="B54" s="374"/>
      <c r="C54" s="1007"/>
      <c r="D54" s="1007"/>
      <c r="E54" s="1007"/>
      <c r="F54" s="1007"/>
      <c r="G54" s="1007"/>
      <c r="H54" s="1007"/>
      <c r="I54" s="1007"/>
      <c r="J54" s="1007"/>
      <c r="K54" s="1007"/>
      <c r="L54" s="1007"/>
      <c r="M54" s="1007"/>
      <c r="N54" s="1007"/>
      <c r="O54" s="1007"/>
      <c r="P54" s="385">
        <f>P53</f>
        <v>0</v>
      </c>
      <c r="Q54" s="401"/>
    </row>
    <row r="55" spans="1:17" ht="8.1" customHeight="1">
      <c r="A55" s="1021"/>
      <c r="B55" s="374"/>
      <c r="C55" s="1018" t="s">
        <v>2023</v>
      </c>
      <c r="D55" s="1018"/>
      <c r="E55" s="1018"/>
      <c r="F55" s="1011">
        <f>Print!W403</f>
        <v>0</v>
      </c>
      <c r="G55" s="1017"/>
      <c r="H55" s="1017"/>
      <c r="I55" s="1018" t="s">
        <v>2024</v>
      </c>
      <c r="J55" s="1018"/>
      <c r="K55" s="1018"/>
      <c r="L55" s="1018"/>
      <c r="M55" s="1018"/>
      <c r="N55" s="1011">
        <f>Print!X403</f>
        <v>0</v>
      </c>
      <c r="O55" s="1011"/>
      <c r="P55" s="385">
        <f>P54</f>
        <v>0</v>
      </c>
      <c r="Q55" s="401"/>
    </row>
    <row r="56" spans="1:17" ht="8.1" customHeight="1">
      <c r="A56" s="1021"/>
      <c r="B56" s="374"/>
      <c r="C56" s="1036"/>
      <c r="D56" s="1036"/>
      <c r="E56" s="1036"/>
      <c r="F56" s="1036"/>
      <c r="G56" s="1036"/>
      <c r="H56" s="1036"/>
      <c r="I56" s="1036"/>
      <c r="J56" s="1036"/>
      <c r="K56" s="1036"/>
      <c r="L56" s="1036"/>
      <c r="M56" s="1036"/>
      <c r="N56" s="1036"/>
      <c r="O56" s="405"/>
      <c r="P56" s="385"/>
      <c r="Q56" s="401"/>
    </row>
    <row r="57" spans="1:17" ht="8.1" customHeight="1">
      <c r="A57" s="1021"/>
      <c r="B57" s="374"/>
      <c r="C57" s="1006" t="str">
        <f>Print!A425</f>
        <v xml:space="preserve">0 0  </v>
      </c>
      <c r="D57" s="1006"/>
      <c r="E57" s="1006"/>
      <c r="F57" s="1006"/>
      <c r="G57" s="1006"/>
      <c r="H57" s="1006"/>
      <c r="I57" s="1006"/>
      <c r="J57" s="1006"/>
      <c r="K57" s="1006"/>
      <c r="L57" s="1006"/>
      <c r="M57" s="1006"/>
      <c r="N57" s="1006"/>
      <c r="O57" s="1006"/>
      <c r="P57" s="385">
        <f>IF(N59&gt;0,1,0)</f>
        <v>0</v>
      </c>
      <c r="Q57" s="401"/>
    </row>
    <row r="58" spans="1:17" ht="8.1" customHeight="1">
      <c r="A58" s="1021"/>
      <c r="B58" s="374"/>
      <c r="C58" s="1007"/>
      <c r="D58" s="1007"/>
      <c r="E58" s="1007"/>
      <c r="F58" s="1007"/>
      <c r="G58" s="1007"/>
      <c r="H58" s="1007"/>
      <c r="I58" s="1007"/>
      <c r="J58" s="1007"/>
      <c r="K58" s="1007"/>
      <c r="L58" s="1007"/>
      <c r="M58" s="1007"/>
      <c r="N58" s="1007"/>
      <c r="O58" s="1007"/>
      <c r="P58" s="385">
        <f>P57</f>
        <v>0</v>
      </c>
      <c r="Q58" s="401"/>
    </row>
    <row r="59" spans="1:17" ht="8.1" customHeight="1">
      <c r="A59" s="1021"/>
      <c r="B59" s="374"/>
      <c r="C59" s="1008" t="s">
        <v>2024</v>
      </c>
      <c r="D59" s="1009"/>
      <c r="E59" s="1009"/>
      <c r="F59" s="1009"/>
      <c r="G59" s="1009"/>
      <c r="H59" s="1009"/>
      <c r="I59" s="1009"/>
      <c r="J59" s="1009"/>
      <c r="K59" s="1009"/>
      <c r="L59" s="1009"/>
      <c r="M59" s="1010"/>
      <c r="N59" s="1011">
        <f>Print!V427</f>
        <v>0</v>
      </c>
      <c r="O59" s="1011"/>
      <c r="P59" s="385">
        <f>P58</f>
        <v>0</v>
      </c>
      <c r="Q59" s="401"/>
    </row>
    <row r="60" spans="1:17" ht="8.1" customHeight="1">
      <c r="A60" s="1021"/>
      <c r="B60" s="374"/>
      <c r="C60" s="432"/>
      <c r="D60" s="432"/>
      <c r="E60" s="432"/>
      <c r="F60" s="432"/>
      <c r="G60" s="432"/>
      <c r="H60" s="432"/>
      <c r="I60" s="432"/>
      <c r="J60" s="432"/>
      <c r="K60" s="432"/>
      <c r="L60" s="432"/>
      <c r="M60" s="432"/>
      <c r="N60" s="433"/>
      <c r="O60" s="433"/>
      <c r="P60" s="385"/>
      <c r="Q60" s="401"/>
    </row>
    <row r="61" spans="1:17" ht="8.1" customHeight="1">
      <c r="A61" s="1021"/>
      <c r="B61" s="374"/>
      <c r="C61" s="1006" t="s">
        <v>2070</v>
      </c>
      <c r="D61" s="1006"/>
      <c r="E61" s="1006"/>
      <c r="F61" s="1006"/>
      <c r="G61" s="1006"/>
      <c r="H61" s="1006"/>
      <c r="I61" s="1006"/>
      <c r="J61" s="1006"/>
      <c r="K61" s="1006"/>
      <c r="L61" s="1006"/>
      <c r="M61" s="1006"/>
      <c r="N61" s="1006"/>
      <c r="O61" s="1006"/>
      <c r="P61" s="385">
        <f>IF(N63&gt;0,1,0)</f>
        <v>0</v>
      </c>
      <c r="Q61" s="401"/>
    </row>
    <row r="62" spans="1:17" ht="8.1" customHeight="1">
      <c r="A62" s="1021"/>
      <c r="B62" s="374"/>
      <c r="C62" s="1007"/>
      <c r="D62" s="1007"/>
      <c r="E62" s="1007"/>
      <c r="F62" s="1007"/>
      <c r="G62" s="1007"/>
      <c r="H62" s="1007"/>
      <c r="I62" s="1007"/>
      <c r="J62" s="1007"/>
      <c r="K62" s="1007"/>
      <c r="L62" s="1007"/>
      <c r="M62" s="1007"/>
      <c r="N62" s="1007"/>
      <c r="O62" s="1007"/>
      <c r="P62" s="385">
        <f>P61</f>
        <v>0</v>
      </c>
      <c r="Q62" s="401"/>
    </row>
    <row r="63" spans="1:17" ht="8.1" customHeight="1">
      <c r="A63" s="1021"/>
      <c r="B63" s="374"/>
      <c r="C63" s="1008" t="s">
        <v>2024</v>
      </c>
      <c r="D63" s="1009"/>
      <c r="E63" s="1009"/>
      <c r="F63" s="1009"/>
      <c r="G63" s="1009"/>
      <c r="H63" s="1009"/>
      <c r="I63" s="1009"/>
      <c r="J63" s="1009"/>
      <c r="K63" s="1009"/>
      <c r="L63" s="1009"/>
      <c r="M63" s="1010"/>
      <c r="N63" s="1011">
        <f>Print!W505+Print!W507</f>
        <v>0</v>
      </c>
      <c r="O63" s="1011"/>
      <c r="P63" s="385">
        <f>P62</f>
        <v>0</v>
      </c>
      <c r="Q63" s="401"/>
    </row>
    <row r="64" spans="1:17" ht="8.1" customHeight="1">
      <c r="A64" s="1021"/>
      <c r="B64" s="374"/>
      <c r="C64" s="432"/>
      <c r="D64" s="432"/>
      <c r="E64" s="432"/>
      <c r="F64" s="432"/>
      <c r="G64" s="432"/>
      <c r="H64" s="432"/>
      <c r="I64" s="432"/>
      <c r="J64" s="432"/>
      <c r="K64" s="432"/>
      <c r="L64" s="432"/>
      <c r="M64" s="432"/>
      <c r="N64" s="433"/>
      <c r="O64" s="433"/>
      <c r="P64" s="385"/>
      <c r="Q64" s="401"/>
    </row>
    <row r="65" spans="1:17" ht="8.1" customHeight="1">
      <c r="A65" s="1021"/>
      <c r="B65" s="374"/>
      <c r="C65" s="1006" t="str">
        <f>Print!A545</f>
        <v xml:space="preserve">PANOU GARD METALIC     </v>
      </c>
      <c r="D65" s="1006"/>
      <c r="E65" s="1006"/>
      <c r="F65" s="1006"/>
      <c r="G65" s="1006"/>
      <c r="H65" s="1006"/>
      <c r="I65" s="1006"/>
      <c r="J65" s="1006"/>
      <c r="K65" s="1006"/>
      <c r="L65" s="1006"/>
      <c r="M65" s="1006"/>
      <c r="N65" s="1006"/>
      <c r="O65" s="1006"/>
      <c r="P65" s="385">
        <f>IF(N67&gt;0,1,0)</f>
        <v>0</v>
      </c>
      <c r="Q65" s="401"/>
    </row>
    <row r="66" spans="1:17" ht="8.1" customHeight="1">
      <c r="A66" s="1021"/>
      <c r="B66" s="374"/>
      <c r="C66" s="1007"/>
      <c r="D66" s="1007"/>
      <c r="E66" s="1007"/>
      <c r="F66" s="1007"/>
      <c r="G66" s="1007"/>
      <c r="H66" s="1007"/>
      <c r="I66" s="1007"/>
      <c r="J66" s="1007"/>
      <c r="K66" s="1007"/>
      <c r="L66" s="1007"/>
      <c r="M66" s="1007"/>
      <c r="N66" s="1007"/>
      <c r="O66" s="1007"/>
      <c r="P66" s="385">
        <f>P65</f>
        <v>0</v>
      </c>
      <c r="Q66" s="401"/>
    </row>
    <row r="67" spans="1:17" ht="8.1" customHeight="1">
      <c r="A67" s="1021"/>
      <c r="B67" s="374"/>
      <c r="C67" s="1008" t="s">
        <v>2024</v>
      </c>
      <c r="D67" s="1009"/>
      <c r="E67" s="1009"/>
      <c r="F67" s="1009"/>
      <c r="G67" s="1009"/>
      <c r="H67" s="1009"/>
      <c r="I67" s="1009"/>
      <c r="J67" s="1009"/>
      <c r="K67" s="1009"/>
      <c r="L67" s="1009"/>
      <c r="M67" s="1010"/>
      <c r="N67" s="1011">
        <f>Print!X546</f>
        <v>0</v>
      </c>
      <c r="O67" s="1011"/>
      <c r="P67" s="385">
        <f>P66</f>
        <v>0</v>
      </c>
      <c r="Q67" s="401"/>
    </row>
    <row r="68" spans="1:17" ht="8.1" customHeight="1">
      <c r="A68" s="1021"/>
      <c r="B68" s="374"/>
      <c r="C68" s="1009"/>
      <c r="D68" s="1009"/>
      <c r="E68" s="1009"/>
      <c r="F68" s="1009"/>
      <c r="G68" s="1009"/>
      <c r="H68" s="1009"/>
      <c r="I68" s="1009"/>
      <c r="J68" s="1009"/>
      <c r="K68" s="1009"/>
      <c r="L68" s="1009"/>
      <c r="M68" s="1009"/>
      <c r="N68" s="1009"/>
      <c r="O68" s="1009"/>
      <c r="P68" s="385"/>
      <c r="Q68" s="401"/>
    </row>
    <row r="69" spans="1:17" ht="8.1" customHeight="1">
      <c r="A69" s="1021"/>
      <c r="B69" s="374"/>
      <c r="C69" s="1006" t="str">
        <f>Print!A610</f>
        <v>TAXA TRANSPORT</v>
      </c>
      <c r="D69" s="1006"/>
      <c r="E69" s="1006"/>
      <c r="F69" s="1006"/>
      <c r="G69" s="1006"/>
      <c r="H69" s="1006"/>
      <c r="I69" s="1006"/>
      <c r="J69" s="1006"/>
      <c r="K69" s="1006"/>
      <c r="L69" s="1006"/>
      <c r="M69" s="1006"/>
      <c r="N69" s="1006"/>
      <c r="O69" s="1006"/>
      <c r="P69" s="385">
        <f>IF(N71&gt;0,1,0)</f>
        <v>1</v>
      </c>
      <c r="Q69" s="401"/>
    </row>
    <row r="70" spans="1:17" ht="8.1" customHeight="1">
      <c r="A70" s="1021"/>
      <c r="B70" s="374"/>
      <c r="C70" s="1007"/>
      <c r="D70" s="1007"/>
      <c r="E70" s="1007"/>
      <c r="F70" s="1007"/>
      <c r="G70" s="1007"/>
      <c r="H70" s="1007"/>
      <c r="I70" s="1007"/>
      <c r="J70" s="1007"/>
      <c r="K70" s="1007"/>
      <c r="L70" s="1007"/>
      <c r="M70" s="1007"/>
      <c r="N70" s="1007"/>
      <c r="O70" s="1007"/>
      <c r="P70" s="385">
        <f>P69</f>
        <v>1</v>
      </c>
      <c r="Q70" s="401"/>
    </row>
    <row r="71" spans="1:17" ht="8.1" customHeight="1">
      <c r="A71" s="1021"/>
      <c r="B71" s="374"/>
      <c r="C71" s="1008" t="s">
        <v>2024</v>
      </c>
      <c r="D71" s="1009"/>
      <c r="E71" s="1009"/>
      <c r="F71" s="1009"/>
      <c r="G71" s="1009"/>
      <c r="H71" s="1009"/>
      <c r="I71" s="1009"/>
      <c r="J71" s="1009"/>
      <c r="K71" s="1009"/>
      <c r="L71" s="1009"/>
      <c r="M71" s="1010"/>
      <c r="N71" s="1011">
        <f>Print!S610</f>
        <v>19.398642095053344</v>
      </c>
      <c r="O71" s="1011"/>
      <c r="P71" s="385">
        <f>P70</f>
        <v>1</v>
      </c>
      <c r="Q71" s="401"/>
    </row>
    <row r="72" spans="1:17" ht="8.1" customHeight="1">
      <c r="A72" s="1021"/>
      <c r="B72" s="374"/>
      <c r="C72" s="1036"/>
      <c r="D72" s="1036"/>
      <c r="E72" s="1036"/>
      <c r="F72" s="1036"/>
      <c r="G72" s="1036"/>
      <c r="H72" s="1036"/>
      <c r="I72" s="1036"/>
      <c r="J72" s="1036"/>
      <c r="K72" s="1036"/>
      <c r="L72" s="1036"/>
      <c r="M72" s="1036"/>
      <c r="N72" s="1036"/>
      <c r="O72" s="405"/>
      <c r="P72" s="385"/>
      <c r="Q72" s="401"/>
    </row>
    <row r="73" spans="1:17">
      <c r="A73" s="1021"/>
      <c r="B73" s="390"/>
      <c r="C73" s="1030" t="s">
        <v>2026</v>
      </c>
      <c r="D73" s="1030"/>
      <c r="E73" s="1030"/>
      <c r="F73" s="1030"/>
      <c r="G73" s="1030"/>
      <c r="H73" s="1030"/>
      <c r="I73" s="1030"/>
      <c r="J73" s="1030"/>
      <c r="K73" s="1030"/>
      <c r="L73" s="1030"/>
      <c r="M73" s="1037" t="s">
        <v>2027</v>
      </c>
      <c r="N73" s="1037"/>
      <c r="O73" s="1038"/>
      <c r="P73" s="391">
        <f>IF(Print!V452&gt;0,1,0)</f>
        <v>0</v>
      </c>
      <c r="Q73" s="402"/>
    </row>
    <row r="74" spans="1:17" ht="9.9" customHeight="1">
      <c r="A74" s="1021"/>
      <c r="B74" s="392"/>
      <c r="C74" s="1035">
        <f>Print!D452</f>
        <v>0</v>
      </c>
      <c r="D74" s="1035"/>
      <c r="E74" s="1035"/>
      <c r="F74" s="1035"/>
      <c r="G74" s="1035"/>
      <c r="H74" s="1035"/>
      <c r="I74" s="1035"/>
      <c r="J74" s="1035"/>
      <c r="K74" s="1035"/>
      <c r="L74" s="1035"/>
      <c r="M74" s="1039">
        <f>Print!S452</f>
        <v>0</v>
      </c>
      <c r="N74" s="1040"/>
      <c r="O74" s="1041"/>
      <c r="P74" s="393">
        <f>IF(M74&gt;0,1,0)</f>
        <v>0</v>
      </c>
      <c r="Q74" s="402"/>
    </row>
    <row r="75" spans="1:17" ht="9.9" customHeight="1">
      <c r="A75" s="1021"/>
      <c r="B75" s="392"/>
      <c r="C75" s="1035">
        <f>Print!D453</f>
        <v>0</v>
      </c>
      <c r="D75" s="1035"/>
      <c r="E75" s="1035"/>
      <c r="F75" s="1035"/>
      <c r="G75" s="1035"/>
      <c r="H75" s="1035"/>
      <c r="I75" s="1035"/>
      <c r="J75" s="1035"/>
      <c r="K75" s="1035"/>
      <c r="L75" s="1035"/>
      <c r="M75" s="1039">
        <f>Print!S453</f>
        <v>0</v>
      </c>
      <c r="N75" s="1040"/>
      <c r="O75" s="1041"/>
      <c r="P75" s="393">
        <f t="shared" ref="P75:P78" si="5">IF(M75&gt;0,1,0)</f>
        <v>0</v>
      </c>
      <c r="Q75" s="402"/>
    </row>
    <row r="76" spans="1:17" ht="9.9" customHeight="1">
      <c r="A76" s="1021"/>
      <c r="B76" s="392"/>
      <c r="C76" s="1035">
        <f>Print!D454</f>
        <v>0</v>
      </c>
      <c r="D76" s="1035"/>
      <c r="E76" s="1035"/>
      <c r="F76" s="1035"/>
      <c r="G76" s="1035"/>
      <c r="H76" s="1035"/>
      <c r="I76" s="1035"/>
      <c r="J76" s="1035"/>
      <c r="K76" s="1035"/>
      <c r="L76" s="1035"/>
      <c r="M76" s="1039">
        <f>Print!S454</f>
        <v>0</v>
      </c>
      <c r="N76" s="1040"/>
      <c r="O76" s="1041"/>
      <c r="P76" s="393">
        <f t="shared" si="5"/>
        <v>0</v>
      </c>
      <c r="Q76" s="402"/>
    </row>
    <row r="77" spans="1:17" ht="9.9" customHeight="1">
      <c r="A77" s="1021"/>
      <c r="B77" s="392"/>
      <c r="C77" s="1035">
        <f>Print!D455</f>
        <v>0</v>
      </c>
      <c r="D77" s="1035"/>
      <c r="E77" s="1035"/>
      <c r="F77" s="1035"/>
      <c r="G77" s="1035"/>
      <c r="H77" s="1035"/>
      <c r="I77" s="1035"/>
      <c r="J77" s="1035"/>
      <c r="K77" s="1035"/>
      <c r="L77" s="1035"/>
      <c r="M77" s="1039">
        <f>Print!S455</f>
        <v>0</v>
      </c>
      <c r="N77" s="1040"/>
      <c r="O77" s="1041"/>
      <c r="P77" s="393">
        <f t="shared" si="5"/>
        <v>0</v>
      </c>
      <c r="Q77" s="402"/>
    </row>
    <row r="78" spans="1:17" ht="9.9" customHeight="1">
      <c r="A78" s="1021"/>
      <c r="B78" s="392"/>
      <c r="C78" s="1035">
        <f>Print!D456</f>
        <v>0</v>
      </c>
      <c r="D78" s="1035"/>
      <c r="E78" s="1035"/>
      <c r="F78" s="1035"/>
      <c r="G78" s="1035"/>
      <c r="H78" s="1035"/>
      <c r="I78" s="1035"/>
      <c r="J78" s="1035"/>
      <c r="K78" s="1035"/>
      <c r="L78" s="1035"/>
      <c r="M78" s="1039">
        <f>Print!S456</f>
        <v>0</v>
      </c>
      <c r="N78" s="1040"/>
      <c r="O78" s="1041"/>
      <c r="P78" s="393">
        <f t="shared" si="5"/>
        <v>0</v>
      </c>
      <c r="Q78" s="402"/>
    </row>
    <row r="79" spans="1:17">
      <c r="A79" s="1021"/>
      <c r="B79" s="394"/>
      <c r="C79" s="394"/>
      <c r="D79" s="394"/>
      <c r="E79" s="394"/>
      <c r="F79" s="394"/>
      <c r="G79" s="394"/>
      <c r="H79" s="394"/>
      <c r="I79" s="394"/>
      <c r="J79" s="394"/>
      <c r="K79" s="394"/>
      <c r="L79" s="394"/>
      <c r="M79" s="395"/>
      <c r="N79" s="394"/>
      <c r="O79" s="394"/>
      <c r="P79" s="396"/>
      <c r="Q79" s="402"/>
    </row>
    <row r="80" spans="1:17">
      <c r="A80" s="1021"/>
      <c r="B80" s="1023" t="s">
        <v>2033</v>
      </c>
      <c r="C80" s="1024"/>
      <c r="D80" s="1024"/>
      <c r="E80" s="1024"/>
      <c r="F80" s="1024"/>
      <c r="G80" s="1024"/>
      <c r="H80" s="1024"/>
      <c r="I80" s="1025"/>
      <c r="J80" s="1032">
        <f>Print!G21</f>
        <v>19.398642095053344</v>
      </c>
      <c r="K80" s="1033"/>
      <c r="L80" s="1033"/>
      <c r="M80" s="1034" t="s">
        <v>2028</v>
      </c>
      <c r="N80" s="1034"/>
      <c r="O80" s="1034"/>
      <c r="P80" s="1034"/>
      <c r="Q80" s="402"/>
    </row>
    <row r="81" spans="1:17">
      <c r="A81" s="1021"/>
      <c r="B81" s="1026"/>
      <c r="C81" s="1027"/>
      <c r="D81" s="1027"/>
      <c r="E81" s="1027"/>
      <c r="F81" s="1027"/>
      <c r="G81" s="1027"/>
      <c r="H81" s="1027"/>
      <c r="I81" s="1028"/>
      <c r="J81" s="1032">
        <f>Print!S21</f>
        <v>23.472356935014545</v>
      </c>
      <c r="K81" s="1033"/>
      <c r="L81" s="1033"/>
      <c r="M81" s="1034" t="s">
        <v>2029</v>
      </c>
      <c r="N81" s="1034"/>
      <c r="O81" s="1034"/>
      <c r="P81" s="1034"/>
      <c r="Q81" s="402"/>
    </row>
    <row r="82" spans="1:17">
      <c r="A82" s="1021"/>
      <c r="B82" s="1026"/>
      <c r="C82" s="1027"/>
      <c r="D82" s="1027"/>
      <c r="E82" s="1027"/>
      <c r="F82" s="1027"/>
      <c r="G82" s="1027"/>
      <c r="H82" s="1027"/>
      <c r="I82" s="1028"/>
      <c r="J82" s="1032">
        <f>Print!G22</f>
        <v>99.999999999999986</v>
      </c>
      <c r="K82" s="1033"/>
      <c r="L82" s="1033"/>
      <c r="M82" s="1034" t="s">
        <v>2030</v>
      </c>
      <c r="N82" s="1034"/>
      <c r="O82" s="1034"/>
      <c r="P82" s="1034"/>
      <c r="Q82" s="402"/>
    </row>
    <row r="83" spans="1:17">
      <c r="A83" s="1021"/>
      <c r="B83" s="1029"/>
      <c r="C83" s="1030"/>
      <c r="D83" s="1030"/>
      <c r="E83" s="1030"/>
      <c r="F83" s="1030"/>
      <c r="G83" s="1030"/>
      <c r="H83" s="1030"/>
      <c r="I83" s="1031"/>
      <c r="J83" s="1032">
        <f>Print!S22</f>
        <v>120.99999999999999</v>
      </c>
      <c r="K83" s="1033"/>
      <c r="L83" s="1033"/>
      <c r="M83" s="1034" t="s">
        <v>2031</v>
      </c>
      <c r="N83" s="1034"/>
      <c r="O83" s="1034"/>
      <c r="P83" s="1034"/>
      <c r="Q83" s="402"/>
    </row>
    <row r="84" spans="1:17" ht="3" customHeight="1">
      <c r="A84" s="1021"/>
      <c r="B84" s="392"/>
      <c r="C84" s="392"/>
      <c r="D84" s="392"/>
      <c r="E84" s="392"/>
      <c r="F84" s="392"/>
      <c r="G84" s="392"/>
      <c r="H84" s="392"/>
      <c r="I84" s="392"/>
      <c r="J84" s="397"/>
      <c r="K84" s="392"/>
      <c r="L84" s="392"/>
      <c r="M84" s="397"/>
      <c r="N84" s="397"/>
      <c r="O84" s="397"/>
      <c r="P84" s="397"/>
      <c r="Q84" s="402"/>
    </row>
    <row r="85" spans="1:17" ht="7.5" customHeight="1">
      <c r="A85" s="1021"/>
      <c r="B85" s="1021"/>
      <c r="C85" s="1021"/>
      <c r="D85" s="1021"/>
      <c r="E85" s="1021"/>
      <c r="F85" s="1021"/>
      <c r="G85" s="1021"/>
      <c r="H85" s="1021"/>
      <c r="I85" s="1021"/>
      <c r="J85" s="1021"/>
      <c r="K85" s="1021"/>
      <c r="L85" s="1021"/>
      <c r="M85" s="1021"/>
      <c r="N85" s="1021"/>
      <c r="O85" s="1021"/>
      <c r="P85" s="1021"/>
      <c r="Q85" s="1021"/>
    </row>
  </sheetData>
  <sheetProtection algorithmName="SHA-512" hashValue="oOMcnZm9kfraKVpGHduXxgT0IohKK5C9pLu+2IMimSfmVrn0rqqm+7izZjIkyEDyyNzJQVHSwjdLQ/a9QN1QMg==" saltValue="o8mjR2ZZNfQCOOVKObVMlg==" spinCount="100000" sheet="1" objects="1" scenarios="1"/>
  <protectedRanges>
    <protectedRange sqref="D2:E5 G2:G6 B2:B5 I2:J6" name="Range1"/>
    <protectedRange sqref="L7:L8 L2:N2 L3:L5 M3:N8" name="Range1_1"/>
  </protectedRanges>
  <autoFilter ref="P9:P78" xr:uid="{00000000-0009-0000-0000-00000A000000}"/>
  <mergeCells count="101">
    <mergeCell ref="N63:O63"/>
    <mergeCell ref="C65:O65"/>
    <mergeCell ref="C40:M40"/>
    <mergeCell ref="C51:M51"/>
    <mergeCell ref="C42:O42"/>
    <mergeCell ref="C43:O43"/>
    <mergeCell ref="C44:E44"/>
    <mergeCell ref="F44:H44"/>
    <mergeCell ref="I44:M44"/>
    <mergeCell ref="N44:O44"/>
    <mergeCell ref="C61:O61"/>
    <mergeCell ref="C62:O62"/>
    <mergeCell ref="C63:M63"/>
    <mergeCell ref="C36:O36"/>
    <mergeCell ref="C37:O39"/>
    <mergeCell ref="N40:O40"/>
    <mergeCell ref="M78:O78"/>
    <mergeCell ref="C75:L75"/>
    <mergeCell ref="M75:O75"/>
    <mergeCell ref="C76:L76"/>
    <mergeCell ref="M76:O76"/>
    <mergeCell ref="C77:L77"/>
    <mergeCell ref="M77:O77"/>
    <mergeCell ref="C53:O53"/>
    <mergeCell ref="C54:O54"/>
    <mergeCell ref="C55:E55"/>
    <mergeCell ref="F55:H55"/>
    <mergeCell ref="N59:O59"/>
    <mergeCell ref="C72:N72"/>
    <mergeCell ref="C59:M59"/>
    <mergeCell ref="I55:M55"/>
    <mergeCell ref="N55:O55"/>
    <mergeCell ref="C57:O57"/>
    <mergeCell ref="C58:O58"/>
    <mergeCell ref="C66:O66"/>
    <mergeCell ref="C67:M67"/>
    <mergeCell ref="N67:O67"/>
    <mergeCell ref="A85:Q85"/>
    <mergeCell ref="C7:O9"/>
    <mergeCell ref="A2:A84"/>
    <mergeCell ref="C18:M18"/>
    <mergeCell ref="C24:M24"/>
    <mergeCell ref="C30:M30"/>
    <mergeCell ref="B80:I83"/>
    <mergeCell ref="J80:L80"/>
    <mergeCell ref="M80:P80"/>
    <mergeCell ref="J81:L81"/>
    <mergeCell ref="M81:P81"/>
    <mergeCell ref="J82:L82"/>
    <mergeCell ref="M82:P82"/>
    <mergeCell ref="J83:L83"/>
    <mergeCell ref="M83:P83"/>
    <mergeCell ref="C78:L78"/>
    <mergeCell ref="C56:N56"/>
    <mergeCell ref="C73:L73"/>
    <mergeCell ref="M73:O73"/>
    <mergeCell ref="C74:L74"/>
    <mergeCell ref="M74:O74"/>
    <mergeCell ref="C46:O46"/>
    <mergeCell ref="C47:O50"/>
    <mergeCell ref="N51:O51"/>
    <mergeCell ref="N12:O12"/>
    <mergeCell ref="C20:O20"/>
    <mergeCell ref="C21:O23"/>
    <mergeCell ref="N24:O24"/>
    <mergeCell ref="C14:O14"/>
    <mergeCell ref="C15:O17"/>
    <mergeCell ref="N18:O18"/>
    <mergeCell ref="C34:E34"/>
    <mergeCell ref="F34:H34"/>
    <mergeCell ref="I34:M34"/>
    <mergeCell ref="N34:O34"/>
    <mergeCell ref="C26:O26"/>
    <mergeCell ref="C27:O29"/>
    <mergeCell ref="N30:O30"/>
    <mergeCell ref="C32:O32"/>
    <mergeCell ref="C33:O33"/>
    <mergeCell ref="C69:O69"/>
    <mergeCell ref="C70:O70"/>
    <mergeCell ref="C71:M71"/>
    <mergeCell ref="N71:O71"/>
    <mergeCell ref="C68:O68"/>
    <mergeCell ref="B2:E2"/>
    <mergeCell ref="K2:L2"/>
    <mergeCell ref="M2:O2"/>
    <mergeCell ref="B3:E3"/>
    <mergeCell ref="K3:L3"/>
    <mergeCell ref="M3:O3"/>
    <mergeCell ref="K6:L6"/>
    <mergeCell ref="M6:O6"/>
    <mergeCell ref="B4:E4"/>
    <mergeCell ref="K4:L4"/>
    <mergeCell ref="M4:O4"/>
    <mergeCell ref="B5:E5"/>
    <mergeCell ref="K5:L5"/>
    <mergeCell ref="M5:O5"/>
    <mergeCell ref="C10:O10"/>
    <mergeCell ref="C11:O11"/>
    <mergeCell ref="C12:E12"/>
    <mergeCell ref="F12:H12"/>
    <mergeCell ref="I12:M12"/>
  </mergeCells>
  <pageMargins left="0.7" right="0.7" top="0.75" bottom="0.75" header="0.3" footer="0.3"/>
  <pageSetup paperSize="9" scale="91" orientation="portrait" r:id="rId1"/>
  <ignoredErrors>
    <ignoredError sqref="P14 P20 P26 P36 P42 P46 P53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Formular</vt:lpstr>
      <vt:lpstr>SELNEW</vt:lpstr>
      <vt:lpstr>Select</vt:lpstr>
      <vt:lpstr>Info</vt:lpstr>
      <vt:lpstr>Lang</vt:lpstr>
      <vt:lpstr>In</vt:lpstr>
      <vt:lpstr>Disc Dep</vt:lpstr>
      <vt:lpstr>Adaos Distr</vt:lpstr>
      <vt:lpstr>Adaos RESELLER</vt:lpstr>
      <vt:lpstr>Print</vt:lpstr>
      <vt:lpstr>Oferta</vt:lpstr>
      <vt:lpstr>Print!Print_Area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2025-11-03T08:44:54Z</dcterms:modified>
</cp:coreProperties>
</file>